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HALINI\Documents\"/>
    </mc:Choice>
  </mc:AlternateContent>
  <xr:revisionPtr revIDLastSave="0" documentId="8_{899C7153-7D07-4FA9-991A-5EA74CCB2DAE}" xr6:coauthVersionLast="47" xr6:coauthVersionMax="47" xr10:uidLastSave="{00000000-0000-0000-0000-000000000000}"/>
  <bookViews>
    <workbookView xWindow="-110" yWindow="-110" windowWidth="19420" windowHeight="11500" activeTab="2" xr2:uid="{176BFB8B-3000-473B-B6EB-029E666E686C}"/>
  </bookViews>
  <sheets>
    <sheet name="tbl-employees" sheetId="1" r:id="rId1"/>
    <sheet name="KPI_Helper" sheetId="2" r:id="rId2"/>
    <sheet name="DASHBOARD" sheetId="3" r:id="rId3"/>
    <sheet name="Salary_Helper" sheetId="7" r:id="rId4"/>
    <sheet name="Dept_Headcount_Helper" sheetId="4" r:id="rId5"/>
    <sheet name="Gender_Helper" sheetId="5" r:id="rId6"/>
    <sheet name="Attrition_Helper" sheetId="6" r:id="rId7"/>
    <sheet name="Country_Helper" sheetId="8" r:id="rId8"/>
  </sheets>
  <definedNames>
    <definedName name="Slicer_Business_Unit">#N/A</definedName>
    <definedName name="Slicer_Country">#N/A</definedName>
    <definedName name="Slicer_Department">#N/A</definedName>
    <definedName name="Slicer_Employee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3" l="1"/>
  <c r="B7" i="3"/>
  <c r="B4" i="3"/>
  <c r="H7" i="3"/>
  <c r="E7" i="3"/>
  <c r="K7" i="3"/>
  <c r="K4" i="3"/>
  <c r="E4" i="3"/>
  <c r="N7" i="3" l="1"/>
  <c r="N4" i="3"/>
  <c r="S2" i="1" a="1"/>
  <c r="S2" i="1"/>
  <c r="S3" i="1" a="1"/>
  <c r="S3" i="1"/>
  <c r="S4" i="1" a="1"/>
  <c r="S4" i="1"/>
  <c r="S5" i="1" a="1"/>
  <c r="S5" i="1"/>
  <c r="S6" i="1" a="1"/>
  <c r="S6" i="1"/>
  <c r="S7" i="1" a="1"/>
  <c r="S7" i="1"/>
  <c r="S8" i="1" a="1"/>
  <c r="S8" i="1" s="1"/>
  <c r="S9" i="1" a="1"/>
  <c r="S9" i="1"/>
  <c r="S10" i="1" a="1"/>
  <c r="S10" i="1"/>
  <c r="S11" i="1" a="1"/>
  <c r="S11" i="1" s="1"/>
  <c r="S12" i="1" a="1"/>
  <c r="S12" i="1"/>
  <c r="S13" i="1" a="1"/>
  <c r="S13" i="1"/>
  <c r="S14" i="1" a="1"/>
  <c r="S14" i="1"/>
  <c r="S15" i="1" a="1"/>
  <c r="S15" i="1"/>
  <c r="S16" i="1" a="1"/>
  <c r="S16" i="1"/>
  <c r="S17" i="1" a="1"/>
  <c r="S17" i="1" s="1"/>
  <c r="S18" i="1" a="1"/>
  <c r="S18" i="1"/>
  <c r="S19" i="1" a="1"/>
  <c r="S19" i="1"/>
  <c r="S20" i="1" a="1"/>
  <c r="S20" i="1"/>
  <c r="S21" i="1" a="1"/>
  <c r="S21" i="1"/>
  <c r="S22" i="1" a="1"/>
  <c r="S22" i="1"/>
  <c r="S23" i="1" a="1"/>
  <c r="S23" i="1"/>
  <c r="S24" i="1" a="1"/>
  <c r="S24" i="1"/>
  <c r="S25" i="1" a="1"/>
  <c r="S25" i="1"/>
  <c r="S26" i="1" a="1"/>
  <c r="S26" i="1" s="1"/>
  <c r="S27" i="1" a="1"/>
  <c r="S27" i="1"/>
  <c r="S28" i="1" a="1"/>
  <c r="S28" i="1"/>
  <c r="S29" i="1" a="1"/>
  <c r="S29" i="1"/>
  <c r="S30" i="1" a="1"/>
  <c r="S30" i="1" s="1"/>
  <c r="S31" i="1" a="1"/>
  <c r="S31" i="1"/>
  <c r="S32" i="1" a="1"/>
  <c r="S32" i="1"/>
  <c r="S33" i="1" a="1"/>
  <c r="S33" i="1"/>
  <c r="S34" i="1" a="1"/>
  <c r="S34" i="1"/>
  <c r="S35" i="1" a="1"/>
  <c r="S35" i="1" s="1"/>
  <c r="S36" i="1" a="1"/>
  <c r="S36" i="1"/>
  <c r="S37" i="1" a="1"/>
  <c r="S37" i="1" s="1"/>
  <c r="S38" i="1" a="1"/>
  <c r="S38" i="1"/>
  <c r="S39" i="1" a="1"/>
  <c r="S39" i="1"/>
  <c r="S40" i="1" a="1"/>
  <c r="S40" i="1"/>
  <c r="S41" i="1" a="1"/>
  <c r="S41" i="1"/>
  <c r="S42" i="1" a="1"/>
  <c r="S42" i="1"/>
  <c r="S43" i="1" a="1"/>
  <c r="S43" i="1"/>
  <c r="S44" i="1" a="1"/>
  <c r="S44" i="1" s="1"/>
  <c r="S45" i="1" a="1"/>
  <c r="S45" i="1"/>
  <c r="S46" i="1" a="1"/>
  <c r="S46" i="1"/>
  <c r="S47" i="1" a="1"/>
  <c r="S47" i="1"/>
  <c r="S48" i="1" a="1"/>
  <c r="S48" i="1"/>
  <c r="S49" i="1" a="1"/>
  <c r="S49" i="1" s="1"/>
  <c r="S50" i="1" a="1"/>
  <c r="S50" i="1"/>
  <c r="S51" i="1" a="1"/>
  <c r="S51" i="1"/>
  <c r="S52" i="1" a="1"/>
  <c r="S52" i="1"/>
  <c r="S53" i="1" a="1"/>
  <c r="S53" i="1" s="1"/>
  <c r="S54" i="1" a="1"/>
  <c r="S54" i="1"/>
  <c r="S55" i="1" a="1"/>
  <c r="S55" i="1"/>
  <c r="S56" i="1" a="1"/>
  <c r="S56" i="1" s="1"/>
  <c r="S57" i="1" a="1"/>
  <c r="S57" i="1"/>
  <c r="S58" i="1" a="1"/>
  <c r="S58" i="1"/>
  <c r="S59" i="1" a="1"/>
  <c r="S59" i="1"/>
  <c r="S60" i="1" a="1"/>
  <c r="S60" i="1"/>
  <c r="S61" i="1" a="1"/>
  <c r="S61" i="1"/>
  <c r="S62" i="1" a="1"/>
  <c r="S62" i="1" s="1"/>
  <c r="S63" i="1" a="1"/>
  <c r="S63" i="1"/>
  <c r="S64" i="1" a="1"/>
  <c r="S64" i="1"/>
  <c r="S65" i="1" a="1"/>
  <c r="S65" i="1"/>
  <c r="S66" i="1" a="1"/>
  <c r="S66" i="1"/>
  <c r="S67" i="1" a="1"/>
  <c r="S67" i="1"/>
  <c r="S68" i="1" a="1"/>
  <c r="S68" i="1" s="1"/>
  <c r="S69" i="1" a="1"/>
  <c r="S69" i="1"/>
  <c r="S70" i="1" a="1"/>
  <c r="S70" i="1"/>
  <c r="S71" i="1" a="1"/>
  <c r="S71" i="1" s="1"/>
  <c r="S72" i="1" a="1"/>
  <c r="S72" i="1"/>
  <c r="S73" i="1" a="1"/>
  <c r="S73" i="1"/>
  <c r="S74" i="1" a="1"/>
  <c r="S74" i="1"/>
  <c r="S75" i="1" a="1"/>
  <c r="S75" i="1" s="1"/>
  <c r="S76" i="1" a="1"/>
  <c r="S76" i="1"/>
  <c r="S77" i="1" a="1"/>
  <c r="S77" i="1"/>
  <c r="S78" i="1" a="1"/>
  <c r="S78" i="1"/>
  <c r="S79" i="1" a="1"/>
  <c r="S79" i="1"/>
  <c r="S80" i="1" a="1"/>
  <c r="S80" i="1" s="1"/>
  <c r="S81" i="1" a="1"/>
  <c r="S81" i="1"/>
  <c r="S82" i="1" a="1"/>
  <c r="S82" i="1"/>
  <c r="S83" i="1" a="1"/>
  <c r="S83" i="1"/>
  <c r="S84" i="1" a="1"/>
  <c r="S84" i="1"/>
  <c r="S85" i="1" a="1"/>
  <c r="S85" i="1"/>
  <c r="S86" i="1" a="1"/>
  <c r="S86" i="1"/>
  <c r="S87" i="1" a="1"/>
  <c r="S87" i="1" s="1"/>
  <c r="S88" i="1" a="1"/>
  <c r="S88" i="1"/>
  <c r="S89" i="1" a="1"/>
  <c r="S89" i="1" s="1"/>
  <c r="S90" i="1" a="1"/>
  <c r="S90" i="1"/>
  <c r="S91" i="1" a="1"/>
  <c r="S91" i="1"/>
  <c r="S92" i="1" a="1"/>
  <c r="S92" i="1"/>
  <c r="S93" i="1" a="1"/>
  <c r="S93" i="1"/>
  <c r="S94" i="1" a="1"/>
  <c r="S94" i="1" s="1"/>
  <c r="S95" i="1" a="1"/>
  <c r="S95" i="1"/>
  <c r="S96" i="1" a="1"/>
  <c r="S96" i="1"/>
  <c r="S97" i="1" a="1"/>
  <c r="S97" i="1"/>
  <c r="S98" i="1" a="1"/>
  <c r="S98" i="1" s="1"/>
  <c r="S99" i="1" a="1"/>
  <c r="S99" i="1"/>
  <c r="S100" i="1" a="1"/>
  <c r="S100" i="1"/>
  <c r="S101" i="1" a="1"/>
  <c r="S101" i="1"/>
  <c r="S102" i="1" a="1"/>
  <c r="S102" i="1"/>
  <c r="S103" i="1" a="1"/>
  <c r="S103" i="1"/>
  <c r="S104" i="1" a="1"/>
  <c r="S104" i="1"/>
  <c r="S105" i="1" a="1"/>
  <c r="S105" i="1"/>
  <c r="S106" i="1" a="1"/>
  <c r="S106" i="1" s="1"/>
  <c r="S107" i="1" a="1"/>
  <c r="S107" i="1" s="1"/>
  <c r="S108" i="1" a="1"/>
  <c r="S108" i="1"/>
  <c r="S109" i="1" a="1"/>
  <c r="S109" i="1"/>
  <c r="S110" i="1" a="1"/>
  <c r="S110" i="1"/>
  <c r="S111" i="1" a="1"/>
  <c r="S111" i="1"/>
  <c r="S112" i="1" a="1"/>
  <c r="S112" i="1"/>
  <c r="S113" i="1" a="1"/>
  <c r="S113" i="1" s="1"/>
  <c r="S114" i="1" a="1"/>
  <c r="S114" i="1"/>
  <c r="S115" i="1" a="1"/>
  <c r="S115" i="1"/>
  <c r="S116" i="1" a="1"/>
  <c r="S116" i="1" s="1"/>
  <c r="S117" i="1" a="1"/>
  <c r="S117" i="1"/>
  <c r="S118" i="1" a="1"/>
  <c r="S118" i="1"/>
  <c r="S119" i="1" a="1"/>
  <c r="S119" i="1"/>
  <c r="S120" i="1" a="1"/>
  <c r="S120" i="1"/>
  <c r="S121" i="1" a="1"/>
  <c r="S121" i="1"/>
  <c r="S122" i="1" a="1"/>
  <c r="S122" i="1"/>
  <c r="S123" i="1" a="1"/>
  <c r="S123" i="1"/>
  <c r="S124" i="1" a="1"/>
  <c r="S124" i="1"/>
  <c r="S125" i="1" a="1"/>
  <c r="S125" i="1" s="1"/>
  <c r="S126" i="1" a="1"/>
  <c r="S126" i="1"/>
  <c r="S127" i="1" a="1"/>
  <c r="S127" i="1"/>
  <c r="S128" i="1" a="1"/>
  <c r="S128" i="1"/>
  <c r="S129" i="1" a="1"/>
  <c r="S129" i="1"/>
  <c r="S130" i="1" a="1"/>
  <c r="S130" i="1"/>
  <c r="S131" i="1" a="1"/>
  <c r="S131" i="1"/>
  <c r="S132" i="1" a="1"/>
  <c r="S132" i="1" s="1"/>
  <c r="S133" i="1" a="1"/>
  <c r="S133" i="1"/>
  <c r="S134" i="1" a="1"/>
  <c r="S134" i="1" s="1"/>
  <c r="S135" i="1" a="1"/>
  <c r="S135" i="1" s="1"/>
  <c r="S136" i="1" a="1"/>
  <c r="S136" i="1"/>
  <c r="S137" i="1" a="1"/>
  <c r="S137" i="1"/>
  <c r="S138" i="1" a="1"/>
  <c r="S138" i="1"/>
  <c r="S139" i="1" a="1"/>
  <c r="S139" i="1"/>
  <c r="S140" i="1" a="1"/>
  <c r="S140" i="1"/>
  <c r="S141" i="1" a="1"/>
  <c r="S141" i="1"/>
  <c r="S142" i="1" a="1"/>
  <c r="S142" i="1"/>
  <c r="S143" i="1" a="1"/>
  <c r="S143" i="1" s="1"/>
  <c r="S144" i="1" a="1"/>
  <c r="S144" i="1"/>
  <c r="S145" i="1" a="1"/>
  <c r="S145" i="1"/>
  <c r="S146" i="1" a="1"/>
  <c r="S146" i="1"/>
  <c r="S147" i="1" a="1"/>
  <c r="S147" i="1"/>
  <c r="S148" i="1" a="1"/>
  <c r="S148" i="1"/>
  <c r="S149" i="1" a="1"/>
  <c r="S149" i="1"/>
  <c r="S150" i="1" a="1"/>
  <c r="S150" i="1"/>
  <c r="S151" i="1" a="1"/>
  <c r="S151" i="1" s="1"/>
  <c r="S152" i="1" a="1"/>
  <c r="S152" i="1" s="1"/>
  <c r="S153" i="1" a="1"/>
  <c r="S153" i="1"/>
  <c r="S154" i="1" a="1"/>
  <c r="S154" i="1" s="1"/>
  <c r="S155" i="1" a="1"/>
  <c r="S155" i="1"/>
  <c r="S156" i="1" a="1"/>
  <c r="S156" i="1"/>
  <c r="S157" i="1" a="1"/>
  <c r="S157" i="1"/>
  <c r="S158" i="1" a="1"/>
  <c r="S158" i="1"/>
  <c r="S159" i="1" a="1"/>
  <c r="S159" i="1"/>
  <c r="S160" i="1" a="1"/>
  <c r="S160" i="1"/>
  <c r="S161" i="1" a="1"/>
  <c r="S161" i="1" s="1"/>
  <c r="S162" i="1" a="1"/>
  <c r="S162" i="1"/>
  <c r="S163" i="1" a="1"/>
  <c r="S163" i="1"/>
  <c r="S164" i="1" a="1"/>
  <c r="S164" i="1"/>
  <c r="S165" i="1" a="1"/>
  <c r="S165" i="1"/>
  <c r="S166" i="1" a="1"/>
  <c r="S166" i="1"/>
  <c r="S167" i="1" a="1"/>
  <c r="S167" i="1"/>
  <c r="S168" i="1" a="1"/>
  <c r="S168" i="1"/>
  <c r="S169" i="1" a="1"/>
  <c r="S169" i="1"/>
  <c r="S170" i="1" a="1"/>
  <c r="S170" i="1" s="1"/>
  <c r="S171" i="1" a="1"/>
  <c r="S171" i="1"/>
  <c r="S172" i="1" a="1"/>
  <c r="S172" i="1"/>
  <c r="S173" i="1" a="1"/>
  <c r="S173" i="1" s="1"/>
  <c r="S174" i="1" a="1"/>
  <c r="S174" i="1"/>
  <c r="S175" i="1" a="1"/>
  <c r="S175" i="1"/>
  <c r="S176" i="1" a="1"/>
  <c r="S176" i="1"/>
  <c r="S177" i="1" a="1"/>
  <c r="S177" i="1"/>
  <c r="S178" i="1" a="1"/>
  <c r="S178" i="1"/>
  <c r="S179" i="1" a="1"/>
  <c r="S179" i="1" s="1"/>
  <c r="S180" i="1" a="1"/>
  <c r="S180" i="1" s="1"/>
  <c r="S181" i="1" a="1"/>
  <c r="S181" i="1"/>
  <c r="S182" i="1" a="1"/>
  <c r="S182" i="1"/>
  <c r="S183" i="1" a="1"/>
  <c r="S183" i="1"/>
  <c r="S184" i="1" a="1"/>
  <c r="S184" i="1"/>
  <c r="S185" i="1" a="1"/>
  <c r="S185" i="1"/>
  <c r="S186" i="1" a="1"/>
  <c r="S186" i="1"/>
  <c r="S187" i="1" a="1"/>
  <c r="S187" i="1"/>
  <c r="S188" i="1" a="1"/>
  <c r="S188" i="1" s="1"/>
  <c r="S189" i="1" a="1"/>
  <c r="S189" i="1"/>
  <c r="S190" i="1" a="1"/>
  <c r="S190" i="1"/>
  <c r="S191" i="1" a="1"/>
  <c r="S191" i="1"/>
  <c r="S192" i="1" a="1"/>
  <c r="S192" i="1" s="1"/>
  <c r="S193" i="1" a="1"/>
  <c r="S193" i="1"/>
  <c r="S194" i="1" a="1"/>
  <c r="S194" i="1"/>
  <c r="S195" i="1" a="1"/>
  <c r="S195" i="1"/>
  <c r="S196" i="1" a="1"/>
  <c r="S196" i="1"/>
  <c r="S197" i="1" a="1"/>
  <c r="S197" i="1" s="1"/>
  <c r="S198" i="1" a="1"/>
  <c r="S198" i="1"/>
  <c r="S199" i="1" a="1"/>
  <c r="S199" i="1" s="1"/>
  <c r="S200" i="1" a="1"/>
  <c r="S200" i="1"/>
  <c r="S201" i="1" a="1"/>
  <c r="S201" i="1"/>
  <c r="S202" i="1" a="1"/>
  <c r="S202" i="1"/>
  <c r="S203" i="1" a="1"/>
  <c r="S203" i="1"/>
  <c r="S204" i="1" a="1"/>
  <c r="S204" i="1"/>
  <c r="S205" i="1" a="1"/>
  <c r="S205" i="1"/>
  <c r="S206" i="1" a="1"/>
  <c r="S206" i="1" s="1"/>
  <c r="S207" i="1" a="1"/>
  <c r="S207" i="1"/>
  <c r="S208" i="1" a="1"/>
  <c r="S208" i="1"/>
  <c r="S209" i="1" a="1"/>
  <c r="S209" i="1"/>
  <c r="S210" i="1" a="1"/>
  <c r="S210" i="1"/>
  <c r="S211" i="1" a="1"/>
  <c r="S211" i="1" s="1"/>
  <c r="S212" i="1" a="1"/>
  <c r="S212" i="1"/>
  <c r="S213" i="1" a="1"/>
  <c r="S213" i="1"/>
  <c r="S214" i="1" a="1"/>
  <c r="S214" i="1"/>
  <c r="S215" i="1" a="1"/>
  <c r="S215" i="1" s="1"/>
  <c r="S216" i="1" a="1"/>
  <c r="S216" i="1"/>
  <c r="S217" i="1" a="1"/>
  <c r="S217" i="1"/>
  <c r="S218" i="1" a="1"/>
  <c r="S218" i="1" s="1"/>
  <c r="S219" i="1" a="1"/>
  <c r="S219" i="1"/>
  <c r="S220" i="1" a="1"/>
  <c r="S220" i="1"/>
  <c r="S221" i="1" a="1"/>
  <c r="S221" i="1"/>
  <c r="S222" i="1" a="1"/>
  <c r="S222" i="1"/>
  <c r="S223" i="1" a="1"/>
  <c r="S223" i="1"/>
  <c r="S224" i="1" a="1"/>
  <c r="S224" i="1" s="1"/>
  <c r="S225" i="1" a="1"/>
  <c r="S225" i="1"/>
  <c r="S226" i="1" a="1"/>
  <c r="S226" i="1"/>
  <c r="S227" i="1" a="1"/>
  <c r="S227" i="1"/>
  <c r="S228" i="1" a="1"/>
  <c r="S228" i="1"/>
  <c r="S229" i="1" a="1"/>
  <c r="S229" i="1"/>
  <c r="S230" i="1" a="1"/>
  <c r="S230" i="1" s="1"/>
  <c r="S231" i="1" a="1"/>
  <c r="S231" i="1"/>
  <c r="S232" i="1" a="1"/>
  <c r="S232" i="1"/>
  <c r="S233" i="1" a="1"/>
  <c r="S233" i="1" s="1"/>
  <c r="S234" i="1" a="1"/>
  <c r="S234" i="1"/>
  <c r="S235" i="1" a="1"/>
  <c r="S235" i="1"/>
  <c r="S236" i="1" a="1"/>
  <c r="S236" i="1"/>
  <c r="S237" i="1" a="1"/>
  <c r="S237" i="1" s="1"/>
  <c r="S238" i="1" a="1"/>
  <c r="S238" i="1"/>
  <c r="S239" i="1" a="1"/>
  <c r="S239" i="1"/>
  <c r="S240" i="1" a="1"/>
  <c r="S240" i="1"/>
  <c r="S241" i="1" a="1"/>
  <c r="S241" i="1"/>
  <c r="S242" i="1" a="1"/>
  <c r="S242" i="1" s="1"/>
  <c r="S243" i="1" a="1"/>
  <c r="S243" i="1"/>
  <c r="S244" i="1" a="1"/>
  <c r="S244" i="1"/>
  <c r="S245" i="1" a="1"/>
  <c r="S245" i="1"/>
  <c r="S246" i="1" a="1"/>
  <c r="S246" i="1"/>
  <c r="S247" i="1" a="1"/>
  <c r="S247" i="1"/>
  <c r="S248" i="1" a="1"/>
  <c r="S248" i="1"/>
  <c r="S249" i="1" a="1"/>
  <c r="S249" i="1" s="1"/>
  <c r="S250" i="1" a="1"/>
  <c r="S250" i="1"/>
  <c r="S251" i="1" a="1"/>
  <c r="S251" i="1" s="1"/>
  <c r="S252" i="1" a="1"/>
  <c r="S252" i="1"/>
  <c r="S253" i="1" a="1"/>
  <c r="S253" i="1"/>
  <c r="S254" i="1" a="1"/>
  <c r="S254" i="1"/>
  <c r="S255" i="1" a="1"/>
  <c r="S255" i="1"/>
  <c r="S256" i="1" a="1"/>
  <c r="S256" i="1" s="1"/>
  <c r="S257" i="1" a="1"/>
  <c r="S257" i="1"/>
  <c r="S258" i="1" a="1"/>
  <c r="S258" i="1"/>
  <c r="S259" i="1" a="1"/>
  <c r="S259" i="1"/>
  <c r="S260" i="1" a="1"/>
  <c r="S260" i="1" s="1"/>
  <c r="S261" i="1" a="1"/>
  <c r="S261" i="1"/>
  <c r="S262" i="1" a="1"/>
  <c r="S262" i="1"/>
  <c r="S263" i="1" a="1"/>
  <c r="S263" i="1"/>
  <c r="S264" i="1" a="1"/>
  <c r="S264" i="1"/>
  <c r="S265" i="1" a="1"/>
  <c r="S265" i="1"/>
  <c r="S266" i="1" a="1"/>
  <c r="S266" i="1"/>
  <c r="S267" i="1" a="1"/>
  <c r="S267" i="1"/>
  <c r="S268" i="1" a="1"/>
  <c r="S268" i="1" s="1"/>
  <c r="S269" i="1" a="1"/>
  <c r="S269" i="1" s="1"/>
  <c r="S270" i="1" a="1"/>
  <c r="S270" i="1"/>
  <c r="S271" i="1" a="1"/>
  <c r="S271" i="1"/>
  <c r="S272" i="1" a="1"/>
  <c r="S272" i="1"/>
  <c r="S273" i="1" a="1"/>
  <c r="S273" i="1"/>
  <c r="S274" i="1" a="1"/>
  <c r="S274" i="1"/>
  <c r="S275" i="1" a="1"/>
  <c r="S275" i="1" s="1"/>
  <c r="S276" i="1" a="1"/>
  <c r="S276" i="1"/>
  <c r="S277" i="1" a="1"/>
  <c r="S277" i="1"/>
  <c r="S278" i="1" a="1"/>
  <c r="S278" i="1" s="1"/>
  <c r="S279" i="1" a="1"/>
  <c r="S279" i="1"/>
  <c r="S280" i="1" a="1"/>
  <c r="S280" i="1"/>
  <c r="S281" i="1" a="1"/>
  <c r="S281" i="1"/>
  <c r="S282" i="1" a="1"/>
  <c r="S282" i="1"/>
  <c r="S283" i="1" a="1"/>
  <c r="S283" i="1"/>
  <c r="S284" i="1" a="1"/>
  <c r="S284" i="1"/>
  <c r="S285" i="1" a="1"/>
  <c r="S285" i="1"/>
  <c r="S286" i="1" a="1"/>
  <c r="S286" i="1"/>
  <c r="S287" i="1" a="1"/>
  <c r="S287" i="1" s="1"/>
  <c r="S288" i="1" a="1"/>
  <c r="S288" i="1"/>
  <c r="S289" i="1" a="1"/>
  <c r="S289" i="1"/>
  <c r="S290" i="1" a="1"/>
  <c r="S290" i="1"/>
  <c r="S291" i="1" a="1"/>
  <c r="S291" i="1"/>
  <c r="S292" i="1" a="1"/>
  <c r="S292" i="1"/>
  <c r="S293" i="1" a="1"/>
  <c r="S293" i="1"/>
  <c r="S294" i="1" a="1"/>
  <c r="S294" i="1" s="1"/>
  <c r="S295" i="1" a="1"/>
  <c r="S295" i="1"/>
  <c r="S296" i="1" a="1"/>
  <c r="S296" i="1" s="1"/>
  <c r="S297" i="1" a="1"/>
  <c r="S297" i="1" s="1"/>
  <c r="S298" i="1" a="1"/>
  <c r="S298" i="1"/>
  <c r="S299" i="1" a="1"/>
  <c r="S299" i="1"/>
  <c r="S300" i="1" a="1"/>
  <c r="S300" i="1"/>
  <c r="S301" i="1" a="1"/>
  <c r="S301" i="1"/>
  <c r="S302" i="1" a="1"/>
  <c r="S302" i="1"/>
  <c r="S303" i="1" a="1"/>
  <c r="S303" i="1"/>
  <c r="S304" i="1" a="1"/>
  <c r="S304" i="1"/>
  <c r="S305" i="1" a="1"/>
  <c r="S305" i="1" s="1"/>
  <c r="S306" i="1" a="1"/>
  <c r="S306" i="1"/>
  <c r="S307" i="1" a="1"/>
  <c r="S307" i="1"/>
  <c r="S308" i="1" a="1"/>
  <c r="S308" i="1"/>
  <c r="S309" i="1" a="1"/>
  <c r="S309" i="1"/>
  <c r="S310" i="1" a="1"/>
  <c r="S310" i="1"/>
  <c r="S311" i="1" a="1"/>
  <c r="S311" i="1"/>
  <c r="S312" i="1" a="1"/>
  <c r="S312" i="1"/>
  <c r="S313" i="1" a="1"/>
  <c r="S313" i="1" s="1"/>
  <c r="S314" i="1" a="1"/>
  <c r="S314" i="1" s="1"/>
  <c r="S315" i="1" a="1"/>
  <c r="S315" i="1"/>
  <c r="S316" i="1" a="1"/>
  <c r="S316" i="1" s="1"/>
  <c r="S317" i="1" a="1"/>
  <c r="S317" i="1"/>
  <c r="S318" i="1" a="1"/>
  <c r="S318" i="1"/>
  <c r="S319" i="1" a="1"/>
  <c r="S319" i="1"/>
  <c r="S320" i="1" a="1"/>
  <c r="S320" i="1"/>
  <c r="S321" i="1" a="1"/>
  <c r="S321" i="1"/>
  <c r="S322" i="1" a="1"/>
  <c r="S322" i="1"/>
  <c r="S323" i="1" a="1"/>
  <c r="S323" i="1" s="1"/>
  <c r="S324" i="1" a="1"/>
  <c r="S324" i="1"/>
  <c r="S325" i="1" a="1"/>
  <c r="S325" i="1"/>
  <c r="S326" i="1" a="1"/>
  <c r="S326" i="1"/>
  <c r="S327" i="1" a="1"/>
  <c r="S327" i="1"/>
  <c r="S328" i="1" a="1"/>
  <c r="S328" i="1"/>
  <c r="S329" i="1" a="1"/>
  <c r="S329" i="1"/>
  <c r="S330" i="1" a="1"/>
  <c r="S330" i="1"/>
  <c r="S331" i="1" a="1"/>
  <c r="S331" i="1"/>
  <c r="S332" i="1" a="1"/>
  <c r="S332" i="1" s="1"/>
  <c r="S333" i="1" a="1"/>
  <c r="S333" i="1"/>
  <c r="S334" i="1" a="1"/>
  <c r="S334" i="1"/>
  <c r="S335" i="1" a="1"/>
  <c r="S335" i="1" s="1"/>
  <c r="S336" i="1" a="1"/>
  <c r="S336" i="1"/>
  <c r="S337" i="1" a="1"/>
  <c r="S337" i="1"/>
  <c r="S338" i="1" a="1"/>
  <c r="S338" i="1"/>
  <c r="S339" i="1" a="1"/>
  <c r="S339" i="1"/>
  <c r="S340" i="1" a="1"/>
  <c r="S340" i="1"/>
  <c r="S341" i="1" a="1"/>
  <c r="S341" i="1" s="1"/>
  <c r="S342" i="1" a="1"/>
  <c r="S342" i="1" s="1"/>
  <c r="S343" i="1" a="1"/>
  <c r="S343" i="1"/>
  <c r="S344" i="1" a="1"/>
  <c r="S344" i="1"/>
  <c r="S345" i="1" a="1"/>
  <c r="S345" i="1"/>
  <c r="S346" i="1" a="1"/>
  <c r="S346" i="1"/>
  <c r="S347" i="1" a="1"/>
  <c r="S347" i="1"/>
  <c r="S348" i="1" a="1"/>
  <c r="S348" i="1"/>
  <c r="S349" i="1" a="1"/>
  <c r="S349" i="1"/>
  <c r="S350" i="1" a="1"/>
  <c r="S350" i="1" s="1"/>
  <c r="S351" i="1" a="1"/>
  <c r="S351" i="1"/>
  <c r="S352" i="1" a="1"/>
  <c r="S352" i="1"/>
  <c r="S353" i="1" a="1"/>
  <c r="S353" i="1"/>
  <c r="S354" i="1" a="1"/>
  <c r="S354" i="1" s="1"/>
  <c r="S355" i="1" a="1"/>
  <c r="S355" i="1"/>
  <c r="S356" i="1" a="1"/>
  <c r="S356" i="1"/>
  <c r="S357" i="1" a="1"/>
  <c r="S357" i="1"/>
  <c r="S358" i="1" a="1"/>
  <c r="S358" i="1"/>
  <c r="S359" i="1" a="1"/>
  <c r="S359" i="1" s="1"/>
  <c r="S360" i="1" a="1"/>
  <c r="S360" i="1"/>
  <c r="S361" i="1" a="1"/>
  <c r="S361" i="1" s="1"/>
  <c r="S362" i="1" a="1"/>
  <c r="S362" i="1"/>
  <c r="S363" i="1" a="1"/>
  <c r="S363" i="1"/>
  <c r="S364" i="1" a="1"/>
  <c r="S364" i="1"/>
  <c r="S365" i="1" a="1"/>
  <c r="S365" i="1"/>
  <c r="S366" i="1" a="1"/>
  <c r="S366" i="1"/>
  <c r="S367" i="1" a="1"/>
  <c r="S367" i="1"/>
  <c r="S368" i="1" a="1"/>
  <c r="S368" i="1" s="1"/>
  <c r="S369" i="1" a="1"/>
  <c r="S369" i="1"/>
  <c r="S370" i="1" a="1"/>
  <c r="S370" i="1"/>
  <c r="S371" i="1" a="1"/>
  <c r="S371" i="1"/>
  <c r="S372" i="1" a="1"/>
  <c r="S372" i="1"/>
  <c r="S373" i="1" a="1"/>
  <c r="S373" i="1" s="1"/>
  <c r="S374" i="1" a="1"/>
  <c r="S374" i="1"/>
  <c r="S375" i="1" a="1"/>
  <c r="S375" i="1"/>
  <c r="S376" i="1" a="1"/>
  <c r="S376" i="1"/>
  <c r="S377" i="1" a="1"/>
  <c r="S377" i="1" s="1"/>
  <c r="S378" i="1" a="1"/>
  <c r="S378" i="1"/>
  <c r="S379" i="1" a="1"/>
  <c r="S379" i="1"/>
  <c r="S380" i="1" a="1"/>
  <c r="S380" i="1" s="1"/>
  <c r="S381" i="1" a="1"/>
  <c r="S381" i="1"/>
  <c r="S382" i="1" a="1"/>
  <c r="S382" i="1"/>
  <c r="S383" i="1" a="1"/>
  <c r="S383" i="1"/>
  <c r="S384" i="1" a="1"/>
  <c r="S384" i="1"/>
  <c r="S385" i="1" a="1"/>
  <c r="S385" i="1"/>
  <c r="S386" i="1" a="1"/>
  <c r="S386" i="1" s="1"/>
  <c r="S387" i="1" a="1"/>
  <c r="S387" i="1"/>
  <c r="S388" i="1" a="1"/>
  <c r="S388" i="1"/>
  <c r="S389" i="1" a="1"/>
  <c r="S389" i="1"/>
  <c r="S390" i="1" a="1"/>
  <c r="S390" i="1"/>
  <c r="S391" i="1" a="1"/>
  <c r="S391" i="1"/>
  <c r="S392" i="1" a="1"/>
  <c r="S392" i="1" s="1"/>
  <c r="S393" i="1" a="1"/>
  <c r="S393" i="1"/>
  <c r="S394" i="1" a="1"/>
  <c r="S394" i="1"/>
  <c r="S395" i="1" a="1"/>
  <c r="S395" i="1" s="1"/>
  <c r="S396" i="1" a="1"/>
  <c r="S396" i="1"/>
  <c r="S397" i="1" a="1"/>
  <c r="S397" i="1"/>
  <c r="S398" i="1" a="1"/>
  <c r="S398" i="1"/>
  <c r="S399" i="1" a="1"/>
  <c r="S399" i="1" s="1"/>
  <c r="S400" i="1" a="1"/>
  <c r="S400" i="1"/>
  <c r="S401" i="1" a="1"/>
  <c r="S401" i="1"/>
  <c r="S402" i="1" a="1"/>
  <c r="S402" i="1"/>
  <c r="S403" i="1" a="1"/>
  <c r="S403" i="1"/>
  <c r="S404" i="1" a="1"/>
  <c r="S404" i="1" s="1"/>
  <c r="S405" i="1" a="1"/>
  <c r="S405" i="1"/>
  <c r="S406" i="1" a="1"/>
  <c r="S406" i="1"/>
  <c r="S407" i="1" a="1"/>
  <c r="S407" i="1"/>
  <c r="S408" i="1" a="1"/>
  <c r="S408" i="1"/>
  <c r="S409" i="1" a="1"/>
  <c r="S409" i="1"/>
  <c r="S410" i="1" a="1"/>
  <c r="S410" i="1"/>
  <c r="S411" i="1" a="1"/>
  <c r="S411" i="1" s="1"/>
  <c r="S412" i="1" a="1"/>
  <c r="S412" i="1"/>
  <c r="S413" i="1" a="1"/>
  <c r="S413" i="1" s="1"/>
  <c r="S414" i="1" a="1"/>
  <c r="S414" i="1"/>
  <c r="S415" i="1" a="1"/>
  <c r="S415" i="1"/>
  <c r="S416" i="1" a="1"/>
  <c r="S416" i="1"/>
  <c r="S417" i="1" a="1"/>
  <c r="S417" i="1"/>
  <c r="S418" i="1" a="1"/>
  <c r="S418" i="1" s="1"/>
  <c r="S419" i="1" a="1"/>
  <c r="S419" i="1"/>
  <c r="S420" i="1" a="1"/>
  <c r="S420" i="1"/>
  <c r="S421" i="1" a="1"/>
  <c r="S421" i="1"/>
  <c r="S422" i="1" a="1"/>
  <c r="S422" i="1" s="1"/>
  <c r="S423" i="1" a="1"/>
  <c r="S423" i="1"/>
  <c r="S424" i="1" a="1"/>
  <c r="S424" i="1"/>
  <c r="S425" i="1" a="1"/>
  <c r="S425" i="1"/>
  <c r="S426" i="1" a="1"/>
  <c r="S426" i="1"/>
  <c r="S427" i="1" a="1"/>
  <c r="S427" i="1"/>
  <c r="S428" i="1" a="1"/>
  <c r="S428" i="1"/>
  <c r="S429" i="1" a="1"/>
  <c r="S429" i="1"/>
  <c r="S430" i="1" a="1"/>
  <c r="S430" i="1" s="1"/>
  <c r="S431" i="1" a="1"/>
  <c r="S431" i="1" s="1"/>
  <c r="S432" i="1" a="1"/>
  <c r="S432" i="1"/>
  <c r="S433" i="1" a="1"/>
  <c r="S433" i="1"/>
  <c r="S434" i="1" a="1"/>
  <c r="S434" i="1"/>
  <c r="S435" i="1" a="1"/>
  <c r="S435" i="1"/>
  <c r="S436" i="1" a="1"/>
  <c r="S436" i="1"/>
  <c r="S437" i="1" a="1"/>
  <c r="S437" i="1" s="1"/>
  <c r="S438" i="1" a="1"/>
  <c r="S438" i="1"/>
  <c r="S439" i="1" a="1"/>
  <c r="S439" i="1"/>
  <c r="S440" i="1" a="1"/>
  <c r="S440" i="1" s="1"/>
  <c r="S441" i="1" a="1"/>
  <c r="S441" i="1"/>
  <c r="S442" i="1" a="1"/>
  <c r="S442" i="1"/>
  <c r="S443" i="1" a="1"/>
  <c r="S443" i="1"/>
  <c r="S444" i="1" a="1"/>
  <c r="S444" i="1"/>
  <c r="S445" i="1" a="1"/>
  <c r="S445" i="1"/>
  <c r="S446" i="1" a="1"/>
  <c r="S446" i="1"/>
  <c r="S447" i="1" a="1"/>
  <c r="S447" i="1"/>
  <c r="S448" i="1" a="1"/>
  <c r="S448" i="1"/>
  <c r="S449" i="1" a="1"/>
  <c r="S449" i="1" s="1"/>
  <c r="S450" i="1" a="1"/>
  <c r="S450" i="1"/>
  <c r="S451" i="1" a="1"/>
  <c r="S451" i="1"/>
  <c r="S452" i="1" a="1"/>
  <c r="S452" i="1"/>
  <c r="S453" i="1" a="1"/>
  <c r="S453" i="1"/>
  <c r="S454" i="1" a="1"/>
  <c r="S454" i="1"/>
  <c r="S455" i="1" a="1"/>
  <c r="S455" i="1"/>
  <c r="S456" i="1" a="1"/>
  <c r="S456" i="1" s="1"/>
  <c r="S457" i="1" a="1"/>
  <c r="S457" i="1"/>
  <c r="S458" i="1" a="1"/>
  <c r="S458" i="1" s="1"/>
  <c r="S459" i="1" a="1"/>
  <c r="S459" i="1" s="1"/>
  <c r="S460" i="1" a="1"/>
  <c r="S460" i="1"/>
  <c r="S461" i="1" a="1"/>
  <c r="S461" i="1"/>
  <c r="S462" i="1" a="1"/>
  <c r="S462" i="1"/>
  <c r="S463" i="1" a="1"/>
  <c r="S463" i="1"/>
  <c r="S464" i="1" a="1"/>
  <c r="S464" i="1"/>
  <c r="S465" i="1" a="1"/>
  <c r="S465" i="1"/>
  <c r="S466" i="1" a="1"/>
  <c r="S466" i="1"/>
  <c r="S467" i="1" a="1"/>
  <c r="S467" i="1" s="1"/>
  <c r="S468" i="1" a="1"/>
  <c r="S468" i="1"/>
  <c r="S469" i="1" a="1"/>
  <c r="S469" i="1"/>
  <c r="S470" i="1" a="1"/>
  <c r="S470" i="1"/>
  <c r="S471" i="1" a="1"/>
  <c r="S471" i="1"/>
  <c r="S472" i="1" a="1"/>
  <c r="S472" i="1"/>
  <c r="S473" i="1" a="1"/>
  <c r="S473" i="1"/>
  <c r="S474" i="1" a="1"/>
  <c r="S474" i="1"/>
  <c r="S475" i="1" a="1"/>
  <c r="S475" i="1" s="1"/>
  <c r="S476" i="1" a="1"/>
  <c r="S476" i="1" s="1"/>
  <c r="S477" i="1" a="1"/>
  <c r="S477" i="1"/>
  <c r="S478" i="1" a="1"/>
  <c r="S478" i="1" s="1"/>
  <c r="S479" i="1" a="1"/>
  <c r="S479" i="1"/>
  <c r="S480" i="1" a="1"/>
  <c r="S480" i="1"/>
  <c r="S481" i="1" a="1"/>
  <c r="S481" i="1"/>
  <c r="S482" i="1" a="1"/>
  <c r="S482" i="1"/>
  <c r="S483" i="1" a="1"/>
  <c r="S483" i="1"/>
  <c r="S484" i="1" a="1"/>
  <c r="S484" i="1"/>
  <c r="S485" i="1" a="1"/>
  <c r="S485" i="1" s="1"/>
  <c r="S486" i="1" a="1"/>
  <c r="S486" i="1"/>
  <c r="S487" i="1" a="1"/>
  <c r="S487" i="1"/>
  <c r="S488" i="1" a="1"/>
  <c r="S488" i="1"/>
  <c r="S489" i="1" a="1"/>
  <c r="S489" i="1"/>
  <c r="S490" i="1" a="1"/>
  <c r="S490" i="1"/>
  <c r="S491" i="1" a="1"/>
  <c r="S491" i="1"/>
  <c r="S492" i="1" a="1"/>
  <c r="S492" i="1"/>
  <c r="S493" i="1" a="1"/>
  <c r="S493" i="1"/>
  <c r="S494" i="1" a="1"/>
  <c r="S494" i="1" s="1"/>
  <c r="S495" i="1" a="1"/>
  <c r="S495" i="1"/>
  <c r="S496" i="1" a="1"/>
  <c r="S496" i="1"/>
  <c r="S497" i="1" a="1"/>
  <c r="S497" i="1" s="1"/>
  <c r="S498" i="1" a="1"/>
  <c r="S498" i="1"/>
  <c r="S499" i="1" a="1"/>
  <c r="S499" i="1"/>
  <c r="S500" i="1" a="1"/>
  <c r="S500" i="1"/>
  <c r="S501" i="1" a="1"/>
  <c r="S501" i="1"/>
  <c r="S502" i="1" a="1"/>
  <c r="S502" i="1"/>
  <c r="S503" i="1" a="1"/>
  <c r="S503" i="1" s="1"/>
  <c r="S504" i="1" a="1"/>
  <c r="S504" i="1" s="1"/>
  <c r="S505" i="1" a="1"/>
  <c r="S505" i="1"/>
  <c r="S506" i="1" a="1"/>
  <c r="S506" i="1"/>
  <c r="S507" i="1" a="1"/>
  <c r="S507" i="1"/>
  <c r="S508" i="1" a="1"/>
  <c r="S508" i="1"/>
  <c r="S509" i="1" a="1"/>
  <c r="S509" i="1"/>
  <c r="S510" i="1" a="1"/>
  <c r="S510" i="1"/>
  <c r="S511" i="1" a="1"/>
  <c r="S511" i="1"/>
  <c r="S512" i="1" a="1"/>
  <c r="S512" i="1" s="1"/>
  <c r="S513" i="1" a="1"/>
  <c r="S513" i="1"/>
  <c r="S514" i="1" a="1"/>
  <c r="S514" i="1"/>
  <c r="S515" i="1" a="1"/>
  <c r="S515" i="1"/>
  <c r="S516" i="1" a="1"/>
  <c r="S516" i="1" s="1"/>
  <c r="S517" i="1" a="1"/>
  <c r="S517" i="1"/>
  <c r="S518" i="1" a="1"/>
  <c r="S518" i="1"/>
  <c r="S519" i="1" a="1"/>
  <c r="S519" i="1"/>
  <c r="S520" i="1" a="1"/>
  <c r="S520" i="1"/>
  <c r="S521" i="1" a="1"/>
  <c r="S521" i="1" s="1"/>
  <c r="S522" i="1" a="1"/>
  <c r="S522" i="1"/>
  <c r="S523" i="1" a="1"/>
  <c r="S523" i="1" s="1"/>
  <c r="S524" i="1" a="1"/>
  <c r="S524" i="1"/>
  <c r="S525" i="1" a="1"/>
  <c r="S525" i="1"/>
  <c r="S526" i="1" a="1"/>
  <c r="S526" i="1"/>
  <c r="S527" i="1" a="1"/>
  <c r="S527" i="1"/>
  <c r="S528" i="1" a="1"/>
  <c r="S528" i="1"/>
  <c r="S529" i="1" a="1"/>
  <c r="S529" i="1"/>
  <c r="S530" i="1" a="1"/>
  <c r="S530" i="1" s="1"/>
  <c r="S531" i="1" a="1"/>
  <c r="S531" i="1"/>
  <c r="S532" i="1" a="1"/>
  <c r="S532" i="1"/>
  <c r="S533" i="1" a="1"/>
  <c r="S533" i="1"/>
  <c r="S534" i="1" a="1"/>
  <c r="S534" i="1"/>
  <c r="S535" i="1" a="1"/>
  <c r="S535" i="1" s="1"/>
  <c r="S536" i="1" a="1"/>
  <c r="S536" i="1"/>
  <c r="S537" i="1" a="1"/>
  <c r="S537" i="1"/>
  <c r="S538" i="1" a="1"/>
  <c r="S538" i="1"/>
  <c r="S539" i="1" a="1"/>
  <c r="S539" i="1" s="1"/>
  <c r="S540" i="1" a="1"/>
  <c r="S540" i="1"/>
  <c r="S541" i="1" a="1"/>
  <c r="S541" i="1"/>
  <c r="S542" i="1" a="1"/>
  <c r="S542" i="1" s="1"/>
  <c r="S543" i="1" a="1"/>
  <c r="S543" i="1"/>
  <c r="S544" i="1" a="1"/>
  <c r="S544" i="1"/>
  <c r="S545" i="1" a="1"/>
  <c r="S545" i="1"/>
  <c r="S546" i="1" a="1"/>
  <c r="S546" i="1"/>
  <c r="S547" i="1" a="1"/>
  <c r="S547" i="1"/>
  <c r="S548" i="1" a="1"/>
  <c r="S548" i="1" s="1"/>
  <c r="S549" i="1" a="1"/>
  <c r="S549" i="1"/>
  <c r="S550" i="1" a="1"/>
  <c r="S550" i="1"/>
  <c r="S551" i="1" a="1"/>
  <c r="S551" i="1"/>
  <c r="S552" i="1" a="1"/>
  <c r="S552" i="1"/>
  <c r="S553" i="1" a="1"/>
  <c r="S553" i="1"/>
  <c r="S554" i="1" a="1"/>
  <c r="S554" i="1" s="1"/>
  <c r="S555" i="1" a="1"/>
  <c r="S555" i="1"/>
  <c r="S556" i="1" a="1"/>
  <c r="S556" i="1"/>
  <c r="S557" i="1" a="1"/>
  <c r="S557" i="1" s="1"/>
  <c r="S558" i="1" a="1"/>
  <c r="S558" i="1"/>
  <c r="S559" i="1" a="1"/>
  <c r="S559" i="1"/>
  <c r="S560" i="1" a="1"/>
  <c r="S560" i="1"/>
  <c r="S561" i="1" a="1"/>
  <c r="S561" i="1" s="1"/>
  <c r="S562" i="1" a="1"/>
  <c r="S562" i="1"/>
  <c r="S563" i="1" a="1"/>
  <c r="S563" i="1"/>
  <c r="S564" i="1" a="1"/>
  <c r="S564" i="1"/>
  <c r="S565" i="1" a="1"/>
  <c r="S565" i="1"/>
  <c r="S566" i="1" a="1"/>
  <c r="S566" i="1" s="1"/>
  <c r="S567" i="1" a="1"/>
  <c r="S567" i="1"/>
  <c r="S568" i="1" a="1"/>
  <c r="S568" i="1"/>
  <c r="S569" i="1" a="1"/>
  <c r="S569" i="1"/>
  <c r="S570" i="1" a="1"/>
  <c r="S570" i="1"/>
  <c r="S571" i="1" a="1"/>
  <c r="S571" i="1"/>
  <c r="S572" i="1" a="1"/>
  <c r="S572" i="1"/>
  <c r="S573" i="1" a="1"/>
  <c r="S573" i="1" s="1"/>
  <c r="S574" i="1" a="1"/>
  <c r="S574" i="1"/>
  <c r="S575" i="1" a="1"/>
  <c r="S575" i="1" s="1"/>
  <c r="S576" i="1" a="1"/>
  <c r="S576" i="1"/>
  <c r="S577" i="1" a="1"/>
  <c r="S577" i="1"/>
  <c r="S578" i="1" a="1"/>
  <c r="S578" i="1"/>
  <c r="S579" i="1" a="1"/>
  <c r="S579" i="1"/>
  <c r="S580" i="1" a="1"/>
  <c r="S580" i="1" s="1"/>
  <c r="S581" i="1" a="1"/>
  <c r="S581" i="1"/>
  <c r="S582" i="1" a="1"/>
  <c r="S582" i="1"/>
  <c r="S583" i="1" a="1"/>
  <c r="S583" i="1"/>
  <c r="S584" i="1" a="1"/>
  <c r="S584" i="1" s="1"/>
  <c r="S585" i="1" a="1"/>
  <c r="S585" i="1"/>
  <c r="S586" i="1" a="1"/>
  <c r="S586" i="1"/>
  <c r="S587" i="1" a="1"/>
  <c r="S587" i="1"/>
  <c r="S588" i="1" a="1"/>
  <c r="S588" i="1"/>
  <c r="S589" i="1" a="1"/>
  <c r="S589" i="1"/>
  <c r="S590" i="1" a="1"/>
  <c r="S590" i="1"/>
  <c r="S591" i="1" a="1"/>
  <c r="S591" i="1"/>
  <c r="S592" i="1" a="1"/>
  <c r="S592" i="1" s="1"/>
  <c r="S593" i="1" a="1"/>
  <c r="S593" i="1" s="1"/>
  <c r="S594" i="1" a="1"/>
  <c r="S594" i="1"/>
  <c r="S595" i="1" a="1"/>
  <c r="S595" i="1"/>
  <c r="S596" i="1" a="1"/>
  <c r="S596" i="1"/>
  <c r="S597" i="1" a="1"/>
  <c r="S597" i="1"/>
  <c r="S598" i="1" a="1"/>
  <c r="S598" i="1"/>
  <c r="S599" i="1" a="1"/>
  <c r="S599" i="1" s="1"/>
  <c r="S600" i="1" a="1"/>
  <c r="S600" i="1"/>
  <c r="S601" i="1" a="1"/>
  <c r="S601" i="1"/>
  <c r="S602" i="1" a="1"/>
  <c r="S602" i="1" s="1"/>
  <c r="S603" i="1" a="1"/>
  <c r="S603" i="1"/>
  <c r="S604" i="1" a="1"/>
  <c r="S604" i="1"/>
  <c r="S605" i="1" a="1"/>
  <c r="S605" i="1"/>
  <c r="S606" i="1" a="1"/>
  <c r="S606" i="1"/>
  <c r="S607" i="1" a="1"/>
  <c r="S607" i="1"/>
  <c r="S608" i="1" a="1"/>
  <c r="S608" i="1"/>
  <c r="S609" i="1" a="1"/>
  <c r="S609" i="1"/>
  <c r="S610" i="1" a="1"/>
  <c r="S610" i="1"/>
  <c r="S611" i="1" a="1"/>
  <c r="S611" i="1" s="1"/>
  <c r="S612" i="1" a="1"/>
  <c r="S612" i="1"/>
  <c r="S613" i="1" a="1"/>
  <c r="S613" i="1"/>
  <c r="S614" i="1" a="1"/>
  <c r="S614" i="1"/>
  <c r="S615" i="1" a="1"/>
  <c r="S615" i="1"/>
  <c r="S616" i="1" a="1"/>
  <c r="S616" i="1"/>
  <c r="S617" i="1" a="1"/>
  <c r="S617" i="1"/>
  <c r="S618" i="1" a="1"/>
  <c r="S618" i="1" s="1"/>
  <c r="S619" i="1" a="1"/>
  <c r="S619" i="1"/>
  <c r="S620" i="1" a="1"/>
  <c r="S620" i="1" s="1"/>
  <c r="S621" i="1" a="1"/>
  <c r="S621" i="1" s="1"/>
  <c r="S622" i="1" a="1"/>
  <c r="S622" i="1"/>
  <c r="S623" i="1" a="1"/>
  <c r="S623" i="1"/>
  <c r="S624" i="1" a="1"/>
  <c r="S624" i="1"/>
  <c r="S625" i="1" a="1"/>
  <c r="S625" i="1"/>
  <c r="S626" i="1" a="1"/>
  <c r="S626" i="1"/>
  <c r="S627" i="1" a="1"/>
  <c r="S627" i="1"/>
  <c r="S628" i="1" a="1"/>
  <c r="S628" i="1"/>
  <c r="S629" i="1" a="1"/>
  <c r="S629" i="1" s="1"/>
  <c r="S630" i="1" a="1"/>
  <c r="S630" i="1"/>
  <c r="S631" i="1" a="1"/>
  <c r="S631" i="1"/>
  <c r="S632" i="1" a="1"/>
  <c r="S632" i="1"/>
  <c r="S633" i="1" a="1"/>
  <c r="S633" i="1"/>
  <c r="S634" i="1" a="1"/>
  <c r="S634" i="1"/>
  <c r="S635" i="1" a="1"/>
  <c r="S635" i="1"/>
  <c r="S636" i="1" a="1"/>
  <c r="S636" i="1"/>
  <c r="S637" i="1" a="1"/>
  <c r="S637" i="1" s="1"/>
  <c r="S638" i="1" a="1"/>
  <c r="S638" i="1" s="1"/>
  <c r="S639" i="1" a="1"/>
  <c r="S639" i="1"/>
  <c r="S640" i="1" a="1"/>
  <c r="S640" i="1" s="1"/>
  <c r="S641" i="1" a="1"/>
  <c r="S641" i="1"/>
  <c r="S642" i="1" a="1"/>
  <c r="S642" i="1"/>
  <c r="S643" i="1" a="1"/>
  <c r="S643" i="1"/>
  <c r="S644" i="1" a="1"/>
  <c r="S644" i="1"/>
  <c r="S645" i="1" a="1"/>
  <c r="S645" i="1"/>
  <c r="S646" i="1" a="1"/>
  <c r="S646" i="1"/>
  <c r="S647" i="1" a="1"/>
  <c r="S647" i="1" s="1"/>
  <c r="S648" i="1" a="1"/>
  <c r="S648" i="1"/>
  <c r="S649" i="1" a="1"/>
  <c r="S649" i="1"/>
  <c r="S650" i="1" a="1"/>
  <c r="S650" i="1"/>
  <c r="S651" i="1" a="1"/>
  <c r="S651" i="1"/>
  <c r="S652" i="1" a="1"/>
  <c r="S652" i="1"/>
  <c r="S653" i="1" a="1"/>
  <c r="S653" i="1"/>
  <c r="S654" i="1" a="1"/>
  <c r="S654" i="1"/>
  <c r="S655" i="1" a="1"/>
  <c r="S655" i="1"/>
  <c r="S656" i="1" a="1"/>
  <c r="S656" i="1" s="1"/>
  <c r="S657" i="1" a="1"/>
  <c r="S657" i="1"/>
  <c r="S658" i="1" a="1"/>
  <c r="S658" i="1"/>
  <c r="S659" i="1" a="1"/>
  <c r="S659" i="1" s="1"/>
  <c r="S660" i="1" a="1"/>
  <c r="S660" i="1"/>
  <c r="S661" i="1" a="1"/>
  <c r="S661" i="1"/>
  <c r="S662" i="1" a="1"/>
  <c r="S662" i="1"/>
  <c r="S663" i="1" a="1"/>
  <c r="S663" i="1"/>
  <c r="S664" i="1" a="1"/>
  <c r="S664" i="1"/>
  <c r="S665" i="1" a="1"/>
  <c r="S665" i="1" s="1"/>
  <c r="S666" i="1" a="1"/>
  <c r="S666" i="1" s="1"/>
  <c r="S667" i="1" a="1"/>
  <c r="S667" i="1"/>
  <c r="S668" i="1" a="1"/>
  <c r="S668" i="1"/>
  <c r="S669" i="1" a="1"/>
  <c r="S669" i="1"/>
  <c r="S670" i="1" a="1"/>
  <c r="S670" i="1"/>
  <c r="S671" i="1" a="1"/>
  <c r="S671" i="1"/>
  <c r="S672" i="1" a="1"/>
  <c r="S672" i="1"/>
  <c r="S673" i="1" a="1"/>
  <c r="S673" i="1"/>
  <c r="S674" i="1" a="1"/>
  <c r="S674" i="1" s="1"/>
  <c r="S675" i="1" a="1"/>
  <c r="S675" i="1"/>
  <c r="S676" i="1" a="1"/>
  <c r="S676" i="1"/>
  <c r="S677" i="1" a="1"/>
  <c r="S677" i="1"/>
  <c r="S678" i="1" a="1"/>
  <c r="S678" i="1" s="1"/>
  <c r="S679" i="1" a="1"/>
  <c r="S679" i="1"/>
  <c r="S680" i="1" a="1"/>
  <c r="S680" i="1"/>
  <c r="S681" i="1" a="1"/>
  <c r="S681" i="1"/>
  <c r="S682" i="1" a="1"/>
  <c r="S682" i="1"/>
  <c r="S683" i="1" a="1"/>
  <c r="S683" i="1" s="1"/>
  <c r="S684" i="1" a="1"/>
  <c r="S684" i="1"/>
  <c r="S685" i="1" a="1"/>
  <c r="S685" i="1" s="1"/>
  <c r="S686" i="1" a="1"/>
  <c r="S686" i="1"/>
  <c r="S687" i="1" a="1"/>
  <c r="S687" i="1"/>
  <c r="S688" i="1" a="1"/>
  <c r="S688" i="1"/>
  <c r="S689" i="1" a="1"/>
  <c r="S689" i="1"/>
  <c r="S690" i="1" a="1"/>
  <c r="S690" i="1"/>
  <c r="S691" i="1" a="1"/>
  <c r="S691" i="1"/>
  <c r="S692" i="1" a="1"/>
  <c r="S692" i="1" s="1"/>
  <c r="S693" i="1" a="1"/>
  <c r="S693" i="1"/>
  <c r="S694" i="1" a="1"/>
  <c r="S694" i="1"/>
  <c r="S695" i="1" a="1"/>
  <c r="S695" i="1"/>
  <c r="S696" i="1" a="1"/>
  <c r="S696" i="1"/>
  <c r="S697" i="1" a="1"/>
  <c r="S697" i="1" s="1"/>
  <c r="S698" i="1" a="1"/>
  <c r="S698" i="1"/>
  <c r="S699" i="1" a="1"/>
  <c r="S699" i="1"/>
  <c r="S700" i="1" a="1"/>
  <c r="S700" i="1"/>
  <c r="S701" i="1" a="1"/>
  <c r="S701" i="1" s="1"/>
  <c r="S702" i="1" a="1"/>
  <c r="S702" i="1"/>
  <c r="S703" i="1" a="1"/>
  <c r="S703" i="1"/>
  <c r="S704" i="1" a="1"/>
  <c r="S704" i="1" s="1"/>
  <c r="S705" i="1" a="1"/>
  <c r="S705" i="1"/>
  <c r="S706" i="1" a="1"/>
  <c r="S706" i="1"/>
  <c r="S707" i="1" a="1"/>
  <c r="S707" i="1"/>
  <c r="S708" i="1" a="1"/>
  <c r="S708" i="1"/>
  <c r="S709" i="1" a="1"/>
  <c r="S709" i="1"/>
  <c r="S710" i="1" a="1"/>
  <c r="S710" i="1" s="1"/>
  <c r="S711" i="1" a="1"/>
  <c r="S711" i="1"/>
  <c r="S712" i="1" a="1"/>
  <c r="S712" i="1"/>
  <c r="S713" i="1" a="1"/>
  <c r="S713" i="1"/>
  <c r="S714" i="1" a="1"/>
  <c r="S714" i="1"/>
  <c r="S715" i="1" a="1"/>
  <c r="S715" i="1"/>
  <c r="S716" i="1" a="1"/>
  <c r="S716" i="1" s="1"/>
  <c r="S717" i="1" a="1"/>
  <c r="S717" i="1"/>
  <c r="S718" i="1" a="1"/>
  <c r="S718" i="1"/>
  <c r="S719" i="1" a="1"/>
  <c r="S719" i="1" s="1"/>
  <c r="S720" i="1" a="1"/>
  <c r="S720" i="1"/>
  <c r="S721" i="1" a="1"/>
  <c r="S721" i="1"/>
  <c r="S722" i="1" a="1"/>
  <c r="S722" i="1"/>
  <c r="S723" i="1" a="1"/>
  <c r="S723" i="1" s="1"/>
  <c r="S724" i="1" a="1"/>
  <c r="S724" i="1"/>
  <c r="S725" i="1" a="1"/>
  <c r="S725" i="1"/>
  <c r="S726" i="1" a="1"/>
  <c r="S726" i="1"/>
  <c r="S727" i="1" a="1"/>
  <c r="S727" i="1"/>
  <c r="S728" i="1" a="1"/>
  <c r="S728" i="1" s="1"/>
  <c r="S729" i="1" a="1"/>
  <c r="S729" i="1"/>
  <c r="S730" i="1" a="1"/>
  <c r="S730" i="1"/>
  <c r="S731" i="1" a="1"/>
  <c r="S731" i="1"/>
  <c r="S732" i="1" a="1"/>
  <c r="S732" i="1"/>
  <c r="S733" i="1" a="1"/>
  <c r="S733" i="1"/>
  <c r="S734" i="1" a="1"/>
  <c r="S734" i="1"/>
  <c r="S735" i="1" a="1"/>
  <c r="S735" i="1" s="1"/>
  <c r="S736" i="1" a="1"/>
  <c r="S736" i="1"/>
  <c r="S737" i="1" a="1"/>
  <c r="S737" i="1" s="1"/>
  <c r="S738" i="1" a="1"/>
  <c r="S738" i="1"/>
  <c r="S739" i="1" a="1"/>
  <c r="S739" i="1"/>
  <c r="S740" i="1" a="1"/>
  <c r="S740" i="1"/>
  <c r="S741" i="1" a="1"/>
  <c r="S741" i="1"/>
  <c r="S742" i="1" a="1"/>
  <c r="S742" i="1" s="1"/>
  <c r="S743" i="1" a="1"/>
  <c r="S743" i="1"/>
  <c r="S744" i="1" a="1"/>
  <c r="S744" i="1"/>
  <c r="S745" i="1" a="1"/>
  <c r="S745" i="1"/>
  <c r="S746" i="1" a="1"/>
  <c r="S746" i="1" s="1"/>
  <c r="S747" i="1" a="1"/>
  <c r="S747" i="1"/>
  <c r="S748" i="1" a="1"/>
  <c r="S748" i="1"/>
  <c r="S749" i="1" a="1"/>
  <c r="S749" i="1"/>
  <c r="S750" i="1" a="1"/>
  <c r="S750" i="1"/>
  <c r="S751" i="1" a="1"/>
  <c r="S751" i="1"/>
  <c r="S752" i="1" a="1"/>
  <c r="S752" i="1"/>
  <c r="S753" i="1" a="1"/>
  <c r="S753" i="1"/>
  <c r="S754" i="1" a="1"/>
  <c r="S754" i="1" s="1"/>
  <c r="S755" i="1" a="1"/>
  <c r="S755" i="1" s="1"/>
  <c r="S756" i="1" a="1"/>
  <c r="S756" i="1"/>
  <c r="S757" i="1" a="1"/>
  <c r="S757" i="1"/>
  <c r="S758" i="1" a="1"/>
  <c r="S758" i="1"/>
  <c r="S759" i="1" a="1"/>
  <c r="S759" i="1"/>
  <c r="S760" i="1" a="1"/>
  <c r="S760" i="1"/>
  <c r="S761" i="1" a="1"/>
  <c r="S761" i="1" s="1"/>
  <c r="S762" i="1" a="1"/>
  <c r="S762" i="1"/>
  <c r="S763" i="1" a="1"/>
  <c r="S763" i="1"/>
  <c r="S764" i="1" a="1"/>
  <c r="S764" i="1" s="1"/>
  <c r="S765" i="1" a="1"/>
  <c r="S765" i="1"/>
  <c r="S766" i="1" a="1"/>
  <c r="S766" i="1"/>
  <c r="S767" i="1" a="1"/>
  <c r="S767" i="1"/>
  <c r="S768" i="1" a="1"/>
  <c r="S768" i="1"/>
  <c r="S769" i="1" a="1"/>
  <c r="S769" i="1"/>
  <c r="S770" i="1" a="1"/>
  <c r="S770" i="1"/>
  <c r="S771" i="1" a="1"/>
  <c r="S771" i="1"/>
  <c r="S772" i="1" a="1"/>
  <c r="S772" i="1"/>
  <c r="S773" i="1" a="1"/>
  <c r="S773" i="1" s="1"/>
  <c r="S774" i="1" a="1"/>
  <c r="S774" i="1"/>
  <c r="S775" i="1" a="1"/>
  <c r="S775" i="1"/>
  <c r="S776" i="1" a="1"/>
  <c r="S776" i="1"/>
  <c r="S777" i="1" a="1"/>
  <c r="S777" i="1"/>
  <c r="S778" i="1" a="1"/>
  <c r="S778" i="1"/>
  <c r="S779" i="1" a="1"/>
  <c r="S779" i="1"/>
  <c r="S780" i="1" a="1"/>
  <c r="S780" i="1"/>
  <c r="S781" i="1" a="1"/>
  <c r="S781" i="1"/>
  <c r="S782" i="1" a="1"/>
  <c r="S782" i="1" s="1"/>
  <c r="S783" i="1" a="1"/>
  <c r="S783" i="1"/>
  <c r="S784" i="1" a="1"/>
  <c r="S784" i="1"/>
  <c r="S785" i="1" a="1"/>
  <c r="S785" i="1"/>
  <c r="S786" i="1" a="1"/>
  <c r="S786" i="1"/>
  <c r="S787" i="1" a="1"/>
  <c r="S787" i="1"/>
  <c r="S788" i="1" a="1"/>
  <c r="S788" i="1"/>
  <c r="S789" i="1" a="1"/>
  <c r="S789" i="1"/>
  <c r="S790" i="1" a="1"/>
  <c r="S790" i="1"/>
  <c r="S791" i="1" a="1"/>
  <c r="S791" i="1" s="1"/>
  <c r="S792" i="1" a="1"/>
  <c r="S792" i="1"/>
  <c r="S793" i="1" a="1"/>
  <c r="S793" i="1"/>
  <c r="S794" i="1" a="1"/>
  <c r="S794" i="1"/>
  <c r="S795" i="1" a="1"/>
  <c r="S795" i="1"/>
  <c r="S796" i="1" a="1"/>
  <c r="S796" i="1"/>
  <c r="S797" i="1" a="1"/>
  <c r="S797" i="1"/>
  <c r="S798" i="1" a="1"/>
  <c r="S798" i="1"/>
  <c r="S799" i="1" a="1"/>
  <c r="S799" i="1"/>
  <c r="S800" i="1" a="1"/>
  <c r="S800" i="1" s="1"/>
  <c r="S801" i="1" a="1"/>
  <c r="S801" i="1"/>
  <c r="S802" i="1" a="1"/>
  <c r="S802" i="1"/>
  <c r="S803" i="1" a="1"/>
  <c r="S803" i="1"/>
  <c r="S804" i="1" a="1"/>
  <c r="S804" i="1"/>
  <c r="S805" i="1" a="1"/>
  <c r="S805" i="1"/>
  <c r="S806" i="1" a="1"/>
  <c r="S806" i="1"/>
  <c r="S807" i="1" a="1"/>
  <c r="S807" i="1"/>
  <c r="S808" i="1" a="1"/>
  <c r="S808" i="1"/>
  <c r="S809" i="1" a="1"/>
  <c r="S809" i="1" s="1"/>
  <c r="S810" i="1" a="1"/>
  <c r="S810" i="1"/>
  <c r="S811" i="1" a="1"/>
  <c r="S811" i="1"/>
  <c r="S812" i="1" a="1"/>
  <c r="S812" i="1"/>
  <c r="S813" i="1" a="1"/>
  <c r="S813" i="1"/>
  <c r="S814" i="1" a="1"/>
  <c r="S814" i="1"/>
  <c r="S815" i="1" a="1"/>
  <c r="S815" i="1"/>
  <c r="S816" i="1" a="1"/>
  <c r="S816" i="1"/>
  <c r="S817" i="1" a="1"/>
  <c r="S817" i="1"/>
  <c r="S818" i="1" a="1"/>
  <c r="S818" i="1" s="1"/>
  <c r="S819" i="1" a="1"/>
  <c r="S819" i="1"/>
  <c r="S820" i="1" a="1"/>
  <c r="S820" i="1"/>
  <c r="S821" i="1" a="1"/>
  <c r="S821" i="1"/>
  <c r="S822" i="1" a="1"/>
  <c r="S822" i="1"/>
  <c r="S823" i="1" a="1"/>
  <c r="S823" i="1"/>
  <c r="S824" i="1" a="1"/>
  <c r="S824" i="1"/>
  <c r="S825" i="1" a="1"/>
  <c r="S825" i="1"/>
  <c r="S826" i="1" a="1"/>
  <c r="S826" i="1"/>
  <c r="S827" i="1" a="1"/>
  <c r="S827" i="1" s="1"/>
  <c r="S828" i="1" a="1"/>
  <c r="S828" i="1"/>
  <c r="S829" i="1" a="1"/>
  <c r="S829" i="1"/>
  <c r="S830" i="1" a="1"/>
  <c r="S830" i="1"/>
  <c r="S831" i="1" a="1"/>
  <c r="S831" i="1"/>
  <c r="S832" i="1" a="1"/>
  <c r="S832" i="1"/>
  <c r="S833" i="1" a="1"/>
  <c r="S833" i="1"/>
  <c r="S834" i="1" a="1"/>
  <c r="S834" i="1"/>
  <c r="S835" i="1" a="1"/>
  <c r="S835" i="1"/>
  <c r="S836" i="1" a="1"/>
  <c r="S836" i="1" s="1"/>
  <c r="S837" i="1" a="1"/>
  <c r="S837" i="1"/>
  <c r="S838" i="1" a="1"/>
  <c r="S838" i="1"/>
  <c r="S839" i="1" a="1"/>
  <c r="S839" i="1"/>
  <c r="S840" i="1" a="1"/>
  <c r="S840" i="1"/>
  <c r="S841" i="1" a="1"/>
  <c r="S841" i="1"/>
  <c r="S842" i="1" a="1"/>
  <c r="S842" i="1"/>
  <c r="S843" i="1" a="1"/>
  <c r="S843" i="1"/>
  <c r="S844" i="1" a="1"/>
  <c r="S844" i="1"/>
  <c r="S845" i="1" a="1"/>
  <c r="S845" i="1" s="1"/>
  <c r="S846" i="1" a="1"/>
  <c r="S846" i="1"/>
  <c r="S847" i="1" a="1"/>
  <c r="S847" i="1"/>
  <c r="S848" i="1" a="1"/>
  <c r="S848" i="1"/>
  <c r="S849" i="1" a="1"/>
  <c r="S849" i="1"/>
  <c r="S850" i="1" a="1"/>
  <c r="S850" i="1"/>
  <c r="S851" i="1" a="1"/>
  <c r="S851" i="1"/>
  <c r="S852" i="1" a="1"/>
  <c r="S852" i="1"/>
  <c r="S853" i="1" a="1"/>
  <c r="S853" i="1"/>
  <c r="S854" i="1" a="1"/>
  <c r="S854" i="1" s="1"/>
  <c r="S855" i="1" a="1"/>
  <c r="S855" i="1"/>
  <c r="S856" i="1" a="1"/>
  <c r="S856" i="1"/>
  <c r="S857" i="1" a="1"/>
  <c r="S857" i="1"/>
  <c r="S858" i="1" a="1"/>
  <c r="S858" i="1"/>
  <c r="S859" i="1" a="1"/>
  <c r="S859" i="1"/>
  <c r="S860" i="1" a="1"/>
  <c r="S860" i="1"/>
  <c r="S861" i="1" a="1"/>
  <c r="S861" i="1"/>
  <c r="S862" i="1" a="1"/>
  <c r="S862" i="1"/>
  <c r="S863" i="1" a="1"/>
  <c r="S863" i="1" s="1"/>
  <c r="S864" i="1" a="1"/>
  <c r="S864" i="1"/>
  <c r="S865" i="1" a="1"/>
  <c r="S865" i="1"/>
  <c r="S866" i="1" a="1"/>
  <c r="S866" i="1"/>
  <c r="S867" i="1" a="1"/>
  <c r="S867" i="1"/>
  <c r="S868" i="1" a="1"/>
  <c r="S868" i="1"/>
  <c r="S869" i="1" a="1"/>
  <c r="S869" i="1"/>
  <c r="S870" i="1" a="1"/>
  <c r="S870" i="1"/>
  <c r="S871" i="1" a="1"/>
  <c r="S871" i="1"/>
  <c r="S872" i="1" a="1"/>
  <c r="S872" i="1" s="1"/>
  <c r="S873" i="1" a="1"/>
  <c r="S873" i="1"/>
  <c r="S874" i="1" a="1"/>
  <c r="S874" i="1"/>
  <c r="S875" i="1" a="1"/>
  <c r="S875" i="1"/>
  <c r="S876" i="1" a="1"/>
  <c r="S876" i="1"/>
  <c r="S877" i="1" a="1"/>
  <c r="S877" i="1"/>
  <c r="S878" i="1" a="1"/>
  <c r="S878" i="1"/>
  <c r="S879" i="1" a="1"/>
  <c r="S879" i="1"/>
  <c r="S880" i="1" a="1"/>
  <c r="S880" i="1"/>
  <c r="S881" i="1" a="1"/>
  <c r="S881" i="1" s="1"/>
  <c r="S882" i="1" a="1"/>
  <c r="S882" i="1"/>
  <c r="S883" i="1" a="1"/>
  <c r="S883" i="1"/>
  <c r="S884" i="1" a="1"/>
  <c r="S884" i="1"/>
  <c r="S885" i="1" a="1"/>
  <c r="S885" i="1"/>
  <c r="S886" i="1" a="1"/>
  <c r="S886" i="1"/>
  <c r="S887" i="1" a="1"/>
  <c r="S887" i="1"/>
  <c r="S888" i="1" a="1"/>
  <c r="S888" i="1"/>
  <c r="S889" i="1" a="1"/>
  <c r="S889" i="1"/>
  <c r="S890" i="1" a="1"/>
  <c r="S890" i="1" s="1"/>
  <c r="S891" i="1" a="1"/>
  <c r="S891" i="1"/>
  <c r="S892" i="1" a="1"/>
  <c r="S892" i="1"/>
  <c r="S893" i="1" a="1"/>
  <c r="S893" i="1"/>
  <c r="S894" i="1" a="1"/>
  <c r="S894" i="1"/>
  <c r="S895" i="1" a="1"/>
  <c r="S895" i="1"/>
  <c r="S896" i="1" a="1"/>
  <c r="S896" i="1"/>
  <c r="S897" i="1" a="1"/>
  <c r="S897" i="1"/>
  <c r="S898" i="1" a="1"/>
  <c r="S898" i="1"/>
  <c r="S899" i="1" a="1"/>
  <c r="S899" i="1" s="1"/>
  <c r="S900" i="1" a="1"/>
  <c r="S900" i="1"/>
  <c r="S901" i="1" a="1"/>
  <c r="S901" i="1"/>
  <c r="S902" i="1" a="1"/>
  <c r="S902" i="1"/>
  <c r="S903" i="1" a="1"/>
  <c r="S903" i="1"/>
  <c r="S904" i="1" a="1"/>
  <c r="S904" i="1"/>
  <c r="S905" i="1" a="1"/>
  <c r="S905" i="1"/>
  <c r="S906" i="1" a="1"/>
  <c r="S906" i="1"/>
  <c r="S907" i="1" a="1"/>
  <c r="S907" i="1"/>
  <c r="S908" i="1" a="1"/>
  <c r="S908" i="1" s="1"/>
  <c r="S909" i="1" a="1"/>
  <c r="S909" i="1"/>
  <c r="S910" i="1" a="1"/>
  <c r="S910" i="1"/>
  <c r="S911" i="1" a="1"/>
  <c r="S911" i="1"/>
  <c r="S912" i="1" a="1"/>
  <c r="S912" i="1"/>
  <c r="S913" i="1" a="1"/>
  <c r="S913" i="1"/>
  <c r="S914" i="1" a="1"/>
  <c r="S914" i="1"/>
  <c r="S915" i="1" a="1"/>
  <c r="S915" i="1"/>
  <c r="S916" i="1" a="1"/>
  <c r="S916" i="1"/>
  <c r="S917" i="1" a="1"/>
  <c r="S917" i="1" s="1"/>
  <c r="S918" i="1" a="1"/>
  <c r="S918" i="1"/>
  <c r="S919" i="1" a="1"/>
  <c r="S919" i="1"/>
  <c r="S920" i="1" a="1"/>
  <c r="S920" i="1"/>
  <c r="S921" i="1" a="1"/>
  <c r="S921" i="1"/>
  <c r="S922" i="1" a="1"/>
  <c r="S922" i="1"/>
  <c r="S923" i="1" a="1"/>
  <c r="S923" i="1"/>
  <c r="S924" i="1" a="1"/>
  <c r="S924" i="1"/>
  <c r="S925" i="1" a="1"/>
  <c r="S925" i="1"/>
  <c r="S926" i="1" a="1"/>
  <c r="S926" i="1" s="1"/>
  <c r="S927" i="1" a="1"/>
  <c r="S927" i="1"/>
  <c r="S928" i="1" a="1"/>
  <c r="S928" i="1"/>
  <c r="S929" i="1" a="1"/>
  <c r="S929" i="1"/>
  <c r="S930" i="1" a="1"/>
  <c r="S930" i="1"/>
  <c r="S931" i="1" a="1"/>
  <c r="S931" i="1"/>
  <c r="S932" i="1" a="1"/>
  <c r="S932" i="1"/>
  <c r="S933" i="1" a="1"/>
  <c r="S933" i="1"/>
  <c r="S934" i="1" a="1"/>
  <c r="S934" i="1"/>
  <c r="S935" i="1" a="1"/>
  <c r="S935" i="1" s="1"/>
  <c r="S936" i="1" a="1"/>
  <c r="S936" i="1"/>
  <c r="S937" i="1" a="1"/>
  <c r="S937" i="1"/>
  <c r="S938" i="1" a="1"/>
  <c r="S938" i="1"/>
  <c r="S939" i="1" a="1"/>
  <c r="S939" i="1"/>
  <c r="S940" i="1" a="1"/>
  <c r="S940" i="1"/>
  <c r="S941" i="1" a="1"/>
  <c r="S941" i="1"/>
  <c r="S942" i="1" a="1"/>
  <c r="S942" i="1"/>
  <c r="S943" i="1" a="1"/>
  <c r="S943" i="1"/>
  <c r="S944" i="1" a="1"/>
  <c r="S944" i="1" s="1"/>
  <c r="S945" i="1" a="1"/>
  <c r="S945" i="1"/>
  <c r="S946" i="1" a="1"/>
  <c r="S946" i="1"/>
  <c r="S947" i="1" a="1"/>
  <c r="S947" i="1"/>
  <c r="S948" i="1" a="1"/>
  <c r="S948" i="1"/>
  <c r="S949" i="1" a="1"/>
  <c r="S949" i="1"/>
  <c r="S950" i="1" a="1"/>
  <c r="S950" i="1"/>
  <c r="S951" i="1" a="1"/>
  <c r="S951" i="1"/>
  <c r="S952" i="1" a="1"/>
  <c r="S952" i="1"/>
  <c r="S953" i="1" a="1"/>
  <c r="S953" i="1" s="1"/>
  <c r="S954" i="1" a="1"/>
  <c r="S954" i="1"/>
  <c r="S955" i="1" a="1"/>
  <c r="S955" i="1"/>
  <c r="S956" i="1" a="1"/>
  <c r="S956" i="1"/>
  <c r="S957" i="1" a="1"/>
  <c r="S957" i="1"/>
  <c r="S958" i="1" a="1"/>
  <c r="S958" i="1"/>
  <c r="S959" i="1" a="1"/>
  <c r="S959" i="1"/>
  <c r="S960" i="1" a="1"/>
  <c r="S960" i="1"/>
  <c r="S961" i="1" a="1"/>
  <c r="S961" i="1"/>
  <c r="S962" i="1" a="1"/>
  <c r="S962" i="1" s="1"/>
  <c r="S963" i="1" a="1"/>
  <c r="S963" i="1"/>
  <c r="S964" i="1" a="1"/>
  <c r="S964" i="1"/>
  <c r="S965" i="1" a="1"/>
  <c r="S965" i="1"/>
  <c r="S966" i="1" a="1"/>
  <c r="S966" i="1"/>
  <c r="S967" i="1" a="1"/>
  <c r="S967" i="1"/>
  <c r="S968" i="1" a="1"/>
  <c r="S968" i="1"/>
  <c r="S969" i="1" a="1"/>
  <c r="S969" i="1"/>
  <c r="S970" i="1" a="1"/>
  <c r="S970" i="1"/>
  <c r="S971" i="1" a="1"/>
  <c r="S971" i="1" s="1"/>
  <c r="S972" i="1" a="1"/>
  <c r="S972" i="1"/>
  <c r="S973" i="1" a="1"/>
  <c r="S973" i="1"/>
  <c r="S974" i="1" a="1"/>
  <c r="S974" i="1"/>
  <c r="S975" i="1" a="1"/>
  <c r="S975" i="1"/>
  <c r="S976" i="1" a="1"/>
  <c r="S976" i="1"/>
  <c r="S977" i="1" a="1"/>
  <c r="S977" i="1"/>
  <c r="S978" i="1" a="1"/>
  <c r="S978" i="1"/>
  <c r="S979" i="1" a="1"/>
  <c r="S979" i="1"/>
  <c r="S980" i="1" a="1"/>
  <c r="S980" i="1" s="1"/>
  <c r="S981" i="1" a="1"/>
  <c r="S981" i="1"/>
  <c r="S982" i="1" a="1"/>
  <c r="S982" i="1"/>
  <c r="S983" i="1" a="1"/>
  <c r="S983" i="1"/>
  <c r="S984" i="1" a="1"/>
  <c r="S984" i="1"/>
  <c r="S985" i="1" a="1"/>
  <c r="S985" i="1"/>
  <c r="S986" i="1" a="1"/>
  <c r="S986" i="1"/>
  <c r="S987" i="1" a="1"/>
  <c r="S987" i="1"/>
  <c r="S988" i="1" a="1"/>
  <c r="S988" i="1"/>
  <c r="S989" i="1" a="1"/>
  <c r="S989" i="1" s="1"/>
  <c r="S990" i="1" a="1"/>
  <c r="S990" i="1"/>
  <c r="S991" i="1" a="1"/>
  <c r="S991" i="1"/>
  <c r="S992" i="1" a="1"/>
  <c r="S992" i="1"/>
  <c r="S993" i="1" a="1"/>
  <c r="S993" i="1"/>
  <c r="S994" i="1" a="1"/>
  <c r="S994" i="1"/>
  <c r="S995" i="1" a="1"/>
  <c r="S995" i="1"/>
  <c r="S996" i="1" a="1"/>
  <c r="S996" i="1"/>
  <c r="S997" i="1" a="1"/>
  <c r="S997" i="1"/>
  <c r="S998" i="1" a="1"/>
  <c r="S998" i="1" s="1"/>
  <c r="S999" i="1" a="1"/>
  <c r="S999" i="1"/>
  <c r="S1000" i="1" a="1"/>
  <c r="S1000" i="1"/>
  <c r="S1001" i="1" a="1"/>
  <c r="S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22" i="1"/>
  <c r="P24" i="1"/>
  <c r="P29" i="1"/>
  <c r="P31" i="1"/>
  <c r="P32" i="1"/>
  <c r="P42" i="1"/>
  <c r="P43" i="1"/>
  <c r="P44" i="1"/>
  <c r="P76" i="1"/>
  <c r="P78" i="1"/>
  <c r="P79" i="1"/>
  <c r="P119" i="1"/>
  <c r="P121" i="1"/>
  <c r="P122" i="1"/>
  <c r="P132" i="1"/>
  <c r="P149" i="1"/>
  <c r="P150" i="1"/>
  <c r="P186" i="1"/>
  <c r="P187" i="1"/>
  <c r="P188" i="1"/>
  <c r="P204" i="1"/>
  <c r="P209" i="1"/>
  <c r="P210" i="1"/>
  <c r="P211" i="1"/>
  <c r="P235" i="1"/>
  <c r="P258" i="1"/>
  <c r="P276" i="1"/>
  <c r="P277" i="1"/>
  <c r="P281" i="1"/>
  <c r="P294" i="1"/>
  <c r="P295" i="1"/>
  <c r="P333" i="1"/>
  <c r="P334" i="1"/>
  <c r="P382" i="1"/>
  <c r="P384" i="1"/>
  <c r="P385" i="1"/>
  <c r="P386" i="1"/>
  <c r="P387" i="1"/>
  <c r="P420" i="1"/>
  <c r="P421" i="1"/>
  <c r="P422" i="1"/>
  <c r="P441" i="1"/>
  <c r="P464" i="1"/>
  <c r="P465" i="1"/>
  <c r="P472" i="1"/>
  <c r="P492" i="1"/>
  <c r="P493" i="1"/>
  <c r="P494" i="1"/>
  <c r="P510" i="1"/>
  <c r="P511" i="1"/>
  <c r="P512" i="1"/>
  <c r="P529" i="1"/>
  <c r="P543" i="1"/>
  <c r="P544" i="1"/>
  <c r="P546" i="1"/>
  <c r="P547" i="1"/>
  <c r="P600" i="1"/>
  <c r="P601" i="1"/>
  <c r="P602" i="1"/>
  <c r="P618" i="1"/>
  <c r="P619" i="1"/>
  <c r="P620" i="1"/>
  <c r="P637" i="1"/>
  <c r="P656" i="1"/>
  <c r="P667" i="1"/>
  <c r="P705" i="1"/>
  <c r="P706" i="1"/>
  <c r="P723" i="1"/>
  <c r="P726" i="1"/>
  <c r="P744" i="1"/>
  <c r="P745" i="1"/>
  <c r="P749" i="1"/>
  <c r="P772" i="1"/>
  <c r="P775" i="1"/>
  <c r="P798" i="1"/>
  <c r="P799" i="1"/>
  <c r="P800" i="1"/>
  <c r="P801" i="1"/>
  <c r="P816" i="1"/>
  <c r="P817" i="1"/>
  <c r="P825" i="1"/>
  <c r="P829" i="1"/>
  <c r="P868" i="1"/>
  <c r="P870" i="1"/>
  <c r="P871" i="1"/>
  <c r="P875" i="1"/>
  <c r="P885" i="1"/>
  <c r="P888" i="1"/>
  <c r="P889" i="1"/>
  <c r="P890" i="1"/>
  <c r="P924" i="1"/>
  <c r="P931" i="1"/>
  <c r="P960" i="1"/>
  <c r="P962" i="1"/>
  <c r="P963" i="1"/>
  <c r="P985" i="1"/>
  <c r="P986" i="1"/>
  <c r="P987" i="1"/>
  <c r="P988" i="1"/>
  <c r="P993" i="1"/>
  <c r="P998" i="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O23" i="1"/>
  <c r="P23" i="1" s="1"/>
  <c r="O24" i="1"/>
  <c r="O25" i="1"/>
  <c r="P25" i="1" s="1"/>
  <c r="O26" i="1"/>
  <c r="P26" i="1" s="1"/>
  <c r="O27" i="1"/>
  <c r="P27" i="1" s="1"/>
  <c r="O28" i="1"/>
  <c r="P28" i="1" s="1"/>
  <c r="O29" i="1"/>
  <c r="O30" i="1"/>
  <c r="P30" i="1" s="1"/>
  <c r="O31" i="1"/>
  <c r="O32" i="1"/>
  <c r="O33" i="1"/>
  <c r="P33" i="1" s="1"/>
  <c r="O34" i="1"/>
  <c r="P34" i="1" s="1"/>
  <c r="O35" i="1"/>
  <c r="P35" i="1" s="1"/>
  <c r="O36" i="1"/>
  <c r="P36" i="1" s="1"/>
  <c r="O37" i="1"/>
  <c r="P37" i="1" s="1"/>
  <c r="O38" i="1"/>
  <c r="P38" i="1" s="1"/>
  <c r="O39" i="1"/>
  <c r="P39" i="1" s="1"/>
  <c r="O40" i="1"/>
  <c r="P40" i="1" s="1"/>
  <c r="O41" i="1"/>
  <c r="P41" i="1" s="1"/>
  <c r="O42" i="1"/>
  <c r="O43" i="1"/>
  <c r="O44" i="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O77" i="1"/>
  <c r="P77" i="1" s="1"/>
  <c r="O78" i="1"/>
  <c r="O79" i="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O120" i="1"/>
  <c r="P120" i="1" s="1"/>
  <c r="O121" i="1"/>
  <c r="O122" i="1"/>
  <c r="O123" i="1"/>
  <c r="P123" i="1" s="1"/>
  <c r="O124" i="1"/>
  <c r="P124" i="1" s="1"/>
  <c r="O125" i="1"/>
  <c r="P125" i="1" s="1"/>
  <c r="O126" i="1"/>
  <c r="P126" i="1" s="1"/>
  <c r="O127" i="1"/>
  <c r="P127" i="1" s="1"/>
  <c r="O128" i="1"/>
  <c r="P128" i="1" s="1"/>
  <c r="O129" i="1"/>
  <c r="P129" i="1" s="1"/>
  <c r="O130" i="1"/>
  <c r="P130" i="1" s="1"/>
  <c r="O131" i="1"/>
  <c r="P131" i="1" s="1"/>
  <c r="O132" i="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O150" i="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O187" i="1"/>
  <c r="O188" i="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O205" i="1"/>
  <c r="P205" i="1" s="1"/>
  <c r="O206" i="1"/>
  <c r="P206" i="1" s="1"/>
  <c r="O207" i="1"/>
  <c r="P207" i="1" s="1"/>
  <c r="O208" i="1"/>
  <c r="P208" i="1" s="1"/>
  <c r="O209" i="1"/>
  <c r="O210" i="1"/>
  <c r="O211" i="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O277" i="1"/>
  <c r="O278" i="1"/>
  <c r="P278" i="1" s="1"/>
  <c r="O279" i="1"/>
  <c r="P279" i="1" s="1"/>
  <c r="O280" i="1"/>
  <c r="P280" i="1" s="1"/>
  <c r="O281" i="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O295" i="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O334" i="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O383" i="1"/>
  <c r="P383" i="1" s="1"/>
  <c r="O384" i="1"/>
  <c r="O385" i="1"/>
  <c r="O386" i="1"/>
  <c r="O387" i="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O421" i="1"/>
  <c r="O422" i="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O465" i="1"/>
  <c r="O466" i="1"/>
  <c r="P466" i="1" s="1"/>
  <c r="O467" i="1"/>
  <c r="P467" i="1" s="1"/>
  <c r="O468" i="1"/>
  <c r="P468" i="1" s="1"/>
  <c r="O469" i="1"/>
  <c r="P469" i="1" s="1"/>
  <c r="O470" i="1"/>
  <c r="P470" i="1" s="1"/>
  <c r="O471" i="1"/>
  <c r="P471" i="1" s="1"/>
  <c r="O472" i="1"/>
  <c r="O473" i="1"/>
  <c r="P473" i="1" s="1"/>
  <c r="O474" i="1"/>
  <c r="P474" i="1" s="1"/>
  <c r="O475" i="1"/>
  <c r="P475" i="1" s="1"/>
  <c r="O476" i="1"/>
  <c r="P476" i="1" s="1"/>
  <c r="O477" i="1"/>
  <c r="P477" i="1" s="1"/>
  <c r="O478" i="1"/>
  <c r="P478" i="1" s="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O493" i="1"/>
  <c r="O494" i="1"/>
  <c r="O495" i="1"/>
  <c r="P495" i="1" s="1"/>
  <c r="O496" i="1"/>
  <c r="P496" i="1" s="1"/>
  <c r="O497" i="1"/>
  <c r="P497" i="1" s="1"/>
  <c r="O498" i="1"/>
  <c r="P498" i="1" s="1"/>
  <c r="O499" i="1"/>
  <c r="P499" i="1" s="1"/>
  <c r="O500" i="1"/>
  <c r="P500" i="1" s="1"/>
  <c r="O501" i="1"/>
  <c r="P501" i="1" s="1"/>
  <c r="O502" i="1"/>
  <c r="P502" i="1" s="1"/>
  <c r="O503" i="1"/>
  <c r="P503" i="1" s="1"/>
  <c r="O504" i="1"/>
  <c r="P504" i="1" s="1"/>
  <c r="O505" i="1"/>
  <c r="P505" i="1" s="1"/>
  <c r="O506" i="1"/>
  <c r="P506" i="1" s="1"/>
  <c r="O507" i="1"/>
  <c r="P507" i="1" s="1"/>
  <c r="O508" i="1"/>
  <c r="P508" i="1" s="1"/>
  <c r="O509" i="1"/>
  <c r="P509" i="1" s="1"/>
  <c r="O510" i="1"/>
  <c r="O511" i="1"/>
  <c r="O512" i="1"/>
  <c r="O513" i="1"/>
  <c r="P513" i="1" s="1"/>
  <c r="O514" i="1"/>
  <c r="P514" i="1" s="1"/>
  <c r="O515" i="1"/>
  <c r="P515" i="1" s="1"/>
  <c r="O516" i="1"/>
  <c r="P516" i="1" s="1"/>
  <c r="O517" i="1"/>
  <c r="P517" i="1" s="1"/>
  <c r="O518" i="1"/>
  <c r="P518" i="1" s="1"/>
  <c r="O519" i="1"/>
  <c r="P519" i="1" s="1"/>
  <c r="O520" i="1"/>
  <c r="P520" i="1" s="1"/>
  <c r="O521" i="1"/>
  <c r="P521" i="1" s="1"/>
  <c r="O522" i="1"/>
  <c r="P522" i="1" s="1"/>
  <c r="O523" i="1"/>
  <c r="P523" i="1" s="1"/>
  <c r="O524" i="1"/>
  <c r="P524" i="1" s="1"/>
  <c r="O525" i="1"/>
  <c r="P525" i="1" s="1"/>
  <c r="O526" i="1"/>
  <c r="P526" i="1" s="1"/>
  <c r="O527" i="1"/>
  <c r="P527" i="1" s="1"/>
  <c r="O528" i="1"/>
  <c r="P528" i="1" s="1"/>
  <c r="O529" i="1"/>
  <c r="O530" i="1"/>
  <c r="P530" i="1" s="1"/>
  <c r="O531" i="1"/>
  <c r="P531" i="1" s="1"/>
  <c r="O532" i="1"/>
  <c r="P532" i="1" s="1"/>
  <c r="O533" i="1"/>
  <c r="P533" i="1" s="1"/>
  <c r="O534" i="1"/>
  <c r="P534" i="1" s="1"/>
  <c r="O535" i="1"/>
  <c r="P535" i="1" s="1"/>
  <c r="O536" i="1"/>
  <c r="P536" i="1" s="1"/>
  <c r="O537" i="1"/>
  <c r="P537" i="1" s="1"/>
  <c r="O538" i="1"/>
  <c r="P538" i="1" s="1"/>
  <c r="O539" i="1"/>
  <c r="P539" i="1" s="1"/>
  <c r="O540" i="1"/>
  <c r="P540" i="1" s="1"/>
  <c r="O541" i="1"/>
  <c r="P541" i="1" s="1"/>
  <c r="O542" i="1"/>
  <c r="P542" i="1" s="1"/>
  <c r="O543" i="1"/>
  <c r="O544" i="1"/>
  <c r="O545" i="1"/>
  <c r="P545" i="1" s="1"/>
  <c r="O546" i="1"/>
  <c r="O547" i="1"/>
  <c r="O548" i="1"/>
  <c r="P548" i="1" s="1"/>
  <c r="O549" i="1"/>
  <c r="P549" i="1" s="1"/>
  <c r="O550" i="1"/>
  <c r="P550" i="1" s="1"/>
  <c r="O551" i="1"/>
  <c r="P551" i="1" s="1"/>
  <c r="O552" i="1"/>
  <c r="P552" i="1" s="1"/>
  <c r="O553" i="1"/>
  <c r="P553" i="1" s="1"/>
  <c r="O554" i="1"/>
  <c r="P554" i="1" s="1"/>
  <c r="O555" i="1"/>
  <c r="P555" i="1" s="1"/>
  <c r="O556" i="1"/>
  <c r="P556" i="1" s="1"/>
  <c r="O557" i="1"/>
  <c r="P557" i="1" s="1"/>
  <c r="O558" i="1"/>
  <c r="P558" i="1" s="1"/>
  <c r="O559" i="1"/>
  <c r="P559" i="1" s="1"/>
  <c r="O560" i="1"/>
  <c r="P560" i="1" s="1"/>
  <c r="O561" i="1"/>
  <c r="P561" i="1" s="1"/>
  <c r="O562" i="1"/>
  <c r="P562" i="1" s="1"/>
  <c r="O563" i="1"/>
  <c r="P563" i="1" s="1"/>
  <c r="O564" i="1"/>
  <c r="P564" i="1" s="1"/>
  <c r="O565" i="1"/>
  <c r="P565" i="1" s="1"/>
  <c r="O566" i="1"/>
  <c r="P566" i="1" s="1"/>
  <c r="O567" i="1"/>
  <c r="P567" i="1" s="1"/>
  <c r="O568" i="1"/>
  <c r="P568" i="1" s="1"/>
  <c r="O569" i="1"/>
  <c r="P569" i="1" s="1"/>
  <c r="O570" i="1"/>
  <c r="P570" i="1" s="1"/>
  <c r="O571" i="1"/>
  <c r="P571" i="1" s="1"/>
  <c r="O572" i="1"/>
  <c r="P572" i="1" s="1"/>
  <c r="O573" i="1"/>
  <c r="P573" i="1" s="1"/>
  <c r="O574" i="1"/>
  <c r="P574" i="1" s="1"/>
  <c r="O575" i="1"/>
  <c r="P575" i="1" s="1"/>
  <c r="O576" i="1"/>
  <c r="P576" i="1" s="1"/>
  <c r="O577" i="1"/>
  <c r="P577" i="1" s="1"/>
  <c r="O578" i="1"/>
  <c r="P578" i="1" s="1"/>
  <c r="O579" i="1"/>
  <c r="P579" i="1" s="1"/>
  <c r="O580" i="1"/>
  <c r="P580" i="1" s="1"/>
  <c r="O581" i="1"/>
  <c r="P581" i="1" s="1"/>
  <c r="O582" i="1"/>
  <c r="P582" i="1" s="1"/>
  <c r="O583" i="1"/>
  <c r="P583" i="1" s="1"/>
  <c r="O584" i="1"/>
  <c r="P584" i="1" s="1"/>
  <c r="O585" i="1"/>
  <c r="P585" i="1" s="1"/>
  <c r="O586" i="1"/>
  <c r="P586" i="1" s="1"/>
  <c r="O587" i="1"/>
  <c r="P587" i="1" s="1"/>
  <c r="O588" i="1"/>
  <c r="P588" i="1" s="1"/>
  <c r="O589" i="1"/>
  <c r="P589" i="1" s="1"/>
  <c r="O590" i="1"/>
  <c r="P590" i="1" s="1"/>
  <c r="O591" i="1"/>
  <c r="P591" i="1" s="1"/>
  <c r="O592" i="1"/>
  <c r="P592" i="1" s="1"/>
  <c r="O593" i="1"/>
  <c r="P593" i="1" s="1"/>
  <c r="O594" i="1"/>
  <c r="P594" i="1" s="1"/>
  <c r="O595" i="1"/>
  <c r="P595" i="1" s="1"/>
  <c r="O596" i="1"/>
  <c r="P596" i="1" s="1"/>
  <c r="O597" i="1"/>
  <c r="P597" i="1" s="1"/>
  <c r="O598" i="1"/>
  <c r="P598" i="1" s="1"/>
  <c r="O599" i="1"/>
  <c r="P599" i="1" s="1"/>
  <c r="O600" i="1"/>
  <c r="O601" i="1"/>
  <c r="O602" i="1"/>
  <c r="O603" i="1"/>
  <c r="P603" i="1" s="1"/>
  <c r="O604" i="1"/>
  <c r="P604" i="1" s="1"/>
  <c r="O605" i="1"/>
  <c r="P605" i="1" s="1"/>
  <c r="O606" i="1"/>
  <c r="P606" i="1" s="1"/>
  <c r="O607" i="1"/>
  <c r="P607" i="1" s="1"/>
  <c r="O608" i="1"/>
  <c r="P608" i="1" s="1"/>
  <c r="O609" i="1"/>
  <c r="P609" i="1" s="1"/>
  <c r="O610" i="1"/>
  <c r="P610" i="1" s="1"/>
  <c r="O611" i="1"/>
  <c r="P611" i="1" s="1"/>
  <c r="O612" i="1"/>
  <c r="P612" i="1" s="1"/>
  <c r="O613" i="1"/>
  <c r="P613" i="1" s="1"/>
  <c r="O614" i="1"/>
  <c r="P614" i="1" s="1"/>
  <c r="O615" i="1"/>
  <c r="P615" i="1" s="1"/>
  <c r="O616" i="1"/>
  <c r="P616" i="1" s="1"/>
  <c r="O617" i="1"/>
  <c r="P617" i="1" s="1"/>
  <c r="O618" i="1"/>
  <c r="O619" i="1"/>
  <c r="O620" i="1"/>
  <c r="O621" i="1"/>
  <c r="P621" i="1" s="1"/>
  <c r="O622" i="1"/>
  <c r="P622" i="1" s="1"/>
  <c r="O623" i="1"/>
  <c r="P623" i="1" s="1"/>
  <c r="O624" i="1"/>
  <c r="P624" i="1" s="1"/>
  <c r="O625" i="1"/>
  <c r="P625" i="1" s="1"/>
  <c r="O626" i="1"/>
  <c r="P626" i="1" s="1"/>
  <c r="O627" i="1"/>
  <c r="P627" i="1" s="1"/>
  <c r="O628" i="1"/>
  <c r="P628" i="1" s="1"/>
  <c r="O629" i="1"/>
  <c r="P629" i="1" s="1"/>
  <c r="O630" i="1"/>
  <c r="P630" i="1" s="1"/>
  <c r="O631" i="1"/>
  <c r="P631" i="1" s="1"/>
  <c r="O632" i="1"/>
  <c r="P632" i="1" s="1"/>
  <c r="O633" i="1"/>
  <c r="P633" i="1" s="1"/>
  <c r="O634" i="1"/>
  <c r="P634" i="1" s="1"/>
  <c r="O635" i="1"/>
  <c r="P635" i="1" s="1"/>
  <c r="O636" i="1"/>
  <c r="P636" i="1" s="1"/>
  <c r="O637" i="1"/>
  <c r="O638" i="1"/>
  <c r="P638" i="1" s="1"/>
  <c r="O639" i="1"/>
  <c r="P639" i="1" s="1"/>
  <c r="O640" i="1"/>
  <c r="P640" i="1" s="1"/>
  <c r="O641" i="1"/>
  <c r="P641" i="1" s="1"/>
  <c r="O642" i="1"/>
  <c r="P642" i="1" s="1"/>
  <c r="O643" i="1"/>
  <c r="P643" i="1" s="1"/>
  <c r="O644" i="1"/>
  <c r="P644" i="1" s="1"/>
  <c r="O645" i="1"/>
  <c r="P645" i="1" s="1"/>
  <c r="O646" i="1"/>
  <c r="P646" i="1" s="1"/>
  <c r="O647" i="1"/>
  <c r="P647" i="1" s="1"/>
  <c r="O648" i="1"/>
  <c r="P648" i="1" s="1"/>
  <c r="O649" i="1"/>
  <c r="P649" i="1" s="1"/>
  <c r="O650" i="1"/>
  <c r="P650" i="1" s="1"/>
  <c r="O651" i="1"/>
  <c r="P651" i="1" s="1"/>
  <c r="O652" i="1"/>
  <c r="P652" i="1" s="1"/>
  <c r="O653" i="1"/>
  <c r="P653" i="1" s="1"/>
  <c r="O654" i="1"/>
  <c r="P654" i="1" s="1"/>
  <c r="O655" i="1"/>
  <c r="P655" i="1" s="1"/>
  <c r="O656" i="1"/>
  <c r="O657" i="1"/>
  <c r="P657" i="1" s="1"/>
  <c r="O658" i="1"/>
  <c r="P658" i="1" s="1"/>
  <c r="O659" i="1"/>
  <c r="P659" i="1" s="1"/>
  <c r="O660" i="1"/>
  <c r="P660" i="1" s="1"/>
  <c r="O661" i="1"/>
  <c r="P661" i="1" s="1"/>
  <c r="O662" i="1"/>
  <c r="P662" i="1" s="1"/>
  <c r="O663" i="1"/>
  <c r="P663" i="1" s="1"/>
  <c r="O664" i="1"/>
  <c r="P664" i="1" s="1"/>
  <c r="O665" i="1"/>
  <c r="P665" i="1" s="1"/>
  <c r="O666" i="1"/>
  <c r="P666" i="1" s="1"/>
  <c r="O667" i="1"/>
  <c r="O668" i="1"/>
  <c r="P668" i="1" s="1"/>
  <c r="O669" i="1"/>
  <c r="P669" i="1" s="1"/>
  <c r="O670" i="1"/>
  <c r="P670" i="1" s="1"/>
  <c r="O671" i="1"/>
  <c r="P671" i="1" s="1"/>
  <c r="O672" i="1"/>
  <c r="P672" i="1" s="1"/>
  <c r="O673" i="1"/>
  <c r="P673" i="1" s="1"/>
  <c r="O674" i="1"/>
  <c r="P674"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O700" i="1"/>
  <c r="P700" i="1" s="1"/>
  <c r="O701" i="1"/>
  <c r="P701" i="1" s="1"/>
  <c r="O702" i="1"/>
  <c r="P702" i="1" s="1"/>
  <c r="O703" i="1"/>
  <c r="P703" i="1" s="1"/>
  <c r="O704" i="1"/>
  <c r="P704" i="1" s="1"/>
  <c r="O705" i="1"/>
  <c r="O706" i="1"/>
  <c r="O707" i="1"/>
  <c r="P707" i="1" s="1"/>
  <c r="O708" i="1"/>
  <c r="P708" i="1" s="1"/>
  <c r="O709" i="1"/>
  <c r="P709" i="1" s="1"/>
  <c r="O710" i="1"/>
  <c r="P710" i="1" s="1"/>
  <c r="O711" i="1"/>
  <c r="P711" i="1" s="1"/>
  <c r="O712" i="1"/>
  <c r="P712" i="1" s="1"/>
  <c r="O713" i="1"/>
  <c r="P713" i="1" s="1"/>
  <c r="O714" i="1"/>
  <c r="P714" i="1" s="1"/>
  <c r="O715" i="1"/>
  <c r="P715" i="1" s="1"/>
  <c r="O716" i="1"/>
  <c r="P716" i="1" s="1"/>
  <c r="O717" i="1"/>
  <c r="P717" i="1" s="1"/>
  <c r="O718" i="1"/>
  <c r="P718" i="1" s="1"/>
  <c r="O719" i="1"/>
  <c r="P719" i="1" s="1"/>
  <c r="O720" i="1"/>
  <c r="P720" i="1" s="1"/>
  <c r="O721" i="1"/>
  <c r="P721" i="1" s="1"/>
  <c r="O722" i="1"/>
  <c r="P722" i="1" s="1"/>
  <c r="O723" i="1"/>
  <c r="O724" i="1"/>
  <c r="P724" i="1" s="1"/>
  <c r="O725" i="1"/>
  <c r="P725" i="1" s="1"/>
  <c r="O726" i="1"/>
  <c r="O727" i="1"/>
  <c r="P727" i="1" s="1"/>
  <c r="O728" i="1"/>
  <c r="P728" i="1" s="1"/>
  <c r="O729" i="1"/>
  <c r="P729" i="1" s="1"/>
  <c r="O730" i="1"/>
  <c r="P730" i="1" s="1"/>
  <c r="O731" i="1"/>
  <c r="P731" i="1" s="1"/>
  <c r="O732" i="1"/>
  <c r="P732" i="1" s="1"/>
  <c r="O733" i="1"/>
  <c r="P733" i="1" s="1"/>
  <c r="O734" i="1"/>
  <c r="P734" i="1" s="1"/>
  <c r="O735" i="1"/>
  <c r="P735" i="1" s="1"/>
  <c r="O736" i="1"/>
  <c r="P736" i="1" s="1"/>
  <c r="O737" i="1"/>
  <c r="P737" i="1" s="1"/>
  <c r="O738" i="1"/>
  <c r="P738" i="1" s="1"/>
  <c r="O739" i="1"/>
  <c r="P739" i="1" s="1"/>
  <c r="O740" i="1"/>
  <c r="P740" i="1" s="1"/>
  <c r="O741" i="1"/>
  <c r="P741" i="1" s="1"/>
  <c r="O742" i="1"/>
  <c r="P742" i="1" s="1"/>
  <c r="O743" i="1"/>
  <c r="P743" i="1" s="1"/>
  <c r="O744" i="1"/>
  <c r="O745" i="1"/>
  <c r="O746" i="1"/>
  <c r="P746" i="1" s="1"/>
  <c r="O747" i="1"/>
  <c r="P747" i="1" s="1"/>
  <c r="O748" i="1"/>
  <c r="P748" i="1" s="1"/>
  <c r="O749" i="1"/>
  <c r="O750" i="1"/>
  <c r="P750" i="1" s="1"/>
  <c r="O751" i="1"/>
  <c r="P751" i="1" s="1"/>
  <c r="O752" i="1"/>
  <c r="P752" i="1" s="1"/>
  <c r="O753" i="1"/>
  <c r="P753" i="1" s="1"/>
  <c r="O754" i="1"/>
  <c r="P754" i="1" s="1"/>
  <c r="O755" i="1"/>
  <c r="P755" i="1" s="1"/>
  <c r="O756" i="1"/>
  <c r="P756" i="1" s="1"/>
  <c r="O757" i="1"/>
  <c r="P757" i="1" s="1"/>
  <c r="O758" i="1"/>
  <c r="P758" i="1" s="1"/>
  <c r="O759" i="1"/>
  <c r="P759" i="1" s="1"/>
  <c r="O760" i="1"/>
  <c r="P760" i="1" s="1"/>
  <c r="O761" i="1"/>
  <c r="P761" i="1" s="1"/>
  <c r="O762" i="1"/>
  <c r="P762" i="1" s="1"/>
  <c r="O763" i="1"/>
  <c r="P763" i="1" s="1"/>
  <c r="O764" i="1"/>
  <c r="P764" i="1" s="1"/>
  <c r="O765" i="1"/>
  <c r="P765" i="1" s="1"/>
  <c r="O766" i="1"/>
  <c r="P766" i="1" s="1"/>
  <c r="O767" i="1"/>
  <c r="P767" i="1" s="1"/>
  <c r="O768" i="1"/>
  <c r="P768" i="1" s="1"/>
  <c r="O769" i="1"/>
  <c r="P769" i="1" s="1"/>
  <c r="O770" i="1"/>
  <c r="P770" i="1" s="1"/>
  <c r="O771" i="1"/>
  <c r="P771" i="1" s="1"/>
  <c r="O772" i="1"/>
  <c r="O773" i="1"/>
  <c r="P773" i="1" s="1"/>
  <c r="O774" i="1"/>
  <c r="P774" i="1" s="1"/>
  <c r="O775" i="1"/>
  <c r="O776" i="1"/>
  <c r="P776" i="1" s="1"/>
  <c r="O777" i="1"/>
  <c r="P777" i="1" s="1"/>
  <c r="O778" i="1"/>
  <c r="P778" i="1" s="1"/>
  <c r="O779" i="1"/>
  <c r="P779" i="1" s="1"/>
  <c r="O780" i="1"/>
  <c r="P780" i="1" s="1"/>
  <c r="O781" i="1"/>
  <c r="P781" i="1" s="1"/>
  <c r="O782" i="1"/>
  <c r="P782" i="1" s="1"/>
  <c r="O783" i="1"/>
  <c r="P783" i="1" s="1"/>
  <c r="O784" i="1"/>
  <c r="P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O799" i="1"/>
  <c r="O800" i="1"/>
  <c r="O801" i="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O817" i="1"/>
  <c r="O818" i="1"/>
  <c r="P818" i="1" s="1"/>
  <c r="O819" i="1"/>
  <c r="P819" i="1" s="1"/>
  <c r="O820" i="1"/>
  <c r="P820" i="1" s="1"/>
  <c r="O821" i="1"/>
  <c r="P821" i="1" s="1"/>
  <c r="O822" i="1"/>
  <c r="P822" i="1" s="1"/>
  <c r="O823" i="1"/>
  <c r="P823" i="1" s="1"/>
  <c r="O824" i="1"/>
  <c r="P824" i="1" s="1"/>
  <c r="O825" i="1"/>
  <c r="O826" i="1"/>
  <c r="P826" i="1" s="1"/>
  <c r="O827" i="1"/>
  <c r="P827" i="1" s="1"/>
  <c r="O828" i="1"/>
  <c r="P828" i="1" s="1"/>
  <c r="O829" i="1"/>
  <c r="O830" i="1"/>
  <c r="P830" i="1" s="1"/>
  <c r="O831" i="1"/>
  <c r="P831" i="1" s="1"/>
  <c r="O832" i="1"/>
  <c r="P832" i="1" s="1"/>
  <c r="O833" i="1"/>
  <c r="P833" i="1" s="1"/>
  <c r="O834" i="1"/>
  <c r="P834" i="1" s="1"/>
  <c r="O835" i="1"/>
  <c r="P835" i="1" s="1"/>
  <c r="O836" i="1"/>
  <c r="P836" i="1" s="1"/>
  <c r="O837" i="1"/>
  <c r="P837" i="1" s="1"/>
  <c r="O838" i="1"/>
  <c r="P838" i="1" s="1"/>
  <c r="O839" i="1"/>
  <c r="P839" i="1" s="1"/>
  <c r="O840" i="1"/>
  <c r="P840" i="1" s="1"/>
  <c r="O841" i="1"/>
  <c r="P841" i="1" s="1"/>
  <c r="O842" i="1"/>
  <c r="P842" i="1" s="1"/>
  <c r="O843" i="1"/>
  <c r="P843" i="1" s="1"/>
  <c r="O844" i="1"/>
  <c r="P844" i="1" s="1"/>
  <c r="O845" i="1"/>
  <c r="P845" i="1" s="1"/>
  <c r="O846" i="1"/>
  <c r="P846" i="1" s="1"/>
  <c r="O847" i="1"/>
  <c r="P847" i="1" s="1"/>
  <c r="O848" i="1"/>
  <c r="P848" i="1" s="1"/>
  <c r="O849" i="1"/>
  <c r="P849" i="1" s="1"/>
  <c r="O850" i="1"/>
  <c r="P850" i="1" s="1"/>
  <c r="O851" i="1"/>
  <c r="P851" i="1" s="1"/>
  <c r="O852" i="1"/>
  <c r="P852" i="1" s="1"/>
  <c r="O853" i="1"/>
  <c r="P853" i="1" s="1"/>
  <c r="O854" i="1"/>
  <c r="P854" i="1" s="1"/>
  <c r="O855" i="1"/>
  <c r="P855" i="1" s="1"/>
  <c r="O856" i="1"/>
  <c r="P856" i="1" s="1"/>
  <c r="O857" i="1"/>
  <c r="P857" i="1" s="1"/>
  <c r="O858" i="1"/>
  <c r="P858" i="1" s="1"/>
  <c r="O859" i="1"/>
  <c r="P859" i="1" s="1"/>
  <c r="O860" i="1"/>
  <c r="P860" i="1" s="1"/>
  <c r="O861" i="1"/>
  <c r="P861" i="1" s="1"/>
  <c r="O862" i="1"/>
  <c r="P862" i="1" s="1"/>
  <c r="O863" i="1"/>
  <c r="P863" i="1" s="1"/>
  <c r="O864" i="1"/>
  <c r="P864" i="1" s="1"/>
  <c r="O865" i="1"/>
  <c r="P865" i="1" s="1"/>
  <c r="O866" i="1"/>
  <c r="P866" i="1" s="1"/>
  <c r="O867" i="1"/>
  <c r="P867" i="1" s="1"/>
  <c r="O868" i="1"/>
  <c r="O869" i="1"/>
  <c r="P869" i="1" s="1"/>
  <c r="O870" i="1"/>
  <c r="O871" i="1"/>
  <c r="O872" i="1"/>
  <c r="P872" i="1" s="1"/>
  <c r="O873" i="1"/>
  <c r="P873" i="1" s="1"/>
  <c r="O874" i="1"/>
  <c r="P874" i="1" s="1"/>
  <c r="O875" i="1"/>
  <c r="O876" i="1"/>
  <c r="P876" i="1" s="1"/>
  <c r="O877" i="1"/>
  <c r="P877" i="1" s="1"/>
  <c r="O878" i="1"/>
  <c r="P878" i="1" s="1"/>
  <c r="O879" i="1"/>
  <c r="P879" i="1" s="1"/>
  <c r="O880" i="1"/>
  <c r="P880" i="1" s="1"/>
  <c r="O881" i="1"/>
  <c r="P881" i="1" s="1"/>
  <c r="O882" i="1"/>
  <c r="P882" i="1" s="1"/>
  <c r="O883" i="1"/>
  <c r="P883" i="1" s="1"/>
  <c r="O884" i="1"/>
  <c r="P884" i="1" s="1"/>
  <c r="O885" i="1"/>
  <c r="O886" i="1"/>
  <c r="P886" i="1" s="1"/>
  <c r="O887" i="1"/>
  <c r="P887" i="1" s="1"/>
  <c r="O888" i="1"/>
  <c r="O889" i="1"/>
  <c r="O890" i="1"/>
  <c r="O891" i="1"/>
  <c r="P891" i="1" s="1"/>
  <c r="O892" i="1"/>
  <c r="P892" i="1" s="1"/>
  <c r="O893" i="1"/>
  <c r="P893" i="1" s="1"/>
  <c r="O894" i="1"/>
  <c r="P894" i="1" s="1"/>
  <c r="O895" i="1"/>
  <c r="P895" i="1" s="1"/>
  <c r="O896" i="1"/>
  <c r="P896" i="1" s="1"/>
  <c r="O897" i="1"/>
  <c r="P897" i="1" s="1"/>
  <c r="O898" i="1"/>
  <c r="P898" i="1" s="1"/>
  <c r="O899" i="1"/>
  <c r="P899" i="1" s="1"/>
  <c r="O900" i="1"/>
  <c r="P900" i="1" s="1"/>
  <c r="O901" i="1"/>
  <c r="P901" i="1" s="1"/>
  <c r="O902" i="1"/>
  <c r="P902" i="1" s="1"/>
  <c r="O903" i="1"/>
  <c r="P903" i="1" s="1"/>
  <c r="O904" i="1"/>
  <c r="P904" i="1" s="1"/>
  <c r="O905" i="1"/>
  <c r="P905" i="1" s="1"/>
  <c r="O906" i="1"/>
  <c r="P906" i="1" s="1"/>
  <c r="O907" i="1"/>
  <c r="P907" i="1" s="1"/>
  <c r="O908" i="1"/>
  <c r="P908" i="1" s="1"/>
  <c r="O909" i="1"/>
  <c r="P909" i="1" s="1"/>
  <c r="O910" i="1"/>
  <c r="P910" i="1" s="1"/>
  <c r="O911" i="1"/>
  <c r="P911" i="1" s="1"/>
  <c r="O912" i="1"/>
  <c r="P912" i="1" s="1"/>
  <c r="O913" i="1"/>
  <c r="P913" i="1" s="1"/>
  <c r="O914" i="1"/>
  <c r="P914" i="1" s="1"/>
  <c r="O915" i="1"/>
  <c r="P915" i="1" s="1"/>
  <c r="O916" i="1"/>
  <c r="P916" i="1" s="1"/>
  <c r="O917" i="1"/>
  <c r="P917" i="1" s="1"/>
  <c r="O918" i="1"/>
  <c r="P918" i="1" s="1"/>
  <c r="O919" i="1"/>
  <c r="P919" i="1" s="1"/>
  <c r="O920" i="1"/>
  <c r="P920" i="1" s="1"/>
  <c r="O921" i="1"/>
  <c r="P921" i="1" s="1"/>
  <c r="O922" i="1"/>
  <c r="P922" i="1" s="1"/>
  <c r="O923" i="1"/>
  <c r="P923" i="1" s="1"/>
  <c r="O924" i="1"/>
  <c r="O925" i="1"/>
  <c r="P925" i="1" s="1"/>
  <c r="O926" i="1"/>
  <c r="P926" i="1" s="1"/>
  <c r="O927" i="1"/>
  <c r="P927" i="1" s="1"/>
  <c r="O928" i="1"/>
  <c r="P928" i="1" s="1"/>
  <c r="O929" i="1"/>
  <c r="P929" i="1" s="1"/>
  <c r="O930" i="1"/>
  <c r="P930" i="1" s="1"/>
  <c r="O931" i="1"/>
  <c r="O932" i="1"/>
  <c r="P932" i="1" s="1"/>
  <c r="O933" i="1"/>
  <c r="P933" i="1" s="1"/>
  <c r="O934" i="1"/>
  <c r="P934" i="1" s="1"/>
  <c r="O935" i="1"/>
  <c r="P935" i="1" s="1"/>
  <c r="O936" i="1"/>
  <c r="P936" i="1" s="1"/>
  <c r="O937" i="1"/>
  <c r="P937" i="1" s="1"/>
  <c r="O938" i="1"/>
  <c r="P938" i="1" s="1"/>
  <c r="O939" i="1"/>
  <c r="P939" i="1" s="1"/>
  <c r="O940" i="1"/>
  <c r="P940" i="1" s="1"/>
  <c r="O941" i="1"/>
  <c r="P941" i="1" s="1"/>
  <c r="O942" i="1"/>
  <c r="P942" i="1" s="1"/>
  <c r="O943" i="1"/>
  <c r="P943" i="1" s="1"/>
  <c r="O944" i="1"/>
  <c r="P944" i="1" s="1"/>
  <c r="O945" i="1"/>
  <c r="P945" i="1" s="1"/>
  <c r="O946" i="1"/>
  <c r="P946" i="1" s="1"/>
  <c r="O947" i="1"/>
  <c r="P947" i="1" s="1"/>
  <c r="O948" i="1"/>
  <c r="P948" i="1" s="1"/>
  <c r="O949" i="1"/>
  <c r="P949" i="1" s="1"/>
  <c r="O950" i="1"/>
  <c r="P950" i="1" s="1"/>
  <c r="O951" i="1"/>
  <c r="P951" i="1" s="1"/>
  <c r="O952" i="1"/>
  <c r="P952" i="1" s="1"/>
  <c r="O953" i="1"/>
  <c r="P953" i="1" s="1"/>
  <c r="O954" i="1"/>
  <c r="P954" i="1" s="1"/>
  <c r="O955" i="1"/>
  <c r="P955" i="1" s="1"/>
  <c r="O956" i="1"/>
  <c r="P956" i="1" s="1"/>
  <c r="O957" i="1"/>
  <c r="P957" i="1" s="1"/>
  <c r="O958" i="1"/>
  <c r="P958" i="1" s="1"/>
  <c r="O959" i="1"/>
  <c r="P959" i="1" s="1"/>
  <c r="O960" i="1"/>
  <c r="O961" i="1"/>
  <c r="P961" i="1" s="1"/>
  <c r="O962" i="1"/>
  <c r="O963" i="1"/>
  <c r="O964" i="1"/>
  <c r="P964" i="1" s="1"/>
  <c r="O965" i="1"/>
  <c r="P965" i="1" s="1"/>
  <c r="O966" i="1"/>
  <c r="P966" i="1" s="1"/>
  <c r="O967" i="1"/>
  <c r="P967" i="1" s="1"/>
  <c r="O968" i="1"/>
  <c r="P968" i="1" s="1"/>
  <c r="O969" i="1"/>
  <c r="P969" i="1" s="1"/>
  <c r="O970" i="1"/>
  <c r="P970" i="1" s="1"/>
  <c r="O971" i="1"/>
  <c r="P971" i="1" s="1"/>
  <c r="O972" i="1"/>
  <c r="P972" i="1" s="1"/>
  <c r="O973" i="1"/>
  <c r="P973" i="1" s="1"/>
  <c r="O974" i="1"/>
  <c r="P974" i="1" s="1"/>
  <c r="O975" i="1"/>
  <c r="P975" i="1" s="1"/>
  <c r="O976" i="1"/>
  <c r="P976" i="1" s="1"/>
  <c r="O977" i="1"/>
  <c r="P977" i="1" s="1"/>
  <c r="O978" i="1"/>
  <c r="P978" i="1" s="1"/>
  <c r="O979" i="1"/>
  <c r="P979" i="1" s="1"/>
  <c r="O980" i="1"/>
  <c r="P980" i="1" s="1"/>
  <c r="O981" i="1"/>
  <c r="P981" i="1" s="1"/>
  <c r="O982" i="1"/>
  <c r="P982" i="1" s="1"/>
  <c r="O983" i="1"/>
  <c r="P983" i="1" s="1"/>
  <c r="O984" i="1"/>
  <c r="P984" i="1" s="1"/>
  <c r="O985" i="1"/>
  <c r="O986" i="1"/>
  <c r="O987" i="1"/>
  <c r="O988" i="1"/>
  <c r="O989" i="1"/>
  <c r="P989" i="1" s="1"/>
  <c r="O990" i="1"/>
  <c r="P990" i="1" s="1"/>
  <c r="O991" i="1"/>
  <c r="P991" i="1" s="1"/>
  <c r="O992" i="1"/>
  <c r="P992" i="1" s="1"/>
  <c r="O993" i="1"/>
  <c r="O994" i="1"/>
  <c r="P994" i="1" s="1"/>
  <c r="O995" i="1"/>
  <c r="P995" i="1" s="1"/>
  <c r="O996" i="1"/>
  <c r="P996" i="1" s="1"/>
  <c r="O997" i="1"/>
  <c r="P997" i="1" s="1"/>
  <c r="O998" i="1"/>
  <c r="O999" i="1"/>
  <c r="P999" i="1" s="1"/>
  <c r="O1000" i="1"/>
  <c r="P1000" i="1" s="1"/>
  <c r="O1001" i="1"/>
  <c r="P1001" i="1" s="1"/>
  <c r="O2" i="1"/>
  <c r="P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<sst xmlns="http://schemas.openxmlformats.org/spreadsheetml/2006/main" count="9122" uniqueCount="2007">
  <si>
    <t>EEID</t>
  </si>
  <si>
    <t>Full Name</t>
  </si>
  <si>
    <t>Job Title</t>
  </si>
  <si>
    <t>Department</t>
  </si>
  <si>
    <t>Business Unit</t>
  </si>
  <si>
    <t>Gender</t>
  </si>
  <si>
    <t>Ethnicity</t>
  </si>
  <si>
    <t>Age</t>
  </si>
  <si>
    <t>Hire Date</t>
  </si>
  <si>
    <t>Annual Salary</t>
  </si>
  <si>
    <t>Bonus %</t>
  </si>
  <si>
    <t>Country</t>
  </si>
  <si>
    <t>City</t>
  </si>
  <si>
    <t>Exit Date</t>
  </si>
  <si>
    <t>E02387</t>
  </si>
  <si>
    <t>Emily Davis</t>
  </si>
  <si>
    <t>Sr. Manger</t>
  </si>
  <si>
    <t>IT</t>
  </si>
  <si>
    <t>Research &amp; Development</t>
  </si>
  <si>
    <t>Female</t>
  </si>
  <si>
    <t>Black</t>
  </si>
  <si>
    <t>United States</t>
  </si>
  <si>
    <t>Seattle</t>
  </si>
  <si>
    <t>E04105</t>
  </si>
  <si>
    <t>Theodore Dinh</t>
  </si>
  <si>
    <t>Technical Architect</t>
  </si>
  <si>
    <t>Manufacturing</t>
  </si>
  <si>
    <t>Male</t>
  </si>
  <si>
    <t>Asian</t>
  </si>
  <si>
    <t>China</t>
  </si>
  <si>
    <t>Chongqing</t>
  </si>
  <si>
    <t>E02572</t>
  </si>
  <si>
    <t>Luna Sanders</t>
  </si>
  <si>
    <t>Director</t>
  </si>
  <si>
    <t>Finance</t>
  </si>
  <si>
    <t>Speciality Products</t>
  </si>
  <si>
    <t>Caucasian</t>
  </si>
  <si>
    <t>Chicago</t>
  </si>
  <si>
    <t>E02832</t>
  </si>
  <si>
    <t>Penelope Jordan</t>
  </si>
  <si>
    <t>Computer Systems Manager</t>
  </si>
  <si>
    <t>E01639</t>
  </si>
  <si>
    <t>Austin Vo</t>
  </si>
  <si>
    <t>Sr. Analyst</t>
  </si>
  <si>
    <t>Phoenix</t>
  </si>
  <si>
    <t>E00644</t>
  </si>
  <si>
    <t>Joshua Gupta</t>
  </si>
  <si>
    <t>Account Representative</t>
  </si>
  <si>
    <t>Sales</t>
  </si>
  <si>
    <t>Corporate</t>
  </si>
  <si>
    <t>E01550</t>
  </si>
  <si>
    <t>Ruby Barnes</t>
  </si>
  <si>
    <t>Manager</t>
  </si>
  <si>
    <t>E04332</t>
  </si>
  <si>
    <t>Luke Martin</t>
  </si>
  <si>
    <t>Analyst</t>
  </si>
  <si>
    <t>Miami</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</si>
  <si>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</si>
  <si>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</si>
  <si>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</si>
  <si>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</si>
  <si>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</si>
  <si>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</si>
  <si>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</si>
  <si>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</si>
  <si>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</si>
  <si>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</si>
  <si>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</si>
  <si>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</si>
  <si>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</si>
  <si>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</si>
  <si>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</si>
  <si>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E04239</t>
  </si>
  <si>
    <t>Everleigh Ng</t>
  </si>
  <si>
    <t>Shanghai</t>
  </si>
  <si>
    <t>E03496</t>
  </si>
  <si>
    <t>Robert Yang</t>
  </si>
  <si>
    <t>E00549</t>
  </si>
  <si>
    <t>Isabella Xi</t>
  </si>
  <si>
    <t>Vice President</t>
  </si>
  <si>
    <t>Marketing</t>
  </si>
  <si>
    <t>E00163</t>
  </si>
  <si>
    <t>Bella Powell</t>
  </si>
  <si>
    <t>E00884</t>
  </si>
  <si>
    <t>Camila Silva</t>
  </si>
  <si>
    <t>Latino</t>
  </si>
  <si>
    <t>E04116</t>
  </si>
  <si>
    <t>David Barnes</t>
  </si>
  <si>
    <t>Columbus</t>
  </si>
  <si>
    <t>E04625</t>
  </si>
  <si>
    <t>Adam Dang</t>
  </si>
  <si>
    <t>E03680</t>
  </si>
  <si>
    <t>Elias Alvarado</t>
  </si>
  <si>
    <t>Brazil</t>
  </si>
  <si>
    <t>Manaus</t>
  </si>
  <si>
    <t>E04732</t>
  </si>
  <si>
    <t>Eva Rivera</t>
  </si>
  <si>
    <t>E03484</t>
  </si>
  <si>
    <t>Logan Rivera</t>
  </si>
  <si>
    <t>Rio de Janerio</t>
  </si>
  <si>
    <t>E00671</t>
  </si>
  <si>
    <t>Leonardo Dixon</t>
  </si>
  <si>
    <t>E02071</t>
  </si>
  <si>
    <t>Mateo Her</t>
  </si>
  <si>
    <t>E02206</t>
  </si>
  <si>
    <t>Jose Henderson</t>
  </si>
  <si>
    <t>E04545</t>
  </si>
  <si>
    <t>Abigail Mejia</t>
  </si>
  <si>
    <t>Quality Engineer</t>
  </si>
  <si>
    <t>E00154</t>
  </si>
  <si>
    <t>Wyatt Chin</t>
  </si>
  <si>
    <t>E03343</t>
  </si>
  <si>
    <t>Carson Lu</t>
  </si>
  <si>
    <t>Engineering Manager</t>
  </si>
  <si>
    <t>Beijing</t>
  </si>
  <si>
    <t>E00304</t>
  </si>
  <si>
    <t>Dylan Choi</t>
  </si>
  <si>
    <t>E02594</t>
  </si>
  <si>
    <t>Ezekiel Kumar</t>
  </si>
  <si>
    <t>IT Coordinator</t>
  </si>
  <si>
    <t>E00402</t>
  </si>
  <si>
    <t>Dominic Guzman</t>
  </si>
  <si>
    <t>E01994</t>
  </si>
  <si>
    <t>Angel Powell</t>
  </si>
  <si>
    <t>Analyst II</t>
  </si>
  <si>
    <t>E03549</t>
  </si>
  <si>
    <t>Mateo Vu</t>
  </si>
  <si>
    <t>E03247</t>
  </si>
  <si>
    <t>Caroline Jenkins</t>
  </si>
  <si>
    <t>E02074</t>
  </si>
  <si>
    <t>Nora Brown</t>
  </si>
  <si>
    <t>Enterprise Architect</t>
  </si>
  <si>
    <t>E04152</t>
  </si>
  <si>
    <t>Adeline Huang</t>
  </si>
  <si>
    <t>Chengdu</t>
  </si>
  <si>
    <t>E01628</t>
  </si>
  <si>
    <t>Jackson Perry</t>
  </si>
  <si>
    <t>E04285</t>
  </si>
  <si>
    <t>Riley Padilla</t>
  </si>
  <si>
    <t>E01417</t>
  </si>
  <si>
    <t>Leah Pena</t>
  </si>
  <si>
    <t>E01754</t>
  </si>
  <si>
    <t>Owen Lam</t>
  </si>
  <si>
    <t>Sr. Business Partner</t>
  </si>
  <si>
    <t>E03749</t>
  </si>
  <si>
    <t>Kennedy Foster</t>
  </si>
  <si>
    <t>E03574</t>
  </si>
  <si>
    <t>John Moore</t>
  </si>
  <si>
    <t>E04600</t>
  </si>
  <si>
    <t>William Vu</t>
  </si>
  <si>
    <t>E00586</t>
  </si>
  <si>
    <t>Sadie Washington</t>
  </si>
  <si>
    <t>E03538</t>
  </si>
  <si>
    <t>Gabriel Holmes</t>
  </si>
  <si>
    <t>E02185</t>
  </si>
  <si>
    <t>Wyatt Rojas</t>
  </si>
  <si>
    <t>E03830</t>
  </si>
  <si>
    <t>Eva Coleman</t>
  </si>
  <si>
    <t>E03720</t>
  </si>
  <si>
    <t>Dominic Clark</t>
  </si>
  <si>
    <t>E03025</t>
  </si>
  <si>
    <t>Lucy Alexander</t>
  </si>
  <si>
    <t>E04917</t>
  </si>
  <si>
    <t>Everleigh Washington</t>
  </si>
  <si>
    <t>HRIS Analyst</t>
  </si>
  <si>
    <t>E00415</t>
  </si>
  <si>
    <t>Leilani Butler</t>
  </si>
  <si>
    <t>E02862</t>
  </si>
  <si>
    <t>Peyton Huang</t>
  </si>
  <si>
    <t>E04207</t>
  </si>
  <si>
    <t>John Contreras</t>
  </si>
  <si>
    <t>E02139</t>
  </si>
  <si>
    <t>Rylee Yu</t>
  </si>
  <si>
    <t>E01797</t>
  </si>
  <si>
    <t>Piper Lewis</t>
  </si>
  <si>
    <t>Field Engineer</t>
  </si>
  <si>
    <t>E01839</t>
  </si>
  <si>
    <t>Stella Alexander</t>
  </si>
  <si>
    <t>Automation Engineer</t>
  </si>
  <si>
    <t>E01633</t>
  </si>
  <si>
    <t>Addison Do</t>
  </si>
  <si>
    <t>Operations Engineer</t>
  </si>
  <si>
    <t>E01848</t>
  </si>
  <si>
    <t>Zoey Jackson</t>
  </si>
  <si>
    <t>Business Partner</t>
  </si>
  <si>
    <t>E00716</t>
  </si>
  <si>
    <t>John Chow</t>
  </si>
  <si>
    <t>E00699</t>
  </si>
  <si>
    <t>Ava Ayala</t>
  </si>
  <si>
    <t>E00502</t>
  </si>
  <si>
    <t>Natalia Salazar</t>
  </si>
  <si>
    <t>E04000</t>
  </si>
  <si>
    <t>Skylar Carrillo</t>
  </si>
  <si>
    <t>E02112</t>
  </si>
  <si>
    <t>Christian Sanders</t>
  </si>
  <si>
    <t>E03824</t>
  </si>
  <si>
    <t>Penelope Coleman</t>
  </si>
  <si>
    <t>E03906</t>
  </si>
  <si>
    <t>Piper Richardson</t>
  </si>
  <si>
    <t>E00436</t>
  </si>
  <si>
    <t>Everly Walker</t>
  </si>
  <si>
    <t>E04798</t>
  </si>
  <si>
    <t>Aurora Ali</t>
  </si>
  <si>
    <t>E01249</t>
  </si>
  <si>
    <t>Penelope Guerrero</t>
  </si>
  <si>
    <t>E03349</t>
  </si>
  <si>
    <t>Anna Mehta</t>
  </si>
  <si>
    <t>Cloud Infrastructure Architect</t>
  </si>
  <si>
    <t>E02966</t>
  </si>
  <si>
    <t>William Foster</t>
  </si>
  <si>
    <t>E01499</t>
  </si>
  <si>
    <t>Jade Rojas</t>
  </si>
  <si>
    <t>E00105</t>
  </si>
  <si>
    <t>Isla Espinoza</t>
  </si>
  <si>
    <t>E00665</t>
  </si>
  <si>
    <t>David Chu</t>
  </si>
  <si>
    <t>E00791</t>
  </si>
  <si>
    <t>Thomas Padilla</t>
  </si>
  <si>
    <t>Sao Paulo</t>
  </si>
  <si>
    <t>E01540</t>
  </si>
  <si>
    <t>Miles Salazar</t>
  </si>
  <si>
    <t>E04474</t>
  </si>
  <si>
    <t>Mila Hong</t>
  </si>
  <si>
    <t>Test Engineer</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</si>
  <si>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</si>
  <si>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</si>
  <si>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</si>
  <si>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</si>
  <si>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</si>
  <si>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</si>
  <si>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</si>
  <si>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</si>
  <si>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</si>
  <si>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</si>
  <si>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</si>
  <si>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</si>
  <si>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</si>
  <si>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</si>
  <si>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</si>
  <si>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</si>
  <si>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</si>
  <si>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</si>
  <si>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</si>
  <si>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</si>
  <si>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E03440</t>
  </si>
  <si>
    <t>Genesis Navarro</t>
  </si>
  <si>
    <t>E00431</t>
  </si>
  <si>
    <t>Eliza Hernandez</t>
  </si>
  <si>
    <t>Network Architect</t>
  </si>
  <si>
    <t>E01258</t>
  </si>
  <si>
    <t>Gabriel Brooks</t>
  </si>
  <si>
    <t>Network Engineer</t>
  </si>
  <si>
    <t>E00440</t>
  </si>
  <si>
    <t>Jack Huynh</t>
  </si>
  <si>
    <t>E00595</t>
  </si>
  <si>
    <t>Everly Chow</t>
  </si>
  <si>
    <t>E00972</t>
  </si>
  <si>
    <t>Amelia Salazar</t>
  </si>
  <si>
    <t>E04562</t>
  </si>
  <si>
    <t>Xavier Zheng</t>
  </si>
  <si>
    <t>E02802</t>
  </si>
  <si>
    <t>Matthew Chau</t>
  </si>
  <si>
    <t>E01427</t>
  </si>
  <si>
    <t>Mia Cheng</t>
  </si>
  <si>
    <t>E04568</t>
  </si>
  <si>
    <t>E04931</t>
  </si>
  <si>
    <t>Zoe Romero</t>
  </si>
  <si>
    <t>E00443</t>
  </si>
  <si>
    <t>Nolan Bui</t>
  </si>
  <si>
    <t>E03890</t>
  </si>
  <si>
    <t>Nevaeh Jones</t>
  </si>
  <si>
    <t>E01194</t>
  </si>
  <si>
    <t>Samantha Adams</t>
  </si>
  <si>
    <t>E02875</t>
  </si>
  <si>
    <t>Madeline Shin</t>
  </si>
  <si>
    <t>E04959</t>
  </si>
  <si>
    <t>Noah King</t>
  </si>
  <si>
    <t>Development Engineer</t>
  </si>
  <si>
    <t>E03816</t>
  </si>
  <si>
    <t>Leilani Chow</t>
  </si>
  <si>
    <t>E01261</t>
  </si>
  <si>
    <t>Connor Simmons</t>
  </si>
  <si>
    <t>E03612</t>
  </si>
  <si>
    <t>Grayson Cooper</t>
  </si>
  <si>
    <t>E01388</t>
  </si>
  <si>
    <t>Ivy Soto</t>
  </si>
  <si>
    <t>E03875</t>
  </si>
  <si>
    <t>Aurora Simmons</t>
  </si>
  <si>
    <t>E04413</t>
  </si>
  <si>
    <t>Andrew Thomas</t>
  </si>
  <si>
    <t>E00691</t>
  </si>
  <si>
    <t>Ezekiel Desai</t>
  </si>
  <si>
    <t>E03047</t>
  </si>
  <si>
    <t>Gabriella Gupta</t>
  </si>
  <si>
    <t>Sr. Account Representative</t>
  </si>
  <si>
    <t>E04903</t>
  </si>
  <si>
    <t>Skylar Liu</t>
  </si>
  <si>
    <t>E04735</t>
  </si>
  <si>
    <t>Nova Coleman</t>
  </si>
  <si>
    <t>System Administrator </t>
  </si>
  <si>
    <t>E02850</t>
  </si>
  <si>
    <t>Evelyn Dinh</t>
  </si>
  <si>
    <t>E03583</t>
  </si>
  <si>
    <t>Brooks Marquez</t>
  </si>
  <si>
    <t>E02017</t>
  </si>
  <si>
    <t>Connor Joseph</t>
  </si>
  <si>
    <t>E01642</t>
  </si>
  <si>
    <t>Mia Lam</t>
  </si>
  <si>
    <t>E04379</t>
  </si>
  <si>
    <t>Scarlett Rodriguez</t>
  </si>
  <si>
    <t>E04131</t>
  </si>
  <si>
    <t>Cora Rivera</t>
  </si>
  <si>
    <t>E02872</t>
  </si>
  <si>
    <t>Liam Jung</t>
  </si>
  <si>
    <t>E02331</t>
  </si>
  <si>
    <t>Sophia Huynh</t>
  </si>
  <si>
    <t>E00417</t>
  </si>
  <si>
    <t>Athena Carrillo</t>
  </si>
  <si>
    <t>E04267</t>
  </si>
  <si>
    <t>Greyson Sanders</t>
  </si>
  <si>
    <t>E03061</t>
  </si>
  <si>
    <t>Vivian Lewis</t>
  </si>
  <si>
    <t>E00013</t>
  </si>
  <si>
    <t>Elena Vang</t>
  </si>
  <si>
    <t>E04265</t>
  </si>
  <si>
    <t>Natalia Diaz</t>
  </si>
  <si>
    <t>E04769</t>
  </si>
  <si>
    <t>Mila Leung</t>
  </si>
  <si>
    <t>E03042</t>
  </si>
  <si>
    <t>Ava Nelson</t>
  </si>
  <si>
    <t>Systems Analyst</t>
  </si>
  <si>
    <t>E00527</t>
  </si>
  <si>
    <t>Mateo Chu</t>
  </si>
  <si>
    <t>E01095</t>
  </si>
  <si>
    <t>Isla Lai</t>
  </si>
  <si>
    <t>E03131</t>
  </si>
  <si>
    <t>Ezekiel Reed</t>
  </si>
  <si>
    <t>E01713</t>
  </si>
  <si>
    <t>Nolan Guzman</t>
  </si>
  <si>
    <t>E00128</t>
  </si>
  <si>
    <t>Everleigh Espinoza</t>
  </si>
  <si>
    <t>E03849</t>
  </si>
  <si>
    <t>Evelyn Jung</t>
  </si>
  <si>
    <t>E02464</t>
  </si>
  <si>
    <t>Sophie Silva</t>
  </si>
  <si>
    <t>E00306</t>
  </si>
  <si>
    <t>Mateo Williams</t>
  </si>
  <si>
    <t>E03737</t>
  </si>
  <si>
    <t>Kennedy Rahman</t>
  </si>
  <si>
    <t>E02783</t>
  </si>
  <si>
    <t>Levi Mendez</t>
  </si>
  <si>
    <t>E02939</t>
  </si>
  <si>
    <t>Julian Fong</t>
  </si>
  <si>
    <t>E02706</t>
  </si>
  <si>
    <t>Nevaeh Kang</t>
  </si>
  <si>
    <t>E00170</t>
  </si>
  <si>
    <t>Hannah Nelson</t>
  </si>
  <si>
    <t>E01425</t>
  </si>
  <si>
    <t>Anthony Rogers</t>
  </si>
  <si>
    <t>E00130</t>
  </si>
  <si>
    <t>Paisley Kang</t>
  </si>
  <si>
    <t>E02094</t>
  </si>
  <si>
    <t>Matthew Gupta</t>
  </si>
  <si>
    <t>E03567</t>
  </si>
  <si>
    <t>Silas Chavez</t>
  </si>
  <si>
    <t>E04682</t>
  </si>
  <si>
    <t>Colton Thao</t>
  </si>
  <si>
    <t>E00957</t>
  </si>
  <si>
    <t>Genesis Perry</t>
  </si>
  <si>
    <t>E04458</t>
  </si>
  <si>
    <t>Alexander Bryant</t>
  </si>
  <si>
    <t>Elias Zhang</t>
  </si>
  <si>
    <t>Solutions Architect</t>
  </si>
  <si>
    <t>E00521</t>
  </si>
  <si>
    <t>Lily Carter</t>
  </si>
  <si>
    <t>E03717</t>
  </si>
  <si>
    <t>Joseph Ruiz</t>
  </si>
  <si>
    <t>E01533</t>
  </si>
  <si>
    <t>Avery Bailey</t>
  </si>
  <si>
    <t>E04449</t>
  </si>
  <si>
    <t>Miles Hsu</t>
  </si>
  <si>
    <t>E02855</t>
  </si>
  <si>
    <t>Piper Cheng</t>
  </si>
  <si>
    <t>E00816</t>
  </si>
  <si>
    <t>Skylar Watson</t>
  </si>
  <si>
    <t>E02283</t>
  </si>
  <si>
    <t>Jaxon Park</t>
  </si>
  <si>
    <t>E04888</t>
  </si>
  <si>
    <t>Elijah Henry</t>
  </si>
  <si>
    <t>E03907</t>
  </si>
  <si>
    <t>Camila Watson</t>
  </si>
  <si>
    <t>Lucas Thomas</t>
  </si>
  <si>
    <t>Skylar Doan</t>
  </si>
  <si>
    <t>E01501</t>
  </si>
  <si>
    <t>Hudson Liu</t>
  </si>
  <si>
    <t>E01141</t>
  </si>
  <si>
    <t>Gianna Williams</t>
  </si>
  <si>
    <t>E02254</t>
  </si>
  <si>
    <t>Jaxson Sandoval</t>
  </si>
  <si>
    <t>E04504</t>
  </si>
  <si>
    <t>Jameson Alvarado</t>
  </si>
  <si>
    <t>E03394</t>
  </si>
  <si>
    <t>Joseph Ly</t>
  </si>
  <si>
    <t>E02942</t>
  </si>
  <si>
    <t>Daniel Richardson</t>
  </si>
  <si>
    <t>E04130</t>
  </si>
  <si>
    <t>Elias Figueroa</t>
  </si>
  <si>
    <t>E02848</t>
  </si>
  <si>
    <t>Emma Brooks</t>
  </si>
  <si>
    <t>E00085</t>
  </si>
  <si>
    <t>Isla Wong</t>
  </si>
  <si>
    <t>E03956</t>
  </si>
  <si>
    <t>E00672</t>
  </si>
  <si>
    <t>Mila Pena</t>
  </si>
  <si>
    <t>E04618</t>
  </si>
  <si>
    <t>Mason Zhao</t>
  </si>
  <si>
    <t>E03506</t>
  </si>
  <si>
    <t>Jaxson Mai</t>
  </si>
  <si>
    <t>E00568</t>
  </si>
  <si>
    <t>Ava Garza</t>
  </si>
  <si>
    <t>E00535</t>
  </si>
  <si>
    <t>Nathan Mendez</t>
  </si>
  <si>
    <t>E04630</t>
  </si>
  <si>
    <t>Maria Griffin</t>
  </si>
  <si>
    <t>E00874</t>
  </si>
  <si>
    <t>Alexander Choi</t>
  </si>
  <si>
    <t>E01546</t>
  </si>
  <si>
    <t>Maria Hong</t>
  </si>
  <si>
    <t>E00941</t>
  </si>
  <si>
    <t>Sophie Ali</t>
  </si>
  <si>
    <t>E03446</t>
  </si>
  <si>
    <t>Julian Ross</t>
  </si>
  <si>
    <t>E01361</t>
  </si>
  <si>
    <t>Emma Hill</t>
  </si>
  <si>
    <t>E01631</t>
  </si>
  <si>
    <t>Leilani Yee</t>
  </si>
  <si>
    <t>E03719</t>
  </si>
  <si>
    <t>Jack Brown</t>
  </si>
  <si>
    <t>E03269</t>
  </si>
  <si>
    <t>Charlotte Chu</t>
  </si>
  <si>
    <t>E01037</t>
  </si>
  <si>
    <t>Jeremiah Chu</t>
  </si>
  <si>
    <t>IT Systems Architect</t>
  </si>
  <si>
    <t>Miles Cho</t>
  </si>
  <si>
    <t>E02216</t>
  </si>
  <si>
    <t>Caleb Marquez</t>
  </si>
  <si>
    <t>E02803</t>
  </si>
  <si>
    <t>Eli Soto</t>
  </si>
  <si>
    <t>E01584</t>
  </si>
  <si>
    <t>Carter Mejia</t>
  </si>
  <si>
    <t>E02489</t>
  </si>
  <si>
    <t>Ethan Clark</t>
  </si>
  <si>
    <t>E03189</t>
  </si>
  <si>
    <t>Asher Jackson</t>
  </si>
  <si>
    <t>E03560</t>
  </si>
  <si>
    <t>Ayla Ng</t>
  </si>
  <si>
    <t>E00769</t>
  </si>
  <si>
    <t>Jose Kang</t>
  </si>
  <si>
    <t>E02791</t>
  </si>
  <si>
    <t>Aubrey Romero</t>
  </si>
  <si>
    <t>E02333</t>
  </si>
  <si>
    <t>Jaxson Wright</t>
  </si>
  <si>
    <t>Service Desk Analyst</t>
  </si>
  <si>
    <t>E01002</t>
  </si>
  <si>
    <t>Elias Ali</t>
  </si>
  <si>
    <t>E03520</t>
  </si>
  <si>
    <t>Nolan Pena</t>
  </si>
  <si>
    <t>E00752</t>
  </si>
  <si>
    <t>Luna Liu</t>
  </si>
  <si>
    <t>E00233</t>
  </si>
  <si>
    <t>Brooklyn Reyes</t>
  </si>
  <si>
    <t>E02639</t>
  </si>
  <si>
    <t>Hadley Parker</t>
  </si>
  <si>
    <t>E00697</t>
  </si>
  <si>
    <t>Jonathan Chavez</t>
  </si>
  <si>
    <t>E02183</t>
  </si>
  <si>
    <t>Sarah Ayala</t>
  </si>
  <si>
    <t>E00715</t>
  </si>
  <si>
    <t>Elijah Kang</t>
  </si>
  <si>
    <t>E04288</t>
  </si>
  <si>
    <t>Ella White</t>
  </si>
  <si>
    <t>E02421</t>
  </si>
  <si>
    <t>Jordan Truong</t>
  </si>
  <si>
    <t>E00523</t>
  </si>
  <si>
    <t>Daniel Jordan</t>
  </si>
  <si>
    <t>Network Administrator</t>
  </si>
  <si>
    <t>E03615</t>
  </si>
  <si>
    <t>Daniel Dixon</t>
  </si>
  <si>
    <t>E02761</t>
  </si>
  <si>
    <t>Luca Duong</t>
  </si>
  <si>
    <t>E02121</t>
  </si>
  <si>
    <t>Levi Brown</t>
  </si>
  <si>
    <t>E01486</t>
  </si>
  <si>
    <t>Mason Cho</t>
  </si>
  <si>
    <t>E00725</t>
  </si>
  <si>
    <t>Nova Herrera</t>
  </si>
  <si>
    <t>E03027</t>
  </si>
  <si>
    <t>Elijah Watson</t>
  </si>
  <si>
    <t>E03689</t>
  </si>
  <si>
    <t>Wesley Gray</t>
  </si>
  <si>
    <t>E01986</t>
  </si>
  <si>
    <t>Wesley Sharma</t>
  </si>
  <si>
    <t>E01286</t>
  </si>
  <si>
    <t>Mateo Mendez</t>
  </si>
  <si>
    <t>E01409</t>
  </si>
  <si>
    <t>Jose Molina</t>
  </si>
  <si>
    <t>E00626</t>
  </si>
  <si>
    <t>Luna Simmons</t>
  </si>
  <si>
    <t>E04342</t>
  </si>
  <si>
    <t>Samantha Barnes</t>
  </si>
  <si>
    <t>E03904</t>
  </si>
  <si>
    <t>Hunter Ortiz</t>
  </si>
  <si>
    <t>E01291</t>
  </si>
  <si>
    <t>Thomas Aguilar</t>
  </si>
  <si>
    <t>E00917</t>
  </si>
  <si>
    <t>Skylar Bell</t>
  </si>
  <si>
    <t>E01484</t>
  </si>
  <si>
    <t>Anna Zhu</t>
  </si>
  <si>
    <t>E03864</t>
  </si>
  <si>
    <t>Ella Hunter</t>
  </si>
  <si>
    <t>E00488</t>
  </si>
  <si>
    <t>Emery Hunter</t>
  </si>
  <si>
    <t>E02227</t>
  </si>
  <si>
    <t>Sofia Parker</t>
  </si>
  <si>
    <t>E04802</t>
  </si>
  <si>
    <t>Lucy Fong</t>
  </si>
  <si>
    <t>E01970</t>
  </si>
  <si>
    <t>Vivian Barnes</t>
  </si>
  <si>
    <t>E02813</t>
  </si>
  <si>
    <t>Kai Chow</t>
  </si>
  <si>
    <t>E02031</t>
  </si>
  <si>
    <t>Melody Cooper</t>
  </si>
  <si>
    <t>E03252</t>
  </si>
  <si>
    <t>James Bui</t>
  </si>
  <si>
    <t>E04871</t>
  </si>
  <si>
    <t>Liam Grant</t>
  </si>
  <si>
    <t>E03547</t>
  </si>
  <si>
    <t>Owen Han</t>
  </si>
  <si>
    <t>E04742</t>
  </si>
  <si>
    <t>Kinsley Vega</t>
  </si>
  <si>
    <t>E01070</t>
  </si>
  <si>
    <t>Leonardo Martin</t>
  </si>
  <si>
    <t>E04359</t>
  </si>
  <si>
    <t>Greyson Lam</t>
  </si>
  <si>
    <t>E03268</t>
  </si>
  <si>
    <t>Emilia Rivera</t>
  </si>
  <si>
    <t>E04035</t>
  </si>
  <si>
    <t>Penelope Johnson</t>
  </si>
  <si>
    <t>E01221</t>
  </si>
  <si>
    <t>Eva Figueroa</t>
  </si>
  <si>
    <t>E00276</t>
  </si>
  <si>
    <t>Ezekiel Jordan</t>
  </si>
  <si>
    <t>E01687</t>
  </si>
  <si>
    <t>Luke Mai</t>
  </si>
  <si>
    <t>E02844</t>
  </si>
  <si>
    <t>Charles Diaz</t>
  </si>
  <si>
    <t>E01263</t>
  </si>
  <si>
    <t>Adam Espinoza</t>
  </si>
  <si>
    <t>E00119</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</si>
  <si>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</si>
  <si>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</si>
  <si>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</si>
  <si>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</si>
  <si>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</si>
  <si>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</si>
  <si>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</si>
  <si>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</si>
  <si>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</si>
  <si>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</si>
  <si>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</si>
  <si>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</si>
  <si>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</si>
  <si>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</si>
  <si>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</si>
  <si>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</si>
  <si>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</si>
  <si>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</si>
  <si>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</si>
  <si>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</si>
  <si>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</si>
  <si>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E00813</t>
  </si>
  <si>
    <t>Autumn Joseph</t>
  </si>
  <si>
    <t>E00870</t>
  </si>
  <si>
    <t>Evelyn Liang</t>
  </si>
  <si>
    <t>E04167</t>
  </si>
  <si>
    <t>Henry Alvarez</t>
  </si>
  <si>
    <t>E00245</t>
  </si>
  <si>
    <t>Benjamin Delgado</t>
  </si>
  <si>
    <t>E00976</t>
  </si>
  <si>
    <t>Zoe Rodriguez</t>
  </si>
  <si>
    <t>E04112</t>
  </si>
  <si>
    <t>Axel Chu</t>
  </si>
  <si>
    <t>E01807</t>
  </si>
  <si>
    <t>Cameron Evans</t>
  </si>
  <si>
    <t>E04103</t>
  </si>
  <si>
    <t>Isabella Soto</t>
  </si>
  <si>
    <t>E01412</t>
  </si>
  <si>
    <t>Eva Jenkins</t>
  </si>
  <si>
    <t>E04386</t>
  </si>
  <si>
    <t>Cameron Powell</t>
  </si>
  <si>
    <t>E01232</t>
  </si>
  <si>
    <t>Samantha Foster</t>
  </si>
  <si>
    <t>E04572</t>
  </si>
  <si>
    <t>Jade Li</t>
  </si>
  <si>
    <t>E02747</t>
  </si>
  <si>
    <t>Kinsley Acosta</t>
  </si>
  <si>
    <t>E01064</t>
  </si>
  <si>
    <t>Clara Kang</t>
  </si>
  <si>
    <t>E00178</t>
  </si>
  <si>
    <t>Harper Alexander</t>
  </si>
  <si>
    <t>E01091</t>
  </si>
  <si>
    <t>Carter Reed</t>
  </si>
  <si>
    <t>Charlotte Ruiz</t>
  </si>
  <si>
    <t>E01309</t>
  </si>
  <si>
    <t>Everleigh Jiang</t>
  </si>
  <si>
    <t>E02378</t>
  </si>
  <si>
    <t>Audrey Smith</t>
  </si>
  <si>
    <t>E04127</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</si>
  <si>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</si>
  <si>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</si>
  <si>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</si>
  <si>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</si>
  <si>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</si>
  <si>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</si>
  <si>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</si>
  <si>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</si>
  <si>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</si>
  <si>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</si>
  <si>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</si>
  <si>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</si>
  <si>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</si>
  <si>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</si>
  <si>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</si>
  <si>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</si>
  <si>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</si>
  <si>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</si>
  <si>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Asher Morales</t>
  </si>
  <si>
    <t>E04136</t>
  </si>
  <si>
    <t>Mason Cao</t>
  </si>
  <si>
    <t>E02944</t>
  </si>
  <si>
    <t>Joshua Fong</t>
  </si>
  <si>
    <t>E03300</t>
  </si>
  <si>
    <t>Maria Chin</t>
  </si>
  <si>
    <t>E00078</t>
  </si>
  <si>
    <t>Eva Garcia</t>
  </si>
  <si>
    <t>E00825</t>
  </si>
  <si>
    <t>Anna Molina</t>
  </si>
  <si>
    <t>E04972</t>
  </si>
  <si>
    <t>Logan Bryant</t>
  </si>
  <si>
    <t>E03941</t>
  </si>
  <si>
    <t>Isla Han</t>
  </si>
  <si>
    <t>E02148</t>
  </si>
  <si>
    <t>Christopher Vega</t>
  </si>
  <si>
    <t>E02252</t>
  </si>
  <si>
    <t>Lillian Park</t>
  </si>
  <si>
    <t>E03096</t>
  </si>
  <si>
    <t>Kennedy Zhang</t>
  </si>
  <si>
    <t>E04800</t>
  </si>
  <si>
    <t>Eli Han</t>
  </si>
  <si>
    <t>E02838</t>
  </si>
  <si>
    <t>Julia Pham</t>
  </si>
  <si>
    <t>E02980</t>
  </si>
  <si>
    <t>Hailey Shin</t>
  </si>
  <si>
    <t>E04477</t>
  </si>
  <si>
    <t>Connor Grant</t>
  </si>
  <si>
    <t>E04348</t>
  </si>
  <si>
    <t>Natalia Owens</t>
  </si>
  <si>
    <t>E01638</t>
  </si>
  <si>
    <t>Maria He</t>
  </si>
  <si>
    <t>E03419</t>
  </si>
  <si>
    <t>Jade Yi</t>
  </si>
  <si>
    <t>E04222</t>
  </si>
  <si>
    <t>Quinn Xiong</t>
  </si>
  <si>
    <t>E04126</t>
  </si>
  <si>
    <t>Dominic Baker</t>
  </si>
  <si>
    <t>E01896</t>
  </si>
  <si>
    <t>Adam Nelson</t>
  </si>
  <si>
    <t>E03018</t>
  </si>
  <si>
    <t>Autumn Reed</t>
  </si>
  <si>
    <t>E03325</t>
  </si>
  <si>
    <t>Robert Edwards</t>
  </si>
  <si>
    <t>E04037</t>
  </si>
  <si>
    <t>Roman Martinez</t>
  </si>
  <si>
    <t>E01902</t>
  </si>
  <si>
    <t>Eleanor Li</t>
  </si>
  <si>
    <t>E01466</t>
  </si>
  <si>
    <t>Connor Vang</t>
  </si>
  <si>
    <t>E02038</t>
  </si>
  <si>
    <t>Ellie Chung</t>
  </si>
  <si>
    <t>E03474</t>
  </si>
  <si>
    <t>Violet Hall</t>
  </si>
  <si>
    <t>E02744</t>
  </si>
  <si>
    <t>Dylan Padilla</t>
  </si>
  <si>
    <t>E00702</t>
  </si>
  <si>
    <t>Nathan Pham</t>
  </si>
  <si>
    <t>E03081</t>
  </si>
  <si>
    <t>Ayla Brown</t>
  </si>
  <si>
    <t>E01281</t>
  </si>
  <si>
    <t>Isaac Mitchell</t>
  </si>
  <si>
    <t>E04029</t>
  </si>
  <si>
    <t>Jayden Jimenez</t>
  </si>
  <si>
    <t>E01116</t>
  </si>
  <si>
    <t>Jaxon Tran</t>
  </si>
  <si>
    <t>E01753</t>
  </si>
  <si>
    <t>Connor Fong</t>
  </si>
  <si>
    <t>E04072</t>
  </si>
  <si>
    <t>Emery Mitchell</t>
  </si>
  <si>
    <t>Landon Luu</t>
  </si>
  <si>
    <t>E04419</t>
  </si>
  <si>
    <t>Sophia Ahmed</t>
  </si>
  <si>
    <t>E00467</t>
  </si>
  <si>
    <t>Sofia Dinh</t>
  </si>
  <si>
    <t>E00365</t>
  </si>
  <si>
    <t>Jonathan Patel</t>
  </si>
  <si>
    <t>Piper Patterson</t>
  </si>
  <si>
    <t>E03292</t>
  </si>
  <si>
    <t>Cora Evans</t>
  </si>
  <si>
    <t>E04779</t>
  </si>
  <si>
    <t>Cameron Young</t>
  </si>
  <si>
    <t>E00501</t>
  </si>
  <si>
    <t>Melody Ho</t>
  </si>
  <si>
    <t>E01132</t>
  </si>
  <si>
    <t>Aiden Bryant</t>
  </si>
  <si>
    <t>E00556</t>
  </si>
  <si>
    <t>Grayson Walker</t>
  </si>
  <si>
    <t>E00311</t>
  </si>
  <si>
    <t>Scarlett Figueroa</t>
  </si>
  <si>
    <t>E04567</t>
  </si>
  <si>
    <t>Madeline Hoang</t>
  </si>
  <si>
    <t>E04378</t>
  </si>
  <si>
    <t>E03251</t>
  </si>
  <si>
    <t>Ruby Medina</t>
  </si>
  <si>
    <t>E03167</t>
  </si>
  <si>
    <t>Luke Zheng</t>
  </si>
  <si>
    <t>E03347</t>
  </si>
  <si>
    <t>Rylee Dinh</t>
  </si>
  <si>
    <t>E03908</t>
  </si>
  <si>
    <t>Miles Evans</t>
  </si>
  <si>
    <t>E01351</t>
  </si>
  <si>
    <t>Leo Owens</t>
  </si>
  <si>
    <t>E02681</t>
  </si>
  <si>
    <t>Caroline Owens</t>
  </si>
  <si>
    <t>E03807</t>
  </si>
  <si>
    <t>Kennedy Do</t>
  </si>
  <si>
    <t>E00422</t>
  </si>
  <si>
    <t>Jade Acosta</t>
  </si>
  <si>
    <t>E00265</t>
  </si>
  <si>
    <t>Mila Vasquez</t>
  </si>
  <si>
    <t>E04601</t>
  </si>
  <si>
    <t>Allison Ayala</t>
  </si>
  <si>
    <t>E04816</t>
  </si>
  <si>
    <t>Jace Zhang</t>
  </si>
  <si>
    <t>E02147</t>
  </si>
  <si>
    <t>Allison Medina</t>
  </si>
  <si>
    <t>E02914</t>
  </si>
  <si>
    <t>Maria Wilson</t>
  </si>
  <si>
    <t>Everly Coleman</t>
  </si>
  <si>
    <t>E03972</t>
  </si>
  <si>
    <t>Jordan Gomez</t>
  </si>
  <si>
    <t>E02189</t>
  </si>
  <si>
    <t>Isla Chavez</t>
  </si>
  <si>
    <t>E04290</t>
  </si>
  <si>
    <t>Hannah Gomez</t>
  </si>
  <si>
    <t>E03630</t>
  </si>
  <si>
    <t>Jacob Davis</t>
  </si>
  <si>
    <t>E00432</t>
  </si>
  <si>
    <t>Eli Gupta</t>
  </si>
  <si>
    <t>E03045</t>
  </si>
  <si>
    <t>Andrew Huynh</t>
  </si>
  <si>
    <t>E01924</t>
  </si>
  <si>
    <t>Anna Gutierrez</t>
  </si>
  <si>
    <t>E04877</t>
  </si>
  <si>
    <t>Samuel Vega</t>
  </si>
  <si>
    <t>E02770</t>
  </si>
  <si>
    <t>Liliana Do</t>
  </si>
  <si>
    <t>E04590</t>
  </si>
  <si>
    <t>Isaac Sanders</t>
  </si>
  <si>
    <t>E01977</t>
  </si>
  <si>
    <t>Raelynn Gupta</t>
  </si>
  <si>
    <t>E01378</t>
  </si>
  <si>
    <t>Genesis Xiong</t>
  </si>
  <si>
    <t>E04224</t>
  </si>
  <si>
    <t>Lucas Ramos</t>
  </si>
  <si>
    <t>E03423</t>
  </si>
  <si>
    <t>Santiago f Gonzalez</t>
  </si>
  <si>
    <t>Henry Zhu</t>
  </si>
  <si>
    <t>E00788</t>
  </si>
  <si>
    <t>Emily Contreras</t>
  </si>
  <si>
    <t>E00207</t>
  </si>
  <si>
    <t>Hailey Lai</t>
  </si>
  <si>
    <t>E00834</t>
  </si>
  <si>
    <t>Vivian Guzman</t>
  </si>
  <si>
    <t>E04571</t>
  </si>
  <si>
    <t>Hadley Contreras</t>
  </si>
  <si>
    <t>E02652</t>
  </si>
  <si>
    <t>Nathan Sun</t>
  </si>
  <si>
    <t>E02693</t>
  </si>
  <si>
    <t>Grace Campos</t>
  </si>
  <si>
    <t>E03359</t>
  </si>
  <si>
    <t>Autumn Ortiz</t>
  </si>
  <si>
    <t>E00399</t>
  </si>
  <si>
    <t>Connor Walker</t>
  </si>
  <si>
    <t>E02971</t>
  </si>
  <si>
    <t>Mia Wu</t>
  </si>
  <si>
    <t>E03327</t>
  </si>
  <si>
    <t>Julia Luong</t>
  </si>
  <si>
    <t>E00900</t>
  </si>
  <si>
    <t>Eleanor Delgado</t>
  </si>
  <si>
    <t>E00836</t>
  </si>
  <si>
    <t>Addison Roberts</t>
  </si>
  <si>
    <t>E03854</t>
  </si>
  <si>
    <t>Camila Li</t>
  </si>
  <si>
    <t>E04729</t>
  </si>
  <si>
    <t>Ezekiel Fong</t>
  </si>
  <si>
    <t>E00360</t>
  </si>
  <si>
    <t>Dylan Thao</t>
  </si>
  <si>
    <t>E02284</t>
  </si>
  <si>
    <t>Josephine Salazar</t>
  </si>
  <si>
    <t>E00181</t>
  </si>
  <si>
    <t>Genesis Hu</t>
  </si>
  <si>
    <t>E04168</t>
  </si>
  <si>
    <t>Mila Juarez</t>
  </si>
  <si>
    <t>E02861</t>
  </si>
  <si>
    <t>Daniel Perry</t>
  </si>
  <si>
    <t>E01357</t>
  </si>
  <si>
    <t>Paisley Hunter</t>
  </si>
  <si>
    <t>E04387</t>
  </si>
  <si>
    <t>Everleigh White</t>
  </si>
  <si>
    <t>E03090</t>
  </si>
  <si>
    <t>Penelope Choi</t>
  </si>
  <si>
    <t>E03591</t>
  </si>
  <si>
    <t>Piper Sun</t>
  </si>
  <si>
    <t>E03328</t>
  </si>
  <si>
    <t>Lucy Johnson</t>
  </si>
  <si>
    <t>E04937</t>
  </si>
  <si>
    <t>Ian Ngo</t>
  </si>
  <si>
    <t>E00515</t>
  </si>
  <si>
    <t>Joseph Vazquez</t>
  </si>
  <si>
    <t>E01241</t>
  </si>
  <si>
    <t>Hadley Guerrero</t>
  </si>
  <si>
    <t>E03255</t>
  </si>
  <si>
    <t>Jose Brown</t>
  </si>
  <si>
    <t>E01711</t>
  </si>
  <si>
    <t>Benjamin Ford</t>
  </si>
  <si>
    <t>E00500</t>
  </si>
  <si>
    <t>Henry Shah</t>
  </si>
  <si>
    <t>Ivy Daniels</t>
  </si>
  <si>
    <t>E02728</t>
  </si>
  <si>
    <t>Thomas Chang</t>
  </si>
  <si>
    <t>E04749</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</si>
  <si>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</si>
  <si>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</si>
  <si>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</si>
  <si>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</si>
  <si>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</si>
  <si>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</si>
  <si>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</si>
  <si>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</si>
  <si>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</si>
  <si>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</si>
  <si>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</si>
  <si>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</si>
  <si>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</si>
  <si>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</si>
  <si>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</si>
  <si>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</si>
  <si>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E03802</t>
  </si>
  <si>
    <t>Thomas Vazquez</t>
  </si>
  <si>
    <t>E03685</t>
  </si>
  <si>
    <t>Silas Hunter</t>
  </si>
  <si>
    <t>E01089</t>
  </si>
  <si>
    <t>Nicholas Brooks</t>
  </si>
  <si>
    <t>E03988</t>
  </si>
  <si>
    <t>Dominic Thomas</t>
  </si>
  <si>
    <t>E00401</t>
  </si>
  <si>
    <t>Wesley Adams</t>
  </si>
  <si>
    <t>E03429</t>
  </si>
  <si>
    <t>Ian Wu</t>
  </si>
  <si>
    <t>E02417</t>
  </si>
  <si>
    <t>Alice Young</t>
  </si>
  <si>
    <t>E00359</t>
  </si>
  <si>
    <t>Logan Carrillo</t>
  </si>
  <si>
    <t>E02044</t>
  </si>
  <si>
    <t>Caroline Alexander</t>
  </si>
  <si>
    <t>E01479</t>
  </si>
  <si>
    <t>Serenity Bailey</t>
  </si>
  <si>
    <t>E04962</t>
  </si>
  <si>
    <t>Elena Tan</t>
  </si>
  <si>
    <t>E02769</t>
  </si>
  <si>
    <t>Eliza Adams</t>
  </si>
  <si>
    <t>E03893</t>
  </si>
  <si>
    <t>Alice Xiong</t>
  </si>
  <si>
    <t>E00553</t>
  </si>
  <si>
    <t>Isla Yoon</t>
  </si>
  <si>
    <t>E03540</t>
  </si>
  <si>
    <t>Emma Perry</t>
  </si>
  <si>
    <t>Riley Marquez</t>
  </si>
  <si>
    <t>E03277</t>
  </si>
  <si>
    <t>Caroline Hu</t>
  </si>
  <si>
    <t>E04194</t>
  </si>
  <si>
    <t>Madison Kumar</t>
  </si>
  <si>
    <t>Matthew Lim</t>
  </si>
  <si>
    <t>E01762</t>
  </si>
  <si>
    <t>Maya Ngo</t>
  </si>
  <si>
    <t>E02632</t>
  </si>
  <si>
    <t>Alice Soto</t>
  </si>
  <si>
    <t>E04226</t>
  </si>
  <si>
    <t>Andrew Moore</t>
  </si>
  <si>
    <t>E04101</t>
  </si>
  <si>
    <t>Olivia Harris</t>
  </si>
  <si>
    <t>E01981</t>
  </si>
  <si>
    <t>Genesis Banks</t>
  </si>
  <si>
    <t>E02534</t>
  </si>
  <si>
    <t>Victoria Johnson</t>
  </si>
  <si>
    <t>E01238</t>
  </si>
  <si>
    <t>Eloise Griffin</t>
  </si>
  <si>
    <t>E01118</t>
  </si>
  <si>
    <t>Roman Yang</t>
  </si>
  <si>
    <t>E04041</t>
  </si>
  <si>
    <t>Clara Huynh</t>
  </si>
  <si>
    <t>E04308</t>
  </si>
  <si>
    <t>Kai Flores</t>
  </si>
  <si>
    <t>E01052</t>
  </si>
  <si>
    <t>Jaxson Dinh</t>
  </si>
  <si>
    <t>E04165</t>
  </si>
  <si>
    <t>Sophie Vang</t>
  </si>
  <si>
    <t>E02295</t>
  </si>
  <si>
    <t>Axel Jordan</t>
  </si>
  <si>
    <t>E04546</t>
  </si>
  <si>
    <t>Jade Hunter</t>
  </si>
  <si>
    <t>E04217</t>
  </si>
  <si>
    <t>Lydia Williams</t>
  </si>
  <si>
    <t>E00650</t>
  </si>
  <si>
    <t>Emery Chang</t>
  </si>
  <si>
    <t>E00344</t>
  </si>
  <si>
    <t>Savannah He</t>
  </si>
  <si>
    <t>E04645</t>
  </si>
  <si>
    <t>Elias Ahmed</t>
  </si>
  <si>
    <t>E03880</t>
  </si>
  <si>
    <t>Samantha Woods</t>
  </si>
  <si>
    <t>E02730</t>
  </si>
  <si>
    <t>Axel Soto</t>
  </si>
  <si>
    <t>E04517</t>
  </si>
  <si>
    <t>Amelia Choi</t>
  </si>
  <si>
    <t>E00965</t>
  </si>
  <si>
    <t>Jacob Khan</t>
  </si>
  <si>
    <t>E04639</t>
  </si>
  <si>
    <t>Luna Taylor</t>
  </si>
  <si>
    <t>E00465</t>
  </si>
  <si>
    <t>Dominic Parker</t>
  </si>
  <si>
    <t>E03058</t>
  </si>
  <si>
    <t>Angel Xiong</t>
  </si>
  <si>
    <t>E02337</t>
  </si>
  <si>
    <t>Emma Cao</t>
  </si>
  <si>
    <t>E04927</t>
  </si>
  <si>
    <t>Ezekiel Bryant</t>
  </si>
  <si>
    <t>E03799</t>
  </si>
  <si>
    <t>Natalie Hwang</t>
  </si>
  <si>
    <t>E04538</t>
  </si>
  <si>
    <t>Adeline Yang</t>
  </si>
  <si>
    <t>E02633</t>
  </si>
  <si>
    <t>Allison Roberts</t>
  </si>
  <si>
    <t>E02965</t>
  </si>
  <si>
    <t>Andrew Do</t>
  </si>
  <si>
    <t>E04345</t>
  </si>
  <si>
    <t>Eliana Grant</t>
  </si>
  <si>
    <t>E02895</t>
  </si>
  <si>
    <t>Mila Soto</t>
  </si>
  <si>
    <t>Gabriella Johnson</t>
  </si>
  <si>
    <t>E00758</t>
  </si>
  <si>
    <t>Jonathan Khan</t>
  </si>
  <si>
    <t>E03750</t>
  </si>
  <si>
    <t>Elias Dang</t>
  </si>
  <si>
    <t>E00144</t>
  </si>
  <si>
    <t>Theodore Ngo</t>
  </si>
  <si>
    <t>E02943</t>
  </si>
  <si>
    <t>Bella Lopez</t>
  </si>
  <si>
    <t>E03901</t>
  </si>
  <si>
    <t>Luca Truong</t>
  </si>
  <si>
    <t>E03461</t>
  </si>
  <si>
    <t>Nathan Lau</t>
  </si>
  <si>
    <t>E03490</t>
  </si>
  <si>
    <t>Henry Campos</t>
  </si>
  <si>
    <t>E04466</t>
  </si>
  <si>
    <t>Connor Bell</t>
  </si>
  <si>
    <t>E03226</t>
  </si>
  <si>
    <t>Angel Stewart</t>
  </si>
  <si>
    <t>E04607</t>
  </si>
  <si>
    <t>Landon Brown</t>
  </si>
  <si>
    <t>E02678</t>
  </si>
  <si>
    <t>Nicholas Rivera</t>
  </si>
  <si>
    <t>E02190</t>
  </si>
  <si>
    <t>Gabriel Carter</t>
  </si>
  <si>
    <t>E00747</t>
  </si>
  <si>
    <t>Leilani Baker</t>
  </si>
  <si>
    <t>E00268</t>
  </si>
  <si>
    <t>Ian Flores</t>
  </si>
  <si>
    <t>E01416</t>
  </si>
  <si>
    <t>Hudson Thompson</t>
  </si>
  <si>
    <t>E01524</t>
  </si>
  <si>
    <t>Ian Miller</t>
  </si>
  <si>
    <t>Harper Chin</t>
  </si>
  <si>
    <t>E02801</t>
  </si>
  <si>
    <t>Santiago f Brooks</t>
  </si>
  <si>
    <t>E04155</t>
  </si>
  <si>
    <t>Dylan Dominguez</t>
  </si>
  <si>
    <t>E01952</t>
  </si>
  <si>
    <t>Everett Lee</t>
  </si>
  <si>
    <t>E00116</t>
  </si>
  <si>
    <t>Madelyn Mehta</t>
  </si>
  <si>
    <t>E04811</t>
  </si>
  <si>
    <t>Athena Vasquez</t>
  </si>
  <si>
    <t>E00624</t>
  </si>
  <si>
    <t>William Watson</t>
  </si>
  <si>
    <t>E03404</t>
  </si>
  <si>
    <t>Everleigh Nunez</t>
  </si>
  <si>
    <t>E01845</t>
  </si>
  <si>
    <t>Leo Fernandez</t>
  </si>
  <si>
    <t>E04784</t>
  </si>
  <si>
    <t>Joshua Lin</t>
  </si>
  <si>
    <t>E00145</t>
  </si>
  <si>
    <t>Alexander Rivera</t>
  </si>
  <si>
    <t>E00218</t>
  </si>
  <si>
    <t>David Desai</t>
  </si>
  <si>
    <t>Aubrey Yoon</t>
  </si>
  <si>
    <t>Grayson Brown</t>
  </si>
  <si>
    <t>Noah Chen</t>
  </si>
  <si>
    <t>E00784</t>
  </si>
  <si>
    <t>Ella Nguyen</t>
  </si>
  <si>
    <t>E04925</t>
  </si>
  <si>
    <t>Athena Jordan</t>
  </si>
  <si>
    <t>E04448</t>
  </si>
  <si>
    <t>Adrian Ruiz</t>
  </si>
  <si>
    <t>E04817</t>
  </si>
  <si>
    <t>Zoe Sanchez</t>
  </si>
  <si>
    <t>E00325</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</si>
  <si>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</si>
  <si>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</si>
  <si>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</si>
  <si>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</si>
  <si>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</si>
  <si>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</si>
  <si>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</si>
  <si>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</si>
  <si>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</si>
  <si>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</si>
  <si>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</si>
  <si>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</si>
  <si>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</si>
  <si>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</si>
  <si>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</si>
  <si>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</si>
  <si>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</si>
  <si>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</si>
  <si>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E02313</t>
  </si>
  <si>
    <t>Jeremiah Lu</t>
  </si>
  <si>
    <t>E02960</t>
  </si>
  <si>
    <t>Nova Hill</t>
  </si>
  <si>
    <t>E00096</t>
  </si>
  <si>
    <t>Peyton Cruz</t>
  </si>
  <si>
    <t>E02140</t>
  </si>
  <si>
    <t>Naomi Zhao</t>
  </si>
  <si>
    <t>E00826</t>
  </si>
  <si>
    <t>Rylee Bui</t>
  </si>
  <si>
    <t>E03881</t>
  </si>
  <si>
    <t>Andrew Reed</t>
  </si>
  <si>
    <t>E02604</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</si>
  <si>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</si>
  <si>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</si>
  <si>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</si>
  <si>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</si>
  <si>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</si>
  <si>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</si>
  <si>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</si>
  <si>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</si>
  <si>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</si>
  <si>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</si>
  <si>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</si>
  <si>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</si>
  <si>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</si>
  <si>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</si>
  <si>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</si>
  <si>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</si>
  <si>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</si>
  <si>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</si>
  <si>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</si>
  <si>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</si>
  <si>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</si>
  <si>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</si>
  <si>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</si>
  <si>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</si>
  <si>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</si>
  <si>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</si>
  <si>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</si>
  <si>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E02473</t>
  </si>
  <si>
    <t>Leonardo Lo</t>
  </si>
  <si>
    <t>E02468</t>
  </si>
  <si>
    <t>Ella Huang</t>
  </si>
  <si>
    <t>Liam Jordan</t>
  </si>
  <si>
    <t>E03697</t>
  </si>
  <si>
    <t>Isaac Woods</t>
  </si>
  <si>
    <t>E00593</t>
  </si>
  <si>
    <t>Luke Wilson</t>
  </si>
  <si>
    <t>E01103</t>
  </si>
  <si>
    <t>Lyla Alvarez</t>
  </si>
  <si>
    <t>E03889</t>
  </si>
  <si>
    <t>Caleb Flores</t>
  </si>
  <si>
    <t>E01958</t>
  </si>
  <si>
    <t>Angel Lin</t>
  </si>
  <si>
    <t>Easton Moore</t>
  </si>
  <si>
    <t>E01167</t>
  </si>
  <si>
    <t>Kinsley Collins</t>
  </si>
  <si>
    <t>E00099</t>
  </si>
  <si>
    <t>Brooklyn Salazar</t>
  </si>
  <si>
    <t>E00044</t>
  </si>
  <si>
    <t>Scarlett Jenkins</t>
  </si>
  <si>
    <t>E00711</t>
  </si>
  <si>
    <t>Melody Chin</t>
  </si>
  <si>
    <t>E04795</t>
  </si>
  <si>
    <t>Eloise Alexander</t>
  </si>
  <si>
    <t>E03912</t>
  </si>
  <si>
    <t>Carter Turner</t>
  </si>
  <si>
    <t>E02103</t>
  </si>
  <si>
    <t>Andrew Ma</t>
  </si>
  <si>
    <t>E04213</t>
  </si>
  <si>
    <t>Hailey Xi</t>
  </si>
  <si>
    <t>E04756</t>
  </si>
  <si>
    <t>Aiden Le</t>
  </si>
  <si>
    <t>E04114</t>
  </si>
  <si>
    <t>Christopher Lim</t>
  </si>
  <si>
    <t>E01423</t>
  </si>
  <si>
    <t>James Castillo</t>
  </si>
  <si>
    <t>E03181</t>
  </si>
  <si>
    <t>Greyson Dang</t>
  </si>
  <si>
    <t>E03305</t>
  </si>
  <si>
    <t>Hannah King</t>
  </si>
  <si>
    <t>E00703</t>
  </si>
  <si>
    <t>Wesley Dominguez</t>
  </si>
  <si>
    <t>E04403</t>
  </si>
  <si>
    <t>Dominic Hu</t>
  </si>
  <si>
    <t>E00103</t>
  </si>
  <si>
    <t>Nora Park</t>
  </si>
  <si>
    <t>E04487</t>
  </si>
  <si>
    <t>Audrey Hwang</t>
  </si>
  <si>
    <t>Ella Jenkins</t>
  </si>
  <si>
    <t>E02179</t>
  </si>
  <si>
    <t>Peyton Owens</t>
  </si>
  <si>
    <t>E04242</t>
  </si>
  <si>
    <t>Alice Lopez</t>
  </si>
  <si>
    <t>E01371</t>
  </si>
  <si>
    <t>Dominic Le</t>
  </si>
  <si>
    <t>E03065</t>
  </si>
  <si>
    <t>Ezra Ortiz</t>
  </si>
  <si>
    <t>E01377</t>
  </si>
  <si>
    <t>Grayson Luu</t>
  </si>
  <si>
    <t>E03097</t>
  </si>
  <si>
    <t>Brooks Stewart</t>
  </si>
  <si>
    <t>E01668</t>
  </si>
  <si>
    <t>Naomi Xi</t>
  </si>
  <si>
    <t>E03354</t>
  </si>
  <si>
    <t>Silas Estrada</t>
  </si>
  <si>
    <t>E02088</t>
  </si>
  <si>
    <t>Skylar Ayala</t>
  </si>
  <si>
    <t>E03980</t>
  </si>
  <si>
    <t>Lydia Huynh</t>
  </si>
  <si>
    <t>Hazel Cortez</t>
  </si>
  <si>
    <t>E00824</t>
  </si>
  <si>
    <t>Everleigh Adams</t>
  </si>
  <si>
    <t>Layla Salazar</t>
  </si>
  <si>
    <t>E03113</t>
  </si>
  <si>
    <t>Willow Chen</t>
  </si>
  <si>
    <t>E01488</t>
  </si>
  <si>
    <t>Penelope Griffin</t>
  </si>
  <si>
    <t>E01787</t>
  </si>
  <si>
    <t>Lillian Romero</t>
  </si>
  <si>
    <t>E03550</t>
  </si>
  <si>
    <t>Stella Wu</t>
  </si>
  <si>
    <t>Parker Vang</t>
  </si>
  <si>
    <t>E04799</t>
  </si>
  <si>
    <t>Mila Roberts</t>
  </si>
  <si>
    <t>E03402</t>
  </si>
  <si>
    <t>Isaac Liu</t>
  </si>
  <si>
    <t>E04128</t>
  </si>
  <si>
    <t>Jacob Doan</t>
  </si>
  <si>
    <t>Raelynn Ma</t>
  </si>
  <si>
    <t>E03114</t>
  </si>
  <si>
    <t>Jameson Juarez</t>
  </si>
  <si>
    <t>E04004</t>
  </si>
  <si>
    <t>Everleigh Shah</t>
  </si>
  <si>
    <t>E04472</t>
  </si>
  <si>
    <t>Alexander Foster</t>
  </si>
  <si>
    <t>E00161</t>
  </si>
  <si>
    <t>Ryan Ha</t>
  </si>
  <si>
    <t>E04417</t>
  </si>
  <si>
    <t>Chloe Salazar</t>
  </si>
  <si>
    <t>E04536</t>
  </si>
  <si>
    <t>Layla Scott</t>
  </si>
  <si>
    <t>Leah Khan</t>
  </si>
  <si>
    <t>E02857</t>
  </si>
  <si>
    <t>Mason Jimenez</t>
  </si>
  <si>
    <t>E03059</t>
  </si>
  <si>
    <t>Hailey Dang</t>
  </si>
  <si>
    <t>E02477</t>
  </si>
  <si>
    <t>Amelia Bui</t>
  </si>
  <si>
    <t>E00022</t>
  </si>
  <si>
    <t>Elena Her</t>
  </si>
  <si>
    <t>E03370</t>
  </si>
  <si>
    <t>Ian Cortez</t>
  </si>
  <si>
    <t>E00555</t>
  </si>
  <si>
    <t>Christian Ali</t>
  </si>
  <si>
    <t>E03160</t>
  </si>
  <si>
    <t>Carter Ortiz</t>
  </si>
  <si>
    <t>E03919</t>
  </si>
  <si>
    <t>Grayson Chan</t>
  </si>
  <si>
    <t>E01724</t>
  </si>
  <si>
    <t>Nolan Molina</t>
  </si>
  <si>
    <t>E04087</t>
  </si>
  <si>
    <t>Adam Kaur</t>
  </si>
  <si>
    <t>E02856</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</si>
  <si>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</si>
  <si>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</si>
  <si>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</si>
  <si>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</si>
  <si>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</si>
  <si>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</si>
  <si>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</si>
  <si>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</si>
  <si>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</si>
  <si>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</si>
  <si>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</si>
  <si>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</si>
  <si>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</si>
  <si>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</si>
  <si>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</si>
  <si>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</si>
  <si>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</si>
  <si>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</si>
  <si>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</si>
  <si>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</si>
  <si>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</si>
  <si>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</si>
  <si>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</si>
  <si>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</si>
  <si>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</si>
  <si>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</si>
  <si>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</si>
  <si>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</si>
  <si>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</si>
  <si>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</si>
  <si>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</si>
  <si>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</si>
  <si>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</si>
  <si>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Lincoln Henderson</t>
  </si>
  <si>
    <t>E01820</t>
  </si>
  <si>
    <t>Nathan Miller</t>
  </si>
  <si>
    <t>E01712</t>
  </si>
  <si>
    <t>James Singh</t>
  </si>
  <si>
    <t>E00184</t>
  </si>
  <si>
    <t>Kayden Ortega</t>
  </si>
  <si>
    <t>Lucy Figueroa</t>
  </si>
  <si>
    <t>E02899</t>
  </si>
  <si>
    <t>Joshua Cortez</t>
  </si>
  <si>
    <t>E02478</t>
  </si>
  <si>
    <t>Alexander Morris</t>
  </si>
  <si>
    <t>E04170</t>
  </si>
  <si>
    <t>Grayson Chin</t>
  </si>
  <si>
    <t>E00929</t>
  </si>
  <si>
    <t>Allison Espinoza</t>
  </si>
  <si>
    <t>Naomi Chu</t>
  </si>
  <si>
    <t>Jameson Martin</t>
  </si>
  <si>
    <t>E02492</t>
  </si>
  <si>
    <t>Sebastian Gupta</t>
  </si>
  <si>
    <t>E01733</t>
  </si>
  <si>
    <t>Eloise Pham</t>
  </si>
  <si>
    <t>Valentina Davis</t>
  </si>
  <si>
    <t>E04938</t>
  </si>
  <si>
    <t>Brooklyn Daniels</t>
  </si>
  <si>
    <t>E04952</t>
  </si>
  <si>
    <t>Paisley Gomez</t>
  </si>
  <si>
    <t>E02420</t>
  </si>
  <si>
    <t>Madison Li</t>
  </si>
  <si>
    <t>Everleigh Simmons</t>
  </si>
  <si>
    <t>E03947</t>
  </si>
  <si>
    <t>Logan Soto</t>
  </si>
  <si>
    <t>E04535</t>
  </si>
  <si>
    <t>Charlotte Vo</t>
  </si>
  <si>
    <t>E00380</t>
  </si>
  <si>
    <t>Alice Thompson</t>
  </si>
  <si>
    <t>E01432</t>
  </si>
  <si>
    <t>Peyton Garza</t>
  </si>
  <si>
    <t>E02628</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</si>
  <si>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</si>
  <si>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</si>
  <si>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</si>
  <si>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</si>
  <si>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</si>
  <si>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</si>
  <si>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</si>
  <si>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</si>
  <si>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</si>
  <si>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</si>
  <si>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</si>
  <si>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</si>
  <si>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</si>
  <si>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</si>
  <si>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</si>
  <si>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</si>
  <si>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</si>
  <si>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</si>
  <si>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</si>
  <si>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</si>
  <si>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</si>
  <si>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</si>
  <si>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</si>
  <si>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</si>
  <si>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</si>
  <si>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</si>
  <si>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</si>
  <si>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</si>
  <si>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</si>
  <si>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</si>
  <si>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E03694</t>
  </si>
  <si>
    <t>Elena Patterson</t>
  </si>
  <si>
    <t>E01123</t>
  </si>
  <si>
    <t>Madison Nelson</t>
  </si>
  <si>
    <t>E01366</t>
  </si>
  <si>
    <t>William Walker</t>
  </si>
  <si>
    <t>E04005</t>
  </si>
  <si>
    <t>Lincoln Wong</t>
  </si>
  <si>
    <t>James Huang</t>
  </si>
  <si>
    <t>E04018</t>
  </si>
  <si>
    <t>Emery Ford</t>
  </si>
  <si>
    <t>E01591</t>
  </si>
  <si>
    <t>Paisley Trinh</t>
  </si>
  <si>
    <t>E04940</t>
  </si>
  <si>
    <t>Hudson Williams</t>
  </si>
  <si>
    <t>E03465</t>
  </si>
  <si>
    <t>Harper Phan</t>
  </si>
  <si>
    <t>E03870</t>
  </si>
  <si>
    <t>Madeline Allen</t>
  </si>
  <si>
    <t>E01927</t>
  </si>
  <si>
    <t>Charles Moore</t>
  </si>
  <si>
    <t>E03064</t>
  </si>
  <si>
    <t>Lincoln Fong</t>
  </si>
  <si>
    <t>E01883</t>
  </si>
  <si>
    <t>Isla Guzman</t>
  </si>
  <si>
    <t>E03984</t>
  </si>
  <si>
    <t>Hailey Foster</t>
  </si>
  <si>
    <t>E00446</t>
  </si>
  <si>
    <t>Hudson Hill</t>
  </si>
  <si>
    <t>E02825</t>
  </si>
  <si>
    <t>Wyatt Li</t>
  </si>
  <si>
    <t>E04174</t>
  </si>
  <si>
    <t>Maverick Henry</t>
  </si>
  <si>
    <t>E01899</t>
  </si>
  <si>
    <t>Xavier Jackson</t>
  </si>
  <si>
    <t>E02562</t>
  </si>
  <si>
    <t>Christian Medina</t>
  </si>
  <si>
    <t>E01006</t>
  </si>
  <si>
    <t>Autumn Leung</t>
  </si>
  <si>
    <t>E02903</t>
  </si>
  <si>
    <t>Robert Vazquez</t>
  </si>
  <si>
    <t>E03642</t>
  </si>
  <si>
    <t>Aria Roberts</t>
  </si>
  <si>
    <t>E02884</t>
  </si>
  <si>
    <t>Axel Johnson</t>
  </si>
  <si>
    <t>E00701</t>
  </si>
  <si>
    <t>Madeline Garcia</t>
  </si>
  <si>
    <t>E04720</t>
  </si>
  <si>
    <t>Christopher Chung</t>
  </si>
  <si>
    <t>E01985</t>
  </si>
  <si>
    <t>Eliana Turner</t>
  </si>
  <si>
    <t>E03273</t>
  </si>
  <si>
    <t>Daniel Shah</t>
  </si>
  <si>
    <t>E02415</t>
  </si>
  <si>
    <t>Penelope Gonzalez</t>
  </si>
  <si>
    <t>E02877</t>
  </si>
  <si>
    <t>Mila Allen</t>
  </si>
  <si>
    <t>E00091</t>
  </si>
  <si>
    <t>Emilia Chu</t>
  </si>
  <si>
    <t>E02563</t>
  </si>
  <si>
    <t>Emily Clark</t>
  </si>
  <si>
    <t>E04221</t>
  </si>
  <si>
    <t>Roman King</t>
  </si>
  <si>
    <t>E04887</t>
  </si>
  <si>
    <t>Emery Do</t>
  </si>
  <si>
    <t>E03170</t>
  </si>
  <si>
    <t>Autumn Thao</t>
  </si>
  <si>
    <t>E01636</t>
  </si>
  <si>
    <t>Naomi Coleman</t>
  </si>
  <si>
    <t>E01387</t>
  </si>
  <si>
    <t>Cora Zheng</t>
  </si>
  <si>
    <t>E01363</t>
  </si>
  <si>
    <t>Ayla Daniels</t>
  </si>
  <si>
    <t>E02249</t>
  </si>
  <si>
    <t>Allison Daniels</t>
  </si>
  <si>
    <t>E02987</t>
  </si>
  <si>
    <t>Mateo Harris</t>
  </si>
  <si>
    <t>E03655</t>
  </si>
  <si>
    <t>Samantha Rogers</t>
  </si>
  <si>
    <t>E04048</t>
  </si>
  <si>
    <t>Julian Lee</t>
  </si>
  <si>
    <t>E03626</t>
  </si>
  <si>
    <t>Nicholas Avila</t>
  </si>
  <si>
    <t>Hailey Watson</t>
  </si>
  <si>
    <t>E02920</t>
  </si>
  <si>
    <t>Willow Woods</t>
  </si>
  <si>
    <t>E03220</t>
  </si>
  <si>
    <t>Alexander Gonzales</t>
  </si>
  <si>
    <t>E01347</t>
  </si>
  <si>
    <t>Aiden Gonzales</t>
  </si>
  <si>
    <t>E03968</t>
  </si>
  <si>
    <t>Joshua Chin</t>
  </si>
  <si>
    <t>E04299</t>
  </si>
  <si>
    <t>Paisley Hall</t>
  </si>
  <si>
    <t>E01150</t>
  </si>
  <si>
    <t>Allison Leung</t>
  </si>
  <si>
    <t>E03774</t>
  </si>
  <si>
    <t>Hannah Mejia</t>
  </si>
  <si>
    <t>Elizabeth Huang</t>
  </si>
  <si>
    <t>E01877</t>
  </si>
  <si>
    <t>Abigail Garza</t>
  </si>
  <si>
    <t>E01193</t>
  </si>
  <si>
    <t>Raelynn Lu</t>
  </si>
  <si>
    <t>E01789</t>
  </si>
  <si>
    <t>Charles Luu</t>
  </si>
  <si>
    <t>E01422</t>
  </si>
  <si>
    <t>Lydia Espinoza</t>
  </si>
  <si>
    <t>Adeline Thao</t>
  </si>
  <si>
    <t>Kinsley Dixon</t>
  </si>
  <si>
    <t>E04150</t>
  </si>
  <si>
    <t>Natalia Vu</t>
  </si>
  <si>
    <t>E02846</t>
  </si>
  <si>
    <t>Julia Mai</t>
  </si>
  <si>
    <t>E04247</t>
  </si>
  <si>
    <t>Camila Evans</t>
  </si>
  <si>
    <t>Everly Lai</t>
  </si>
  <si>
    <t>Adam He</t>
  </si>
  <si>
    <t>E03648</t>
  </si>
  <si>
    <t>Vivian Hunter</t>
  </si>
  <si>
    <t>E02192</t>
  </si>
  <si>
    <t>Lucy Avila</t>
  </si>
  <si>
    <t>E03981</t>
  </si>
  <si>
    <t>Eliana Li</t>
  </si>
  <si>
    <t>E03262</t>
  </si>
  <si>
    <t>Logan Mitchell</t>
  </si>
  <si>
    <t>E02716</t>
  </si>
  <si>
    <t>Dominic Dinh</t>
  </si>
  <si>
    <t>Lucas Daniels</t>
  </si>
  <si>
    <t>E04123</t>
  </si>
  <si>
    <t>Andrew Holmes</t>
  </si>
  <si>
    <t>E03471</t>
  </si>
  <si>
    <t>Julia Sandoval</t>
  </si>
  <si>
    <t>E00717</t>
  </si>
  <si>
    <t>Kennedy Vargas</t>
  </si>
  <si>
    <t>E01966</t>
  </si>
  <si>
    <t>Thomas Williams</t>
  </si>
  <si>
    <t>E03683</t>
  </si>
  <si>
    <t>Raelynn Hong</t>
  </si>
  <si>
    <t>Eli Reed</t>
  </si>
  <si>
    <t>E04766</t>
  </si>
  <si>
    <t>Lyla Yoon</t>
  </si>
  <si>
    <t>E01465</t>
  </si>
  <si>
    <t>Hannah White</t>
  </si>
  <si>
    <t>E00206</t>
  </si>
  <si>
    <t>Theodore Xi</t>
  </si>
  <si>
    <t>E04088</t>
  </si>
  <si>
    <t>Ezra Liang</t>
  </si>
  <si>
    <t>E02066</t>
  </si>
  <si>
    <t>Grayson Yee</t>
  </si>
  <si>
    <t>E03227</t>
  </si>
  <si>
    <t>Eli Richardson</t>
  </si>
  <si>
    <t>E03364</t>
  </si>
  <si>
    <t>Audrey Lee</t>
  </si>
  <si>
    <t>E00607</t>
  </si>
  <si>
    <t>Jameson Allen</t>
  </si>
  <si>
    <t>E02258</t>
  </si>
  <si>
    <t>Eliza Chen</t>
  </si>
  <si>
    <t>E03681</t>
  </si>
  <si>
    <t>Lyla Chen</t>
  </si>
  <si>
    <t>E02298</t>
  </si>
  <si>
    <t>Emily Doan</t>
  </si>
  <si>
    <t>E02984</t>
  </si>
  <si>
    <t>Jack Mai</t>
  </si>
  <si>
    <t>E02440</t>
  </si>
  <si>
    <t>Grayson Turner</t>
  </si>
  <si>
    <t>E04699</t>
  </si>
  <si>
    <t>Ivy Tang</t>
  </si>
  <si>
    <t>E03579</t>
  </si>
  <si>
    <t>Robert Zhang</t>
  </si>
  <si>
    <t>E01649</t>
  </si>
  <si>
    <t>Eva Alvarado</t>
  </si>
  <si>
    <t>E04969</t>
  </si>
  <si>
    <t>Abigail Vang</t>
  </si>
  <si>
    <t>Claire Adams</t>
  </si>
  <si>
    <t>E00955</t>
  </si>
  <si>
    <t>Theodore Marquez</t>
  </si>
  <si>
    <t>E00810</t>
  </si>
  <si>
    <t>Hunter Nunez</t>
  </si>
  <si>
    <t>E02798</t>
  </si>
  <si>
    <t>Charles Henderson</t>
  </si>
  <si>
    <t>E04542</t>
  </si>
  <si>
    <t>Camila Cortez</t>
  </si>
  <si>
    <t>E02818</t>
  </si>
  <si>
    <t>Aaron Garza</t>
  </si>
  <si>
    <t>E02907</t>
  </si>
  <si>
    <t>Jose Singh</t>
  </si>
  <si>
    <t>E00023</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</si>
  <si>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</si>
  <si>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</si>
  <si>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</si>
  <si>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</si>
  <si>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</si>
  <si>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</si>
  <si>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</si>
  <si>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</si>
  <si>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</si>
  <si>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</si>
  <si>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</si>
  <si>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</si>
  <si>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</si>
  <si>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</si>
  <si>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</si>
  <si>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E02923</t>
  </si>
  <si>
    <t>Ethan Tang</t>
  </si>
  <si>
    <t>E02642</t>
  </si>
  <si>
    <t>Sebastian Rogers</t>
  </si>
  <si>
    <t>E00981</t>
  </si>
  <si>
    <t>Miles Thao</t>
  </si>
  <si>
    <t>E04157</t>
  </si>
  <si>
    <t>William Cao</t>
  </si>
  <si>
    <t>E03528</t>
  </si>
  <si>
    <t>Leo Hsu</t>
  </si>
  <si>
    <t>E04547</t>
  </si>
  <si>
    <t>Avery Grant</t>
  </si>
  <si>
    <t>E04415</t>
  </si>
  <si>
    <t>Penelope Fong</t>
  </si>
  <si>
    <t>E04484</t>
  </si>
  <si>
    <t>Vivian Thao</t>
  </si>
  <si>
    <t>E02800</t>
  </si>
  <si>
    <t>Eva Estrada</t>
  </si>
  <si>
    <t>E04926</t>
  </si>
  <si>
    <t>Emma Luna</t>
  </si>
  <si>
    <t>E01268</t>
  </si>
  <si>
    <t>Charlotte Wu</t>
  </si>
  <si>
    <t>E04853</t>
  </si>
  <si>
    <t>Vivian Chu</t>
  </si>
  <si>
    <t>E01209</t>
  </si>
  <si>
    <t>Jayden Williams</t>
  </si>
  <si>
    <t>E02024</t>
  </si>
  <si>
    <t>Amelia Bell</t>
  </si>
  <si>
    <t>E02427</t>
  </si>
  <si>
    <t>Addison Mehta</t>
  </si>
  <si>
    <t>Alexander Jackson</t>
  </si>
  <si>
    <t>E00951</t>
  </si>
  <si>
    <t>Everly Lin</t>
  </si>
  <si>
    <t>E03248</t>
  </si>
  <si>
    <t>Lyla Stewart</t>
  </si>
  <si>
    <t>E04444</t>
  </si>
  <si>
    <t>Brooklyn Ruiz</t>
  </si>
  <si>
    <t>E02307</t>
  </si>
  <si>
    <t>Skylar Evans</t>
  </si>
  <si>
    <t>E02375</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</si>
  <si>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</si>
  <si>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</si>
  <si>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</si>
  <si>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</si>
  <si>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</si>
  <si>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</si>
  <si>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</si>
  <si>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</si>
  <si>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</si>
  <si>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</si>
  <si>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</si>
  <si>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</si>
  <si>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</si>
  <si>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</si>
  <si>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</si>
  <si>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</si>
  <si>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</si>
  <si>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</si>
  <si>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</si>
  <si>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</si>
  <si>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</si>
  <si>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</si>
  <si>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E03928</t>
  </si>
  <si>
    <t>Miles Dang</t>
  </si>
  <si>
    <t>E04109</t>
  </si>
  <si>
    <t>Leah Bryant</t>
  </si>
  <si>
    <t>E03994</t>
  </si>
  <si>
    <t>Henry Jung</t>
  </si>
  <si>
    <t>E00639</t>
  </si>
  <si>
    <t>Benjamin Mai</t>
  </si>
  <si>
    <t>E00608</t>
  </si>
  <si>
    <t>E04189</t>
  </si>
  <si>
    <t>Ariana Kim</t>
  </si>
  <si>
    <t>E02732</t>
  </si>
  <si>
    <t>Alice Tran</t>
  </si>
  <si>
    <t>E00324</t>
  </si>
  <si>
    <t>Hailey Song</t>
  </si>
  <si>
    <t>E00518</t>
  </si>
  <si>
    <t>Lydia Morales</t>
  </si>
  <si>
    <t>Liam Sanders</t>
  </si>
  <si>
    <t>E04564</t>
  </si>
  <si>
    <t>Luke Sanchez</t>
  </si>
  <si>
    <t>E02033</t>
  </si>
  <si>
    <t>Grace Sun</t>
  </si>
  <si>
    <t>E00412</t>
  </si>
  <si>
    <t>Ezra Banks</t>
  </si>
  <si>
    <t>E01844</t>
  </si>
  <si>
    <t>Jayden Kang</t>
  </si>
  <si>
    <t>E00667</t>
  </si>
  <si>
    <t>Skylar Shah</t>
  </si>
  <si>
    <t>Sebastian Le</t>
  </si>
  <si>
    <t>E00287</t>
  </si>
  <si>
    <t>Luca Nelson</t>
  </si>
  <si>
    <t>E02235</t>
  </si>
  <si>
    <t>Riley Ramirez</t>
  </si>
  <si>
    <t>E02720</t>
  </si>
  <si>
    <t>Jaxon Fong</t>
  </si>
  <si>
    <t>Kayden Jordan</t>
  </si>
  <si>
    <t>E01188</t>
  </si>
  <si>
    <t>Alexander James</t>
  </si>
  <si>
    <t>E02428</t>
  </si>
  <si>
    <t>Connor Luu</t>
  </si>
  <si>
    <t>E03289</t>
  </si>
  <si>
    <t>Christopher Lam</t>
  </si>
  <si>
    <t>E01947</t>
  </si>
  <si>
    <t>Sophie Owens</t>
  </si>
  <si>
    <t>Addison Perez</t>
  </si>
  <si>
    <t>E04249</t>
  </si>
  <si>
    <t>Hadley Dang</t>
  </si>
  <si>
    <t>Ethan Mehta</t>
  </si>
  <si>
    <t>Madison Her</t>
  </si>
  <si>
    <t>E04363</t>
  </si>
  <si>
    <t>Savannah Singh</t>
  </si>
  <si>
    <t>E04920</t>
  </si>
  <si>
    <t>Nevaeh Hsu</t>
  </si>
  <si>
    <t>E03866</t>
  </si>
  <si>
    <t>Jordan Zhu</t>
  </si>
  <si>
    <t>E03521</t>
  </si>
  <si>
    <t>Jackson Navarro</t>
  </si>
  <si>
    <t>E04095</t>
  </si>
  <si>
    <t>Sadie Patterson</t>
  </si>
  <si>
    <t>E04079</t>
  </si>
  <si>
    <t>Christopher Butler</t>
  </si>
  <si>
    <t>E01508</t>
  </si>
  <si>
    <t>Penelope Rodriguez</t>
  </si>
  <si>
    <t>E02259</t>
  </si>
  <si>
    <t>Emily Lau</t>
  </si>
  <si>
    <t>Sophie Oh</t>
  </si>
  <si>
    <t>E01834</t>
  </si>
  <si>
    <t>Chloe Allen</t>
  </si>
  <si>
    <t>E03124</t>
  </si>
  <si>
    <t>Caleb Nelson</t>
  </si>
  <si>
    <t>E01898</t>
  </si>
  <si>
    <t>Oliver Moua</t>
  </si>
  <si>
    <t>E00342</t>
  </si>
  <si>
    <t>Wesley Doan</t>
  </si>
  <si>
    <t>E03910</t>
  </si>
  <si>
    <t>Nova Hsu</t>
  </si>
  <si>
    <t>E00862</t>
  </si>
  <si>
    <t>Levi Moreno</t>
  </si>
  <si>
    <t>E02576</t>
  </si>
  <si>
    <t>Gianna Ha</t>
  </si>
  <si>
    <t>E00035</t>
  </si>
  <si>
    <t>Lillian Gonzales</t>
  </si>
  <si>
    <t>E01832</t>
  </si>
  <si>
    <t>Ezra Singh</t>
  </si>
  <si>
    <t>E01755</t>
  </si>
  <si>
    <t>Audrey Patel</t>
  </si>
  <si>
    <t>Brooklyn Cho</t>
  </si>
  <si>
    <t>Piper Ramos</t>
  </si>
  <si>
    <t>E04697</t>
  </si>
  <si>
    <t>Eleanor Williams</t>
  </si>
  <si>
    <t>E00371</t>
  </si>
  <si>
    <t>Melody Grant</t>
  </si>
  <si>
    <t>E02992</t>
  </si>
  <si>
    <t>Paisley Sanders</t>
  </si>
  <si>
    <t>E04369</t>
  </si>
  <si>
    <t>Santiago f Gray</t>
  </si>
  <si>
    <t>E00592</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</si>
  <si>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</si>
  <si>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</si>
  <si>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</si>
  <si>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</si>
  <si>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</si>
  <si>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</si>
  <si>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</si>
  <si>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</si>
  <si>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</si>
  <si>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</si>
  <si>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</si>
  <si>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</si>
  <si>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</si>
  <si>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</si>
  <si>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</si>
  <si>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</si>
  <si>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</si>
  <si>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</si>
  <si>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</si>
  <si>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</si>
  <si>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</si>
  <si>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</si>
  <si>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</si>
  <si>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</si>
  <si>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Axel Santos</t>
  </si>
  <si>
    <t>E04637</t>
  </si>
  <si>
    <t>Samuel Song</t>
  </si>
  <si>
    <t>E03240</t>
  </si>
  <si>
    <t>Aiden Silva</t>
  </si>
  <si>
    <t>E00340</t>
  </si>
  <si>
    <t>Eliana Allen</t>
  </si>
  <si>
    <t>E04751</t>
  </si>
  <si>
    <t>Grayson James</t>
  </si>
  <si>
    <t>E04636</t>
  </si>
  <si>
    <t>Hailey Yee</t>
  </si>
  <si>
    <t>Ian Vargas</t>
  </si>
  <si>
    <t>E02938</t>
  </si>
  <si>
    <t>John Trinh</t>
  </si>
  <si>
    <t>Sofia Trinh</t>
  </si>
  <si>
    <t>E01111</t>
  </si>
  <si>
    <t>Santiago f Moua</t>
  </si>
  <si>
    <t>E03149</t>
  </si>
  <si>
    <t>Layla Collins</t>
  </si>
  <si>
    <t>E00952</t>
  </si>
  <si>
    <t>Jaxon Powell</t>
  </si>
  <si>
    <t>E04380</t>
  </si>
  <si>
    <t>Naomi Washington</t>
  </si>
  <si>
    <t>Ryan Holmes</t>
  </si>
  <si>
    <t>E04994</t>
  </si>
  <si>
    <t>Bella Holmes</t>
  </si>
  <si>
    <t>E00447</t>
  </si>
  <si>
    <t>Hailey Sanchez</t>
  </si>
  <si>
    <t>E00089</t>
  </si>
  <si>
    <t>Sofia Yoon</t>
  </si>
  <si>
    <t>E02035</t>
  </si>
  <si>
    <t>Eli Rahman</t>
  </si>
  <si>
    <t>E03595</t>
  </si>
  <si>
    <t>Christopher Howard</t>
  </si>
  <si>
    <t>E03611</t>
  </si>
  <si>
    <t>Alice Mehta</t>
  </si>
  <si>
    <t>E04464</t>
  </si>
  <si>
    <t>Cooper Yoon</t>
  </si>
  <si>
    <t>E02135</t>
  </si>
  <si>
    <t>John Delgado</t>
  </si>
  <si>
    <t>E01684</t>
  </si>
  <si>
    <t>Jaxson Liang</t>
  </si>
  <si>
    <t>E02968</t>
  </si>
  <si>
    <t>Caroline Santos</t>
  </si>
  <si>
    <t>E03362</t>
  </si>
  <si>
    <t>Lily Henderson</t>
  </si>
  <si>
    <t>E01108</t>
  </si>
  <si>
    <t>Hannah Martinez</t>
  </si>
  <si>
    <t>E02217</t>
  </si>
  <si>
    <t>William Phillips</t>
  </si>
  <si>
    <t>E03519</t>
  </si>
  <si>
    <t>Eliza Zheng</t>
  </si>
  <si>
    <t>E01967</t>
  </si>
  <si>
    <t>John Dang</t>
  </si>
  <si>
    <t>E01125</t>
  </si>
  <si>
    <t>Joshua Yang</t>
  </si>
  <si>
    <t>E03795</t>
  </si>
  <si>
    <t>Hazel Young</t>
  </si>
  <si>
    <t>E00508</t>
  </si>
  <si>
    <t>Thomas Jung</t>
  </si>
  <si>
    <t>E02047</t>
  </si>
  <si>
    <t>Xavier Perez</t>
  </si>
  <si>
    <t>E01582</t>
  </si>
  <si>
    <t>Elijah Coleman</t>
  </si>
  <si>
    <t>Clara Sanchez</t>
  </si>
  <si>
    <t>E04872</t>
  </si>
  <si>
    <t>Isaac Stewart</t>
  </si>
  <si>
    <t>E03159</t>
  </si>
  <si>
    <t>Claire Romero</t>
  </si>
  <si>
    <t>E01337</t>
  </si>
  <si>
    <t>Andrew Coleman</t>
  </si>
  <si>
    <t>E00102</t>
  </si>
  <si>
    <t>Riley Rojas</t>
  </si>
  <si>
    <t>E03637</t>
  </si>
  <si>
    <t>Landon Thao</t>
  </si>
  <si>
    <t>E03455</t>
  </si>
  <si>
    <t>Hadley Ford</t>
  </si>
  <si>
    <t>Austin Brown</t>
  </si>
  <si>
    <t>E01225</t>
  </si>
  <si>
    <t>Christian Fong</t>
  </si>
  <si>
    <t>E01264</t>
  </si>
  <si>
    <t>Hazel Alvarez</t>
  </si>
  <si>
    <t>E02274</t>
  </si>
  <si>
    <t>Isabella Bailey</t>
  </si>
  <si>
    <t>E00480</t>
  </si>
  <si>
    <t>Hadley Yee</t>
  </si>
  <si>
    <t>E00203</t>
  </si>
  <si>
    <t>Julia Doan</t>
  </si>
  <si>
    <t>E00647</t>
  </si>
  <si>
    <t>Dylan Ali</t>
  </si>
  <si>
    <t>E03296</t>
  </si>
  <si>
    <t>Eloise Trinh</t>
  </si>
  <si>
    <t>E02453</t>
  </si>
  <si>
    <t>Dylan Kumar</t>
  </si>
  <si>
    <t>Emily Gupta</t>
  </si>
  <si>
    <t>E02522</t>
  </si>
  <si>
    <t>Silas Rivera</t>
  </si>
  <si>
    <t>E00459</t>
  </si>
  <si>
    <t>Jackson Jordan</t>
  </si>
  <si>
    <t>E03007</t>
  </si>
  <si>
    <t>Isaac Joseph</t>
  </si>
  <si>
    <t>Leilani Thao</t>
  </si>
  <si>
    <t>E03863</t>
  </si>
  <si>
    <t>Madeline Watson</t>
  </si>
  <si>
    <t>E02710</t>
  </si>
  <si>
    <t>Silas Huang</t>
  </si>
  <si>
    <t>Peyton Walker</t>
  </si>
  <si>
    <t>E01339</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</si>
  <si>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</si>
  <si>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</si>
  <si>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</si>
  <si>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</si>
  <si>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</si>
  <si>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</si>
  <si>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</si>
  <si>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</si>
  <si>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</si>
  <si>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</si>
  <si>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</si>
  <si>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</si>
  <si>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</si>
  <si>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</si>
  <si>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</si>
  <si>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</si>
  <si>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</si>
  <si>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</si>
  <si>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</si>
  <si>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</si>
  <si>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</si>
  <si>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</si>
  <si>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</si>
  <si>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</si>
  <si>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</si>
  <si>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</si>
  <si>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</si>
  <si>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</si>
  <si>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</si>
  <si>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E04163</t>
  </si>
  <si>
    <t>David Herrera</t>
  </si>
  <si>
    <t>E01652</t>
  </si>
  <si>
    <t>Avery Dominguez</t>
  </si>
  <si>
    <t>E00880</t>
  </si>
  <si>
    <t>Grace Carter</t>
  </si>
  <si>
    <t>E04335</t>
  </si>
  <si>
    <t>Parker Allen</t>
  </si>
  <si>
    <t>E01300</t>
  </si>
  <si>
    <t>Sadie Lee</t>
  </si>
  <si>
    <t>E03102</t>
  </si>
  <si>
    <t>Cooper Valdez</t>
  </si>
  <si>
    <t>E04089</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</si>
  <si>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</si>
  <si>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</si>
  <si>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</si>
  <si>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</si>
  <si>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</si>
  <si>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</si>
  <si>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</si>
  <si>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</si>
  <si>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</si>
  <si>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</si>
  <si>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</si>
  <si>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</si>
  <si>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</si>
  <si>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</si>
  <si>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</si>
  <si>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</si>
  <si>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</si>
  <si>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</si>
  <si>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</si>
  <si>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</si>
  <si>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</si>
  <si>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</si>
  <si>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</si>
  <si>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</si>
  <si>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</si>
  <si>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E04670</t>
  </si>
  <si>
    <t>Angel Do</t>
  </si>
  <si>
    <t>E03580</t>
  </si>
  <si>
    <t>Maverick Medina</t>
  </si>
  <si>
    <t>Isaac Han</t>
  </si>
  <si>
    <t>E02363</t>
  </si>
  <si>
    <t>Eliza Liang</t>
  </si>
  <si>
    <t>E03718</t>
  </si>
  <si>
    <t>Zoe Zhou</t>
  </si>
  <si>
    <t>E01749</t>
  </si>
  <si>
    <t>Nathan Lee</t>
  </si>
  <si>
    <t>E02888</t>
  </si>
  <si>
    <t>Elijah Ramos</t>
  </si>
  <si>
    <t>E01338</t>
  </si>
  <si>
    <t>Jaxson Coleman</t>
  </si>
  <si>
    <t>E03000</t>
  </si>
  <si>
    <t>Hailey Hong</t>
  </si>
  <si>
    <t>E01611</t>
  </si>
  <si>
    <t>Gabriella Zhu</t>
  </si>
  <si>
    <t>E02684</t>
  </si>
  <si>
    <t>Aaron Maldonado</t>
  </si>
  <si>
    <t>E02561</t>
  </si>
  <si>
    <t>Samantha Vargas</t>
  </si>
  <si>
    <t>E03168</t>
  </si>
  <si>
    <t>Nora Le</t>
  </si>
  <si>
    <t>Alice Roberts</t>
  </si>
  <si>
    <t>E03691</t>
  </si>
  <si>
    <t>Colton Garcia</t>
  </si>
  <si>
    <t>Stella Lai</t>
  </si>
  <si>
    <t>Leonardo Luong</t>
  </si>
  <si>
    <t>Nicholas Wong</t>
  </si>
  <si>
    <t>E00282</t>
  </si>
  <si>
    <t>Jeremiah Castillo</t>
  </si>
  <si>
    <t>Cooper Jiang</t>
  </si>
  <si>
    <t>E00559</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</si>
  <si>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</si>
  <si>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</si>
  <si>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</si>
  <si>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</si>
  <si>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</si>
  <si>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</si>
  <si>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</si>
  <si>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</si>
  <si>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</si>
  <si>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</si>
  <si>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</si>
  <si>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</si>
  <si>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</si>
  <si>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</si>
  <si>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</si>
  <si>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</si>
  <si>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</si>
  <si>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E02833</t>
  </si>
  <si>
    <t>Adrian Fernandez</t>
  </si>
  <si>
    <t>E03902</t>
  </si>
  <si>
    <t>Madison Hunter</t>
  </si>
  <si>
    <t>E02310</t>
  </si>
  <si>
    <t>Jordan Phillips</t>
  </si>
  <si>
    <t>E02661</t>
  </si>
  <si>
    <t>Maya Chan</t>
  </si>
  <si>
    <t>Wesley King</t>
  </si>
  <si>
    <t>E00682</t>
  </si>
  <si>
    <t>Sofia Fernandez</t>
  </si>
  <si>
    <t>Maverick Figueroa</t>
  </si>
  <si>
    <t>E00785</t>
  </si>
  <si>
    <t>Hannah Hoang</t>
  </si>
  <si>
    <t>E04598</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</si>
  <si>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</si>
  <si>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</si>
  <si>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</si>
  <si>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</si>
  <si>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</si>
  <si>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</si>
  <si>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</si>
  <si>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</si>
  <si>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</si>
  <si>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</si>
  <si>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</si>
  <si>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</si>
  <si>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</si>
  <si>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</si>
  <si>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</si>
  <si>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E01578</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</si>
  <si>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</si>
  <si>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</si>
  <si>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</si>
  <si>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</si>
  <si>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</si>
  <si>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</si>
  <si>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</si>
  <si>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</si>
  <si>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</si>
  <si>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</si>
  <si>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</si>
  <si>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</si>
  <si>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</si>
  <si>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</si>
  <si>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</si>
  <si>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</si>
  <si>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</si>
  <si>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</si>
  <si>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Bonus Amount</t>
  </si>
  <si>
    <t>Total Compensation</t>
  </si>
  <si>
    <t>Employee Status</t>
  </si>
  <si>
    <t>Tenure</t>
  </si>
  <si>
    <t>Age Band</t>
  </si>
  <si>
    <t>Row Labels</t>
  </si>
  <si>
    <t>Grand Total</t>
  </si>
  <si>
    <t>Active</t>
  </si>
  <si>
    <t>Exited</t>
  </si>
  <si>
    <t>Total Employees</t>
  </si>
  <si>
    <t>Total Salary Cost</t>
  </si>
  <si>
    <t>Total Bonus Cost</t>
  </si>
  <si>
    <t>Total Compensation of Employees</t>
  </si>
  <si>
    <t>Avg Age</t>
  </si>
  <si>
    <t>Avg Tenure</t>
  </si>
  <si>
    <t>Column Labels</t>
  </si>
  <si>
    <t>Count of EEID</t>
  </si>
  <si>
    <t>Employee Count</t>
  </si>
  <si>
    <t>Active Employees</t>
  </si>
  <si>
    <t>Exited Employees</t>
  </si>
  <si>
    <t>Attrition Rate %</t>
  </si>
  <si>
    <t>HR Analytics Dashboard</t>
  </si>
  <si>
    <t>Average of Annual Salary</t>
  </si>
  <si>
    <t>Average of Tenure</t>
  </si>
  <si>
    <t>Retention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</si>
</sst>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_-[$$-409]* #,##0.00_ ;_-[$$-409]* \-#,##0.00\ ;_-[$$-409]* &quot;-&quot;??_ ;_-@_ "/>
    <numFmt numFmtId="166" formatCode="_-[$$-409]* #,##0_ ;_-[$$-409]* \-#,##0\ ;_-[$$-409]* &quot;-&quot;??_ ;_-@_ "/>
    <numFmt numFmtId="167" formatCode="[$-14009]dd/mm/yyyy;@"/>
    <numFmt numFmtId="168" formatCode="0.0%"/>
    <numFmt numFmtId="169" formatCode="&quot;₹&quot;\ #,##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Segoe UI"/>
      <family val="2"/>
    </font>
    <font>
      <b/>
      <sz val="24"/>
      <color theme="1"/>
      <name val="Segoe UI"/>
      <family val="2"/>
    </font>
    <font>
      <b/>
      <sz val="36"/>
      <color theme="1"/>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6" tint="0.79998168889431442"/>
        <bgColor indexed="64"/>
      </patternFill>
    </fill>
    <fill>
      <patternFill patternType="solid">
        <fgColor rgb="FF227ACB"/>
        <bgColor indexed="64"/>
      </patternFill>
    </fill>
    <fill>
      <patternFill patternType="solid">
        <fgColor rgb="FF63A4F7"/>
        <bgColor indexed="64"/>
      </patternFill>
    </fill>
    <fill>
      <patternFill patternType="solid">
        <fgColor rgb="FFA2A2A2"/>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3">
    <xf numFmtId="0" fontId="0" fillId="0" borderId="0" xfId="0"/>
    <xf numFmtId="9" fontId="0" fillId="0" borderId="0" xfId="0" applyNumberFormat="1"/>
    <xf numFmtId="164" fontId="0" fillId="0" borderId="0" xfId="0" applyNumberFormat="1"/>
    <xf numFmtId="1" fontId="0" fillId="0" borderId="0" xfId="0" applyNumberFormat="1"/>
    <xf numFmtId="166" fontId="0" fillId="0" borderId="0" xfId="0" applyNumberFormat="1" applyAlignment="1">
      <alignment horizontal="right"/>
    </xf>
    <xf numFmtId="165" fontId="0" fillId="0" borderId="0" xfId="0" applyNumberFormat="1"/>
    <xf numFmtId="166" fontId="0" fillId="0" borderId="0" xfId="0" applyNumberFormat="1"/>
    <xf numFmtId="167" fontId="0" fillId="0" borderId="0" xfId="0" applyNumberFormat="1"/>
    <xf numFmtId="167" fontId="0" fillId="0" borderId="0" xfId="0" applyNumberFormat="1" applyAlignment="1">
      <alignment horizontal="left"/>
    </xf>
    <xf numFmtId="0" fontId="0" fillId="0" borderId="0" xfId="0" pivotButton="1"/>
    <xf numFmtId="0" fontId="0" fillId="0" borderId="0" xfId="0" applyAlignment="1">
      <alignment horizontal="left"/>
    </xf>
    <xf numFmtId="0" fontId="18" fillId="0" borderId="0" xfId="0" applyFont="1"/>
    <xf numFmtId="0" fontId="18" fillId="42" borderId="0" xfId="0" applyFont="1" applyFill="1" applyAlignment="1">
      <alignment horizontal="center"/>
    </xf>
    <xf numFmtId="0" fontId="20" fillId="0" borderId="0" xfId="0" applyFont="1" applyAlignment="1">
      <alignment horizontal="left"/>
    </xf>
    <xf numFmtId="0" fontId="18" fillId="40" borderId="0" xfId="0" applyFont="1" applyFill="1" applyAlignment="1">
      <alignment horizontal="center"/>
    </xf>
    <xf numFmtId="1" fontId="19" fillId="41" borderId="0" xfId="0" applyNumberFormat="1" applyFont="1" applyFill="1" applyAlignment="1">
      <alignment horizontal="center"/>
    </xf>
    <xf numFmtId="0" fontId="18" fillId="41" borderId="0" xfId="0" applyFont="1" applyFill="1" applyAlignment="1">
      <alignment horizontal="center"/>
    </xf>
    <xf numFmtId="169" fontId="19" fillId="35" borderId="0" xfId="0" applyNumberFormat="1" applyFont="1" applyFill="1" applyAlignment="1">
      <alignment horizontal="center"/>
    </xf>
    <xf numFmtId="0" fontId="18" fillId="35" borderId="0" xfId="0" applyFont="1" applyFill="1" applyAlignment="1">
      <alignment horizontal="center"/>
    </xf>
    <xf numFmtId="169" fontId="19" fillId="36" borderId="0" xfId="0" applyNumberFormat="1" applyFont="1" applyFill="1" applyAlignment="1">
      <alignment horizontal="center"/>
    </xf>
    <xf numFmtId="169" fontId="19" fillId="37" borderId="0" xfId="0" applyNumberFormat="1" applyFont="1" applyFill="1" applyAlignment="1">
      <alignment horizontal="center"/>
    </xf>
    <xf numFmtId="0" fontId="18" fillId="36" borderId="0" xfId="0" applyFont="1" applyFill="1" applyAlignment="1">
      <alignment horizontal="center"/>
    </xf>
    <xf numFmtId="0" fontId="18" fillId="37" borderId="0" xfId="0" applyFont="1" applyFill="1" applyAlignment="1">
      <alignment horizontal="center"/>
    </xf>
    <xf numFmtId="168" fontId="19" fillId="42" borderId="0" xfId="42" applyNumberFormat="1" applyFont="1" applyFill="1" applyAlignment="1">
      <alignment horizontal="center"/>
    </xf>
    <xf numFmtId="0" fontId="19" fillId="33" borderId="0" xfId="0" applyFont="1" applyFill="1" applyAlignment="1">
      <alignment horizontal="center"/>
    </xf>
    <xf numFmtId="0" fontId="18" fillId="33" borderId="0" xfId="0" applyFont="1" applyFill="1" applyAlignment="1">
      <alignment horizontal="center"/>
    </xf>
    <xf numFmtId="0" fontId="19" fillId="39" borderId="0" xfId="0" applyFont="1" applyFill="1" applyAlignment="1">
      <alignment horizontal="center"/>
    </xf>
    <xf numFmtId="0" fontId="18" fillId="39" borderId="0" xfId="0" applyFont="1" applyFill="1" applyAlignment="1">
      <alignment horizontal="center"/>
    </xf>
    <xf numFmtId="0" fontId="19" fillId="34" borderId="0" xfId="0" applyFont="1" applyFill="1" applyAlignment="1">
      <alignment horizontal="center"/>
    </xf>
    <xf numFmtId="0" fontId="18" fillId="34" borderId="0" xfId="0" applyFont="1" applyFill="1" applyAlignment="1">
      <alignment horizontal="center"/>
    </xf>
    <xf numFmtId="164" fontId="19" fillId="38" borderId="0" xfId="0" applyNumberFormat="1" applyFont="1" applyFill="1" applyAlignment="1">
      <alignment horizontal="center"/>
    </xf>
    <xf numFmtId="168" fontId="19" fillId="40" borderId="0" xfId="42" applyNumberFormat="1" applyFont="1" applyFill="1" applyAlignment="1">
      <alignment horizontal="center"/>
    </xf>
    <xf numFmtId="0" fontId="18" fillId="38"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
    <dxf>
      <numFmt numFmtId="166" formatCode="_-[$$-409]* #,##0_ ;_-[$$-409]* \-#,##0\ ;_-[$$-409]* &quot;-&quot;??_ ;_-@_ "/>
    </dxf>
    <dxf>
      <numFmt numFmtId="166" formatCode="_-[$$-409]* #,##0_ ;_-[$$-409]* \-#,##0\ ;_-[$$-409]* &quot;-&quot;??_ ;_-@_ "/>
    </dxf>
    <dxf>
      <numFmt numFmtId="0" formatCode="General"/>
    </dxf>
    <dxf>
      <numFmt numFmtId="164" formatCode="0.0"/>
    </dxf>
    <dxf>
      <numFmt numFmtId="0" formatCode="General"/>
    </dxf>
    <dxf>
      <numFmt numFmtId="166" formatCode="_-[$$-409]* #,##0_ ;_-[$$-409]* \-#,##0\ ;_-[$$-409]* &quot;-&quot;??_ ;_-@_ "/>
    </dxf>
    <dxf>
      <numFmt numFmtId="167" formatCode="[$-14009]dd/mm/yyyy;@"/>
    </dxf>
    <dxf>
      <numFmt numFmtId="13" formatCode="0%"/>
    </dxf>
    <dxf>
      <numFmt numFmtId="166" formatCode="_-[$$-409]* #,##0_ ;_-[$$-409]* \-#,##0\ ;_-[$$-409]* &quot;-&quot;??_ ;_-@_ "/>
      <alignment horizontal="right" vertical="bottom" textRotation="0" wrapText="0" indent="0" justifyLastLine="0" shrinkToFit="0" readingOrder="0"/>
    </dxf>
    <dxf>
      <numFmt numFmtId="167" formatCode="[$-14009]dd/mm/yyyy;@"/>
      <alignment horizontal="left"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Dashboard.xlsx]KPI_Helper!PivotTable7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KPI_Helper!$B$13</c:f>
              <c:strCache>
                <c:ptCount val="1"/>
                <c:pt idx="0">
                  <c:v>Total</c:v>
                </c:pt>
              </c:strCache>
            </c:strRef>
          </c:tx>
          <c:spPr>
            <a:solidFill>
              <a:schemeClr val="accent4"/>
            </a:solidFill>
            <a:ln>
              <a:noFill/>
            </a:ln>
            <a:effectLst/>
            <a:sp3d/>
          </c:spPr>
          <c:invertIfNegative val="0"/>
          <c:cat>
            <c:strRef>
              <c:f>KPI_Helper!$A$14:$A$21</c:f>
              <c:strCache>
                <c:ptCount val="7"/>
                <c:pt idx="0">
                  <c:v>Accounting</c:v>
                </c:pt>
                <c:pt idx="1">
                  <c:v>Engineering</c:v>
                </c:pt>
                <c:pt idx="2">
                  <c:v>Finance</c:v>
                </c:pt>
                <c:pt idx="3">
                  <c:v>Human Resources</c:v>
                </c:pt>
                <c:pt idx="4">
                  <c:v>IT</c:v>
                </c:pt>
                <c:pt idx="5">
                  <c:v>Marketing</c:v>
                </c:pt>
                <c:pt idx="6">
                  <c:v>Sales</c:v>
                </c:pt>
              </c:strCache>
            </c:strRef>
          </c:cat>
          <c:val>
            <c:numRef>
              <c:f>KPI_Helper!$B$14:$B$21</c:f>
              <c:numCache>
                <c:formatCode>0.0</c:formatCode>
                <c:ptCount val="7"/>
                <c:pt idx="0">
                  <c:v>11.3125</c:v>
                </c:pt>
                <c:pt idx="1">
                  <c:v>12.886075949367088</c:v>
                </c:pt>
                <c:pt idx="2">
                  <c:v>12.65</c:v>
                </c:pt>
                <c:pt idx="3">
                  <c:v>12.56</c:v>
                </c:pt>
                <c:pt idx="4">
                  <c:v>13.008298755186722</c:v>
                </c:pt>
                <c:pt idx="5">
                  <c:v>11.541666666666666</c:v>
                </c:pt>
                <c:pt idx="6">
                  <c:v>12.814285714285715</c:v>
                </c:pt>
              </c:numCache>
            </c:numRef>
          </c:val>
          <c:extLst>
            <c:ext xmlns:c16="http://schemas.microsoft.com/office/drawing/2014/chart" uri="{C3380CC4-5D6E-409C-BE32-E72D297353CC}">
              <c16:uniqueId val="{00000000-4F1E-4BAF-AE65-BC90CA41246C}"/>
            </c:ext>
          </c:extLst>
        </c:ser>
        <c:dLbls>
          <c:showLegendKey val="0"/>
          <c:showVal val="0"/>
          <c:showCatName val="0"/>
          <c:showSerName val="0"/>
          <c:showPercent val="0"/>
          <c:showBubbleSize val="0"/>
        </c:dLbls>
        <c:gapWidth val="150"/>
        <c:shape val="box"/>
        <c:axId val="551876671"/>
        <c:axId val="551877151"/>
        <c:axId val="0"/>
      </c:bar3DChart>
      <c:catAx>
        <c:axId val="55187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77151"/>
        <c:crosses val="autoZero"/>
        <c:auto val="1"/>
        <c:lblAlgn val="ctr"/>
        <c:lblOffset val="100"/>
        <c:noMultiLvlLbl val="0"/>
      </c:catAx>
      <c:valAx>
        <c:axId val="5518771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7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Dashboard.xlsx]KPI_Helper!PivotTable2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US" sz="1600" b="1" i="0" u="none" strike="noStrike" kern="1200" baseline="0">
                <a:solidFill>
                  <a:sysClr val="windowText" lastClr="000000">
                    <a:lumMod val="65000"/>
                    <a:lumOff val="35000"/>
                  </a:sysClr>
                </a:solidFill>
              </a:rPr>
              <a:t>Employee Status Breakdown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KPI_Helper!$L$2</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KPI_Helper!$K$3:$K$5</c:f>
              <c:strCache>
                <c:ptCount val="2"/>
                <c:pt idx="0">
                  <c:v>Active</c:v>
                </c:pt>
                <c:pt idx="1">
                  <c:v>Exited</c:v>
                </c:pt>
              </c:strCache>
            </c:strRef>
          </c:cat>
          <c:val>
            <c:numRef>
              <c:f>KPI_Helper!$L$3:$L$5</c:f>
              <c:numCache>
                <c:formatCode>General</c:formatCode>
                <c:ptCount val="2"/>
                <c:pt idx="0">
                  <c:v>915</c:v>
                </c:pt>
                <c:pt idx="1">
                  <c:v>85</c:v>
                </c:pt>
              </c:numCache>
            </c:numRef>
          </c:val>
          <c:extLst>
            <c:ext xmlns:c16="http://schemas.microsoft.com/office/drawing/2014/chart" uri="{C3380CC4-5D6E-409C-BE32-E72D297353CC}">
              <c16:uniqueId val="{00000000-5915-4E48-95A6-406F02072A57}"/>
            </c:ext>
          </c:extLst>
        </c:ser>
        <c:dLbls>
          <c:dLblPos val="outEnd"/>
          <c:showLegendKey val="0"/>
          <c:showVal val="1"/>
          <c:showCatName val="0"/>
          <c:showSerName val="0"/>
          <c:showPercent val="0"/>
          <c:showBubbleSize val="0"/>
        </c:dLbls>
        <c:gapWidth val="80"/>
        <c:overlap val="25"/>
        <c:axId val="1367304895"/>
        <c:axId val="1367299615"/>
      </c:barChart>
      <c:catAx>
        <c:axId val="136730489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67299615"/>
        <c:crosses val="autoZero"/>
        <c:auto val="1"/>
        <c:lblAlgn val="ctr"/>
        <c:lblOffset val="100"/>
        <c:noMultiLvlLbl val="0"/>
      </c:catAx>
      <c:valAx>
        <c:axId val="1367299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67304895"/>
        <c:crosses val="autoZero"/>
        <c:crossBetween val="between"/>
      </c:valAx>
      <c:spPr>
        <a:noFill/>
        <a:ln>
          <a:noFill/>
        </a:ln>
        <a:effectLst>
          <a:softEdge rad="12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Dashboard.xlsx]Dept_Headcount_Helper!PivotTable1</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Dept_Headcount_Helper!$B$1</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Dept_Headcount_Helper!$A$2:$A$9</c:f>
              <c:strCache>
                <c:ptCount val="7"/>
                <c:pt idx="0">
                  <c:v>Accounting</c:v>
                </c:pt>
                <c:pt idx="1">
                  <c:v>Finance</c:v>
                </c:pt>
                <c:pt idx="2">
                  <c:v>Marketing</c:v>
                </c:pt>
                <c:pt idx="3">
                  <c:v>Human Resources</c:v>
                </c:pt>
                <c:pt idx="4">
                  <c:v>Sales</c:v>
                </c:pt>
                <c:pt idx="5">
                  <c:v>Engineering</c:v>
                </c:pt>
                <c:pt idx="6">
                  <c:v>IT</c:v>
                </c:pt>
              </c:strCache>
            </c:strRef>
          </c:cat>
          <c:val>
            <c:numRef>
              <c:f>Dept_Headcount_Helper!$B$2:$B$9</c:f>
              <c:numCache>
                <c:formatCode>General</c:formatCode>
                <c:ptCount val="7"/>
                <c:pt idx="0">
                  <c:v>96</c:v>
                </c:pt>
                <c:pt idx="1">
                  <c:v>120</c:v>
                </c:pt>
                <c:pt idx="2">
                  <c:v>120</c:v>
                </c:pt>
                <c:pt idx="3">
                  <c:v>125</c:v>
                </c:pt>
                <c:pt idx="4">
                  <c:v>140</c:v>
                </c:pt>
                <c:pt idx="5">
                  <c:v>158</c:v>
                </c:pt>
                <c:pt idx="6">
                  <c:v>241</c:v>
                </c:pt>
              </c:numCache>
            </c:numRef>
          </c:val>
          <c:extLst>
            <c:ext xmlns:c16="http://schemas.microsoft.com/office/drawing/2014/chart" uri="{C3380CC4-5D6E-409C-BE32-E72D297353CC}">
              <c16:uniqueId val="{00000000-360C-4A74-95FA-86A0A1E21F95}"/>
            </c:ext>
          </c:extLst>
        </c:ser>
        <c:dLbls>
          <c:showLegendKey val="0"/>
          <c:showVal val="1"/>
          <c:showCatName val="0"/>
          <c:showSerName val="0"/>
          <c:showPercent val="0"/>
          <c:showBubbleSize val="0"/>
        </c:dLbls>
        <c:gapWidth val="79"/>
        <c:shape val="box"/>
        <c:axId val="350804015"/>
        <c:axId val="350803055"/>
        <c:axId val="0"/>
      </c:bar3DChart>
      <c:catAx>
        <c:axId val="35080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803055"/>
        <c:crosses val="autoZero"/>
        <c:auto val="1"/>
        <c:lblAlgn val="ctr"/>
        <c:lblOffset val="100"/>
        <c:noMultiLvlLbl val="0"/>
      </c:catAx>
      <c:valAx>
        <c:axId val="350803055"/>
        <c:scaling>
          <c:orientation val="minMax"/>
        </c:scaling>
        <c:delete val="1"/>
        <c:axPos val="b"/>
        <c:numFmt formatCode="General" sourceLinked="1"/>
        <c:majorTickMark val="none"/>
        <c:minorTickMark val="none"/>
        <c:tickLblPos val="nextTo"/>
        <c:crossAx val="35080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Dashboard.xlsx]Gender_Helper!PivotTable2</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a:t>Gender Diversity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Gender_Helper!$B$1</c:f>
              <c:strCache>
                <c:ptCount val="1"/>
                <c:pt idx="0">
                  <c:v>Total</c:v>
                </c:pt>
              </c:strCache>
            </c:strRef>
          </c:tx>
          <c:dPt>
            <c:idx val="0"/>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C9-4E3E-943B-D0A268836D22}"/>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C9-4E3E-943B-D0A268836D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Gender_Helper!$A$2:$A$4</c:f>
              <c:strCache>
                <c:ptCount val="2"/>
                <c:pt idx="0">
                  <c:v>Female</c:v>
                </c:pt>
                <c:pt idx="1">
                  <c:v>Male</c:v>
                </c:pt>
              </c:strCache>
            </c:strRef>
          </c:cat>
          <c:val>
            <c:numRef>
              <c:f>Gender_Helper!$B$2:$B$4</c:f>
              <c:numCache>
                <c:formatCode>General</c:formatCode>
                <c:ptCount val="2"/>
                <c:pt idx="0">
                  <c:v>518</c:v>
                </c:pt>
                <c:pt idx="1">
                  <c:v>482</c:v>
                </c:pt>
              </c:numCache>
            </c:numRef>
          </c:val>
          <c:extLst>
            <c:ext xmlns:c16="http://schemas.microsoft.com/office/drawing/2014/chart" uri="{C3380CC4-5D6E-409C-BE32-E72D297353CC}">
              <c16:uniqueId val="{00000004-8BC9-4E3E-943B-D0A268836D22}"/>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3344090957240216"/>
          <c:y val="0.60013097372729396"/>
          <c:w val="0.19092652095618093"/>
          <c:h val="0.22277383643876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Dashboard.xlsx]Attrition_Helper!PivotTable3</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hade val="76000"/>
              </a:schemeClr>
            </a:solidFill>
            <a:ln w="9525">
              <a:solidFill>
                <a:schemeClr val="accent1">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square"/>
          <c:size val="6"/>
          <c:spPr>
            <a:solidFill>
              <a:schemeClr val="accent1">
                <a:tint val="77000"/>
              </a:schemeClr>
            </a:solidFill>
            <a:ln w="9525">
              <a:solidFill>
                <a:schemeClr val="accent1">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Attrition_Helper!$B$1:$B$2</c:f>
              <c:strCache>
                <c:ptCount val="1"/>
                <c:pt idx="0">
                  <c:v>Active</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Attrition_Helper!$A$3:$A$10</c:f>
              <c:strCache>
                <c:ptCount val="7"/>
                <c:pt idx="0">
                  <c:v>Accounting</c:v>
                </c:pt>
                <c:pt idx="1">
                  <c:v>Engineering</c:v>
                </c:pt>
                <c:pt idx="2">
                  <c:v>Finance</c:v>
                </c:pt>
                <c:pt idx="3">
                  <c:v>Human Resources</c:v>
                </c:pt>
                <c:pt idx="4">
                  <c:v>IT</c:v>
                </c:pt>
                <c:pt idx="5">
                  <c:v>Marketing</c:v>
                </c:pt>
                <c:pt idx="6">
                  <c:v>Sales</c:v>
                </c:pt>
              </c:strCache>
            </c:strRef>
          </c:cat>
          <c:val>
            <c:numRef>
              <c:f>Attrition_Helper!$B$3:$B$10</c:f>
              <c:numCache>
                <c:formatCode>General</c:formatCode>
                <c:ptCount val="7"/>
                <c:pt idx="0">
                  <c:v>89</c:v>
                </c:pt>
                <c:pt idx="1">
                  <c:v>141</c:v>
                </c:pt>
                <c:pt idx="2">
                  <c:v>111</c:v>
                </c:pt>
                <c:pt idx="3">
                  <c:v>114</c:v>
                </c:pt>
                <c:pt idx="4">
                  <c:v>225</c:v>
                </c:pt>
                <c:pt idx="5">
                  <c:v>105</c:v>
                </c:pt>
                <c:pt idx="6">
                  <c:v>130</c:v>
                </c:pt>
              </c:numCache>
            </c:numRef>
          </c:val>
          <c:extLst>
            <c:ext xmlns:c16="http://schemas.microsoft.com/office/drawing/2014/chart" uri="{C3380CC4-5D6E-409C-BE32-E72D297353CC}">
              <c16:uniqueId val="{00000000-8D99-4C10-9BF6-7D0322147457}"/>
            </c:ext>
          </c:extLst>
        </c:ser>
        <c:ser>
          <c:idx val="1"/>
          <c:order val="1"/>
          <c:tx>
            <c:strRef>
              <c:f>Attrition_Helper!$C$1:$C$2</c:f>
              <c:strCache>
                <c:ptCount val="1"/>
                <c:pt idx="0">
                  <c:v>Exited</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Attrition_Helper!$A$3:$A$10</c:f>
              <c:strCache>
                <c:ptCount val="7"/>
                <c:pt idx="0">
                  <c:v>Accounting</c:v>
                </c:pt>
                <c:pt idx="1">
                  <c:v>Engineering</c:v>
                </c:pt>
                <c:pt idx="2">
                  <c:v>Finance</c:v>
                </c:pt>
                <c:pt idx="3">
                  <c:v>Human Resources</c:v>
                </c:pt>
                <c:pt idx="4">
                  <c:v>IT</c:v>
                </c:pt>
                <c:pt idx="5">
                  <c:v>Marketing</c:v>
                </c:pt>
                <c:pt idx="6">
                  <c:v>Sales</c:v>
                </c:pt>
              </c:strCache>
            </c:strRef>
          </c:cat>
          <c:val>
            <c:numRef>
              <c:f>Attrition_Helper!$C$3:$C$10</c:f>
              <c:numCache>
                <c:formatCode>General</c:formatCode>
                <c:ptCount val="7"/>
                <c:pt idx="0">
                  <c:v>7</c:v>
                </c:pt>
                <c:pt idx="1">
                  <c:v>17</c:v>
                </c:pt>
                <c:pt idx="2">
                  <c:v>9</c:v>
                </c:pt>
                <c:pt idx="3">
                  <c:v>11</c:v>
                </c:pt>
                <c:pt idx="4">
                  <c:v>16</c:v>
                </c:pt>
                <c:pt idx="5">
                  <c:v>15</c:v>
                </c:pt>
                <c:pt idx="6">
                  <c:v>10</c:v>
                </c:pt>
              </c:numCache>
            </c:numRef>
          </c:val>
          <c:extLst>
            <c:ext xmlns:c16="http://schemas.microsoft.com/office/drawing/2014/chart" uri="{C3380CC4-5D6E-409C-BE32-E72D297353CC}">
              <c16:uniqueId val="{00000009-8D99-4C10-9BF6-7D0322147457}"/>
            </c:ext>
          </c:extLst>
        </c:ser>
        <c:dLbls>
          <c:showLegendKey val="0"/>
          <c:showVal val="1"/>
          <c:showCatName val="0"/>
          <c:showSerName val="0"/>
          <c:showPercent val="0"/>
          <c:showBubbleSize val="0"/>
        </c:dLbls>
        <c:gapWidth val="79"/>
        <c:shape val="box"/>
        <c:axId val="399216079"/>
        <c:axId val="399212719"/>
        <c:axId val="0"/>
      </c:bar3DChart>
      <c:catAx>
        <c:axId val="39921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99212719"/>
        <c:crosses val="autoZero"/>
        <c:auto val="1"/>
        <c:lblAlgn val="ctr"/>
        <c:lblOffset val="100"/>
        <c:noMultiLvlLbl val="0"/>
      </c:catAx>
      <c:valAx>
        <c:axId val="399212719"/>
        <c:scaling>
          <c:orientation val="minMax"/>
        </c:scaling>
        <c:delete val="1"/>
        <c:axPos val="b"/>
        <c:numFmt formatCode="General" sourceLinked="1"/>
        <c:majorTickMark val="none"/>
        <c:minorTickMark val="none"/>
        <c:tickLblPos val="nextTo"/>
        <c:crossAx val="39921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Dashboard.xlsx]Salary_Helper!PivotTable4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kern="1200" cap="all" spc="120" normalizeH="0" baseline="0">
                <a:solidFill>
                  <a:sysClr val="windowText" lastClr="000000">
                    <a:lumMod val="65000"/>
                    <a:lumOff val="35000"/>
                  </a:sysClr>
                </a:solidFill>
              </a:rPr>
              <a:t>Average Salary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Salary_Helper!$B$1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Salary_Helper!$A$2:$A$35</c:f>
              <c:strCache>
                <c:ptCount val="33"/>
                <c:pt idx="0">
                  <c:v>Vice President</c:v>
                </c:pt>
                <c:pt idx="1">
                  <c:v>Director</c:v>
                </c:pt>
                <c:pt idx="2">
                  <c:v>Sr. Manger</c:v>
                </c:pt>
                <c:pt idx="3">
                  <c:v>Manager</c:v>
                </c:pt>
                <c:pt idx="4">
                  <c:v>Engineering Manager</c:v>
                </c:pt>
                <c:pt idx="5">
                  <c:v>Operations Engineer</c:v>
                </c:pt>
                <c:pt idx="6">
                  <c:v>Controls Engineer</c:v>
                </c:pt>
                <c:pt idx="7">
                  <c:v>Automation Engineer</c:v>
                </c:pt>
                <c:pt idx="8">
                  <c:v>Cloud Infrastructure Architect</c:v>
                </c:pt>
                <c:pt idx="9">
                  <c:v>Sr. Analyst</c:v>
                </c:pt>
                <c:pt idx="10">
                  <c:v>Sr. Business Partner</c:v>
                </c:pt>
                <c:pt idx="11">
                  <c:v>Sr. Account Representative</c:v>
                </c:pt>
                <c:pt idx="12">
                  <c:v>Enterprise Architect</c:v>
                </c:pt>
                <c:pt idx="13">
                  <c:v>Quality Engineer</c:v>
                </c:pt>
                <c:pt idx="14">
                  <c:v>Service Desk Analyst</c:v>
                </c:pt>
                <c:pt idx="15">
                  <c:v>IT Systems Architect</c:v>
                </c:pt>
                <c:pt idx="16">
                  <c:v>Computer Systems Manager</c:v>
                </c:pt>
                <c:pt idx="17">
                  <c:v>Network Architect</c:v>
                </c:pt>
                <c:pt idx="18">
                  <c:v>System Administrator </c:v>
                </c:pt>
                <c:pt idx="19">
                  <c:v>Technical Architect</c:v>
                </c:pt>
                <c:pt idx="20">
                  <c:v>Field Engineer</c:v>
                </c:pt>
                <c:pt idx="21">
                  <c:v>Solutions Architect</c:v>
                </c:pt>
                <c:pt idx="22">
                  <c:v>Development Engineer</c:v>
                </c:pt>
                <c:pt idx="23">
                  <c:v>Network Administrator</c:v>
                </c:pt>
                <c:pt idx="24">
                  <c:v>Test Engineer</c:v>
                </c:pt>
                <c:pt idx="25">
                  <c:v>Network Engineer</c:v>
                </c:pt>
                <c:pt idx="26">
                  <c:v>Analyst II</c:v>
                </c:pt>
                <c:pt idx="27">
                  <c:v>Account Representative</c:v>
                </c:pt>
                <c:pt idx="28">
                  <c:v>HRIS Analyst</c:v>
                </c:pt>
                <c:pt idx="29">
                  <c:v>Analyst</c:v>
                </c:pt>
                <c:pt idx="30">
                  <c:v>Business Partner</c:v>
                </c:pt>
                <c:pt idx="31">
                  <c:v>Systems Analyst</c:v>
                </c:pt>
                <c:pt idx="32">
                  <c:v>IT Coordinator</c:v>
                </c:pt>
              </c:strCache>
            </c:strRef>
          </c:cat>
          <c:val>
            <c:numRef>
              <c:f>Salary_Helper!$B$2:$B$35</c:f>
              <c:numCache>
                <c:formatCode>_-[$$-409]* #,##0_ ;_-[$$-409]* \-#,##0\ ;_-[$$-409]* "-"??_ ;_-@_ </c:formatCode>
                <c:ptCount val="33"/>
                <c:pt idx="0">
                  <c:v>222195.17142857143</c:v>
                </c:pt>
                <c:pt idx="1">
                  <c:v>171633.85123966943</c:v>
                </c:pt>
                <c:pt idx="2">
                  <c:v>141067.76363636364</c:v>
                </c:pt>
                <c:pt idx="3">
                  <c:v>113275.68367346939</c:v>
                </c:pt>
                <c:pt idx="4">
                  <c:v>101853.8</c:v>
                </c:pt>
                <c:pt idx="5">
                  <c:v>101135.25</c:v>
                </c:pt>
                <c:pt idx="6">
                  <c:v>99626.133333333331</c:v>
                </c:pt>
                <c:pt idx="7">
                  <c:v>95106.857142857145</c:v>
                </c:pt>
                <c:pt idx="8">
                  <c:v>86961.333333333328</c:v>
                </c:pt>
                <c:pt idx="9">
                  <c:v>86402.957142857136</c:v>
                </c:pt>
                <c:pt idx="10">
                  <c:v>85035.352941176476</c:v>
                </c:pt>
                <c:pt idx="11">
                  <c:v>84808.222222222219</c:v>
                </c:pt>
                <c:pt idx="12">
                  <c:v>84698.666666666672</c:v>
                </c:pt>
                <c:pt idx="13">
                  <c:v>83564.399999999994</c:v>
                </c:pt>
                <c:pt idx="14">
                  <c:v>82329.2</c:v>
                </c:pt>
                <c:pt idx="15">
                  <c:v>81496.833333333328</c:v>
                </c:pt>
                <c:pt idx="16">
                  <c:v>80346.809523809527</c:v>
                </c:pt>
                <c:pt idx="17">
                  <c:v>80092.555555555562</c:v>
                </c:pt>
                <c:pt idx="18">
                  <c:v>79852.666666666672</c:v>
                </c:pt>
                <c:pt idx="19">
                  <c:v>79773.823529411762</c:v>
                </c:pt>
                <c:pt idx="20">
                  <c:v>78928.952380952382</c:v>
                </c:pt>
                <c:pt idx="21">
                  <c:v>78163.266666666663</c:v>
                </c:pt>
                <c:pt idx="22">
                  <c:v>77889.210526315786</c:v>
                </c:pt>
                <c:pt idx="23">
                  <c:v>75908.399999999994</c:v>
                </c:pt>
                <c:pt idx="24">
                  <c:v>74550.833333333328</c:v>
                </c:pt>
                <c:pt idx="25">
                  <c:v>74171.71428571429</c:v>
                </c:pt>
                <c:pt idx="26">
                  <c:v>62647.471698113208</c:v>
                </c:pt>
                <c:pt idx="27">
                  <c:v>62281.619047619046</c:v>
                </c:pt>
                <c:pt idx="28">
                  <c:v>61760.375</c:v>
                </c:pt>
                <c:pt idx="29">
                  <c:v>49950.666666666664</c:v>
                </c:pt>
                <c:pt idx="30">
                  <c:v>49559.789473684214</c:v>
                </c:pt>
                <c:pt idx="31">
                  <c:v>48787.933333333334</c:v>
                </c:pt>
                <c:pt idx="32">
                  <c:v>48024.454545454544</c:v>
                </c:pt>
              </c:numCache>
            </c:numRef>
          </c:val>
          <c:extLst>
            <c:ext xmlns:c16="http://schemas.microsoft.com/office/drawing/2014/chart" uri="{C3380CC4-5D6E-409C-BE32-E72D297353CC}">
              <c16:uniqueId val="{00000000-54A3-4ABD-96EC-6036160B3B17}"/>
            </c:ext>
          </c:extLst>
        </c:ser>
        <c:dLbls>
          <c:showLegendKey val="0"/>
          <c:showVal val="0"/>
          <c:showCatName val="0"/>
          <c:showSerName val="0"/>
          <c:showPercent val="0"/>
          <c:showBubbleSize val="0"/>
        </c:dLbls>
        <c:gapWidth val="150"/>
        <c:shape val="box"/>
        <c:axId val="796510223"/>
        <c:axId val="796499183"/>
        <c:axId val="0"/>
      </c:bar3DChart>
      <c:catAx>
        <c:axId val="79651022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499183"/>
        <c:crosses val="autoZero"/>
        <c:auto val="1"/>
        <c:lblAlgn val="ctr"/>
        <c:lblOffset val="100"/>
        <c:noMultiLvlLbl val="0"/>
      </c:catAx>
      <c:valAx>
        <c:axId val="79649918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5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Dashboard.xlsx]Country_Helper!PivotTable5</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Headcount by Country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Country_Helper!$B$2</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Country_Helper!$A$3:$A$6</c:f>
              <c:strCache>
                <c:ptCount val="3"/>
                <c:pt idx="0">
                  <c:v>United States</c:v>
                </c:pt>
                <c:pt idx="1">
                  <c:v>China</c:v>
                </c:pt>
                <c:pt idx="2">
                  <c:v>Brazil</c:v>
                </c:pt>
              </c:strCache>
            </c:strRef>
          </c:cat>
          <c:val>
            <c:numRef>
              <c:f>Country_Helper!$B$3:$B$6</c:f>
              <c:numCache>
                <c:formatCode>General</c:formatCode>
                <c:ptCount val="3"/>
                <c:pt idx="0">
                  <c:v>643</c:v>
                </c:pt>
                <c:pt idx="1">
                  <c:v>218</c:v>
                </c:pt>
                <c:pt idx="2">
                  <c:v>139</c:v>
                </c:pt>
              </c:numCache>
            </c:numRef>
          </c:val>
          <c:extLst>
            <c:ext xmlns:c16="http://schemas.microsoft.com/office/drawing/2014/chart" uri="{C3380CC4-5D6E-409C-BE32-E72D297353CC}">
              <c16:uniqueId val="{00000000-792F-4DC0-99A2-9274B528D2DE}"/>
            </c:ext>
          </c:extLst>
        </c:ser>
        <c:dLbls>
          <c:showLegendKey val="0"/>
          <c:showVal val="1"/>
          <c:showCatName val="0"/>
          <c:showSerName val="0"/>
          <c:showPercent val="0"/>
          <c:showBubbleSize val="0"/>
        </c:dLbls>
        <c:gapWidth val="79"/>
        <c:shape val="box"/>
        <c:axId val="600611695"/>
        <c:axId val="600608815"/>
        <c:axId val="0"/>
      </c:bar3DChart>
      <c:catAx>
        <c:axId val="60061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00608815"/>
        <c:crosses val="autoZero"/>
        <c:auto val="1"/>
        <c:lblAlgn val="ctr"/>
        <c:lblOffset val="100"/>
        <c:noMultiLvlLbl val="0"/>
      </c:catAx>
      <c:valAx>
        <c:axId val="600608815"/>
        <c:scaling>
          <c:orientation val="minMax"/>
        </c:scaling>
        <c:delete val="1"/>
        <c:axPos val="b"/>
        <c:numFmt formatCode="General" sourceLinked="1"/>
        <c:majorTickMark val="none"/>
        <c:minorTickMark val="none"/>
        <c:tickLblPos val="nextTo"/>
        <c:crossAx val="60061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Dashboard.xlsx]KPI_Helper!PivotTable7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all" spc="120" normalizeH="0" baseline="0">
                <a:solidFill>
                  <a:sysClr val="windowText" lastClr="000000">
                    <a:lumMod val="65000"/>
                    <a:lumOff val="35000"/>
                  </a:sysClr>
                </a:solidFill>
              </a:rPr>
              <a:t>Average TENURE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KPI_Helper!$B$13</c:f>
              <c:strCache>
                <c:ptCount val="1"/>
                <c:pt idx="0">
                  <c:v>Total</c:v>
                </c:pt>
              </c:strCache>
            </c:strRef>
          </c:tx>
          <c:spPr>
            <a:solidFill>
              <a:schemeClr val="accent4"/>
            </a:solidFill>
            <a:ln>
              <a:noFill/>
            </a:ln>
            <a:effectLst/>
            <a:sp3d/>
          </c:spPr>
          <c:invertIfNegative val="0"/>
          <c:cat>
            <c:strRef>
              <c:f>KPI_Helper!$A$14:$A$21</c:f>
              <c:strCache>
                <c:ptCount val="7"/>
                <c:pt idx="0">
                  <c:v>Accounting</c:v>
                </c:pt>
                <c:pt idx="1">
                  <c:v>Engineering</c:v>
                </c:pt>
                <c:pt idx="2">
                  <c:v>Finance</c:v>
                </c:pt>
                <c:pt idx="3">
                  <c:v>Human Resources</c:v>
                </c:pt>
                <c:pt idx="4">
                  <c:v>IT</c:v>
                </c:pt>
                <c:pt idx="5">
                  <c:v>Marketing</c:v>
                </c:pt>
                <c:pt idx="6">
                  <c:v>Sales</c:v>
                </c:pt>
              </c:strCache>
            </c:strRef>
          </c:cat>
          <c:val>
            <c:numRef>
              <c:f>KPI_Helper!$B$14:$B$21</c:f>
              <c:numCache>
                <c:formatCode>0.0</c:formatCode>
                <c:ptCount val="7"/>
                <c:pt idx="0">
                  <c:v>11.3125</c:v>
                </c:pt>
                <c:pt idx="1">
                  <c:v>12.886075949367088</c:v>
                </c:pt>
                <c:pt idx="2">
                  <c:v>12.65</c:v>
                </c:pt>
                <c:pt idx="3">
                  <c:v>12.56</c:v>
                </c:pt>
                <c:pt idx="4">
                  <c:v>13.008298755186722</c:v>
                </c:pt>
                <c:pt idx="5">
                  <c:v>11.541666666666666</c:v>
                </c:pt>
                <c:pt idx="6">
                  <c:v>12.814285714285715</c:v>
                </c:pt>
              </c:numCache>
            </c:numRef>
          </c:val>
          <c:extLst>
            <c:ext xmlns:c16="http://schemas.microsoft.com/office/drawing/2014/chart" uri="{C3380CC4-5D6E-409C-BE32-E72D297353CC}">
              <c16:uniqueId val="{00000000-1893-4503-A109-DFBEACC6FE02}"/>
            </c:ext>
          </c:extLst>
        </c:ser>
        <c:dLbls>
          <c:showLegendKey val="0"/>
          <c:showVal val="0"/>
          <c:showCatName val="0"/>
          <c:showSerName val="0"/>
          <c:showPercent val="0"/>
          <c:showBubbleSize val="0"/>
        </c:dLbls>
        <c:gapWidth val="150"/>
        <c:shape val="box"/>
        <c:axId val="551876671"/>
        <c:axId val="551877151"/>
        <c:axId val="0"/>
      </c:bar3DChart>
      <c:catAx>
        <c:axId val="55187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77151"/>
        <c:crosses val="autoZero"/>
        <c:auto val="1"/>
        <c:lblAlgn val="ctr"/>
        <c:lblOffset val="100"/>
        <c:noMultiLvlLbl val="0"/>
      </c:catAx>
      <c:valAx>
        <c:axId val="5518771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7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Dashboard.xlsx]KPI_Helper!PivotTable2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r>
              <a:rPr lang="en-US" sz="1600" b="1" i="0" u="none" strike="noStrike" kern="1200" baseline="0">
                <a:solidFill>
                  <a:sysClr val="windowText" lastClr="000000">
                    <a:lumMod val="65000"/>
                    <a:lumOff val="35000"/>
                  </a:sysClr>
                </a:solidFill>
              </a:rPr>
              <a:t>Employee Status Breakdown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50" normalizeH="0" baseline="0">
              <a:solidFill>
                <a:sysClr val="windowText" lastClr="000000">
                  <a:lumMod val="65000"/>
                  <a:lumOff val="35000"/>
                </a:sys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KPI_Helper!$L$2</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KPI_Helper!$K$3:$K$5</c:f>
              <c:strCache>
                <c:ptCount val="2"/>
                <c:pt idx="0">
                  <c:v>Active</c:v>
                </c:pt>
                <c:pt idx="1">
                  <c:v>Exited</c:v>
                </c:pt>
              </c:strCache>
            </c:strRef>
          </c:cat>
          <c:val>
            <c:numRef>
              <c:f>KPI_Helper!$L$3:$L$5</c:f>
              <c:numCache>
                <c:formatCode>General</c:formatCode>
                <c:ptCount val="2"/>
                <c:pt idx="0">
                  <c:v>915</c:v>
                </c:pt>
                <c:pt idx="1">
                  <c:v>85</c:v>
                </c:pt>
              </c:numCache>
            </c:numRef>
          </c:val>
          <c:extLst>
            <c:ext xmlns:c16="http://schemas.microsoft.com/office/drawing/2014/chart" uri="{C3380CC4-5D6E-409C-BE32-E72D297353CC}">
              <c16:uniqueId val="{00000000-AD97-4926-BD56-EF3B0C4A541D}"/>
            </c:ext>
          </c:extLst>
        </c:ser>
        <c:dLbls>
          <c:dLblPos val="outEnd"/>
          <c:showLegendKey val="0"/>
          <c:showVal val="1"/>
          <c:showCatName val="0"/>
          <c:showSerName val="0"/>
          <c:showPercent val="0"/>
          <c:showBubbleSize val="0"/>
        </c:dLbls>
        <c:gapWidth val="80"/>
        <c:overlap val="25"/>
        <c:axId val="1367304895"/>
        <c:axId val="1367299615"/>
      </c:barChart>
      <c:catAx>
        <c:axId val="136730489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67299615"/>
        <c:crosses val="autoZero"/>
        <c:auto val="1"/>
        <c:lblAlgn val="ctr"/>
        <c:lblOffset val="100"/>
        <c:noMultiLvlLbl val="0"/>
      </c:catAx>
      <c:valAx>
        <c:axId val="1367299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67304895"/>
        <c:crosses val="autoZero"/>
        <c:crossBetween val="between"/>
      </c:valAx>
      <c:spPr>
        <a:noFill/>
        <a:ln>
          <a:noFill/>
        </a:ln>
        <a:effectLst>
          <a:softEdge rad="127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Dashboard.xlsx]Salary_Helper!PivotTable4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Salary by Job Title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Salary_Helper!$B$1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Salary_Helper!$A$2:$A$35</c:f>
              <c:strCache>
                <c:ptCount val="33"/>
                <c:pt idx="0">
                  <c:v>Vice President</c:v>
                </c:pt>
                <c:pt idx="1">
                  <c:v>Director</c:v>
                </c:pt>
                <c:pt idx="2">
                  <c:v>Sr. Manger</c:v>
                </c:pt>
                <c:pt idx="3">
                  <c:v>Manager</c:v>
                </c:pt>
                <c:pt idx="4">
                  <c:v>Engineering Manager</c:v>
                </c:pt>
                <c:pt idx="5">
                  <c:v>Operations Engineer</c:v>
                </c:pt>
                <c:pt idx="6">
                  <c:v>Controls Engineer</c:v>
                </c:pt>
                <c:pt idx="7">
                  <c:v>Automation Engineer</c:v>
                </c:pt>
                <c:pt idx="8">
                  <c:v>Cloud Infrastructure Architect</c:v>
                </c:pt>
                <c:pt idx="9">
                  <c:v>Sr. Analyst</c:v>
                </c:pt>
                <c:pt idx="10">
                  <c:v>Sr. Business Partner</c:v>
                </c:pt>
                <c:pt idx="11">
                  <c:v>Sr. Account Representative</c:v>
                </c:pt>
                <c:pt idx="12">
                  <c:v>Enterprise Architect</c:v>
                </c:pt>
                <c:pt idx="13">
                  <c:v>Quality Engineer</c:v>
                </c:pt>
                <c:pt idx="14">
                  <c:v>Service Desk Analyst</c:v>
                </c:pt>
                <c:pt idx="15">
                  <c:v>IT Systems Architect</c:v>
                </c:pt>
                <c:pt idx="16">
                  <c:v>Computer Systems Manager</c:v>
                </c:pt>
                <c:pt idx="17">
                  <c:v>Network Architect</c:v>
                </c:pt>
                <c:pt idx="18">
                  <c:v>System Administrator </c:v>
                </c:pt>
                <c:pt idx="19">
                  <c:v>Technical Architect</c:v>
                </c:pt>
                <c:pt idx="20">
                  <c:v>Field Engineer</c:v>
                </c:pt>
                <c:pt idx="21">
                  <c:v>Solutions Architect</c:v>
                </c:pt>
                <c:pt idx="22">
                  <c:v>Development Engineer</c:v>
                </c:pt>
                <c:pt idx="23">
                  <c:v>Network Administrator</c:v>
                </c:pt>
                <c:pt idx="24">
                  <c:v>Test Engineer</c:v>
                </c:pt>
                <c:pt idx="25">
                  <c:v>Network Engineer</c:v>
                </c:pt>
                <c:pt idx="26">
                  <c:v>Analyst II</c:v>
                </c:pt>
                <c:pt idx="27">
                  <c:v>Account Representative</c:v>
                </c:pt>
                <c:pt idx="28">
                  <c:v>HRIS Analyst</c:v>
                </c:pt>
                <c:pt idx="29">
                  <c:v>Analyst</c:v>
                </c:pt>
                <c:pt idx="30">
                  <c:v>Business Partner</c:v>
                </c:pt>
                <c:pt idx="31">
                  <c:v>Systems Analyst</c:v>
                </c:pt>
                <c:pt idx="32">
                  <c:v>IT Coordinator</c:v>
                </c:pt>
              </c:strCache>
            </c:strRef>
          </c:cat>
          <c:val>
            <c:numRef>
              <c:f>Salary_Helper!$B$2:$B$35</c:f>
              <c:numCache>
                <c:formatCode>_-[$$-409]* #,##0_ ;_-[$$-409]* \-#,##0\ ;_-[$$-409]* "-"??_ ;_-@_ </c:formatCode>
                <c:ptCount val="33"/>
                <c:pt idx="0">
                  <c:v>222195.17142857143</c:v>
                </c:pt>
                <c:pt idx="1">
                  <c:v>171633.85123966943</c:v>
                </c:pt>
                <c:pt idx="2">
                  <c:v>141067.76363636364</c:v>
                </c:pt>
                <c:pt idx="3">
                  <c:v>113275.68367346939</c:v>
                </c:pt>
                <c:pt idx="4">
                  <c:v>101853.8</c:v>
                </c:pt>
                <c:pt idx="5">
                  <c:v>101135.25</c:v>
                </c:pt>
                <c:pt idx="6">
                  <c:v>99626.133333333331</c:v>
                </c:pt>
                <c:pt idx="7">
                  <c:v>95106.857142857145</c:v>
                </c:pt>
                <c:pt idx="8">
                  <c:v>86961.333333333328</c:v>
                </c:pt>
                <c:pt idx="9">
                  <c:v>86402.957142857136</c:v>
                </c:pt>
                <c:pt idx="10">
                  <c:v>85035.352941176476</c:v>
                </c:pt>
                <c:pt idx="11">
                  <c:v>84808.222222222219</c:v>
                </c:pt>
                <c:pt idx="12">
                  <c:v>84698.666666666672</c:v>
                </c:pt>
                <c:pt idx="13">
                  <c:v>83564.399999999994</c:v>
                </c:pt>
                <c:pt idx="14">
                  <c:v>82329.2</c:v>
                </c:pt>
                <c:pt idx="15">
                  <c:v>81496.833333333328</c:v>
                </c:pt>
                <c:pt idx="16">
                  <c:v>80346.809523809527</c:v>
                </c:pt>
                <c:pt idx="17">
                  <c:v>80092.555555555562</c:v>
                </c:pt>
                <c:pt idx="18">
                  <c:v>79852.666666666672</c:v>
                </c:pt>
                <c:pt idx="19">
                  <c:v>79773.823529411762</c:v>
                </c:pt>
                <c:pt idx="20">
                  <c:v>78928.952380952382</c:v>
                </c:pt>
                <c:pt idx="21">
                  <c:v>78163.266666666663</c:v>
                </c:pt>
                <c:pt idx="22">
                  <c:v>77889.210526315786</c:v>
                </c:pt>
                <c:pt idx="23">
                  <c:v>75908.399999999994</c:v>
                </c:pt>
                <c:pt idx="24">
                  <c:v>74550.833333333328</c:v>
                </c:pt>
                <c:pt idx="25">
                  <c:v>74171.71428571429</c:v>
                </c:pt>
                <c:pt idx="26">
                  <c:v>62647.471698113208</c:v>
                </c:pt>
                <c:pt idx="27">
                  <c:v>62281.619047619046</c:v>
                </c:pt>
                <c:pt idx="28">
                  <c:v>61760.375</c:v>
                </c:pt>
                <c:pt idx="29">
                  <c:v>49950.666666666664</c:v>
                </c:pt>
                <c:pt idx="30">
                  <c:v>49559.789473684214</c:v>
                </c:pt>
                <c:pt idx="31">
                  <c:v>48787.933333333334</c:v>
                </c:pt>
                <c:pt idx="32">
                  <c:v>48024.454545454544</c:v>
                </c:pt>
              </c:numCache>
            </c:numRef>
          </c:val>
          <c:extLst>
            <c:ext xmlns:c16="http://schemas.microsoft.com/office/drawing/2014/chart" uri="{C3380CC4-5D6E-409C-BE32-E72D297353CC}">
              <c16:uniqueId val="{00000000-72F8-4E15-AE94-BDC224A1AEF2}"/>
            </c:ext>
          </c:extLst>
        </c:ser>
        <c:dLbls>
          <c:showLegendKey val="0"/>
          <c:showVal val="0"/>
          <c:showCatName val="0"/>
          <c:showSerName val="0"/>
          <c:showPercent val="0"/>
          <c:showBubbleSize val="0"/>
        </c:dLbls>
        <c:gapWidth val="150"/>
        <c:shape val="box"/>
        <c:axId val="796510223"/>
        <c:axId val="796499183"/>
        <c:axId val="0"/>
      </c:bar3DChart>
      <c:catAx>
        <c:axId val="7965102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499183"/>
        <c:crosses val="autoZero"/>
        <c:auto val="1"/>
        <c:lblAlgn val="ctr"/>
        <c:lblOffset val="100"/>
        <c:noMultiLvlLbl val="0"/>
      </c:catAx>
      <c:valAx>
        <c:axId val="79649918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5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Analytics Dashboard.xlsx]Dept_Headcount_Helper!PivotTable1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Dept_Headcount_Helper!$B$1</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Dept_Headcount_Helper!$A$2:$A$9</c:f>
              <c:strCache>
                <c:ptCount val="7"/>
                <c:pt idx="0">
                  <c:v>Accounting</c:v>
                </c:pt>
                <c:pt idx="1">
                  <c:v>Finance</c:v>
                </c:pt>
                <c:pt idx="2">
                  <c:v>Marketing</c:v>
                </c:pt>
                <c:pt idx="3">
                  <c:v>Human Resources</c:v>
                </c:pt>
                <c:pt idx="4">
                  <c:v>Sales</c:v>
                </c:pt>
                <c:pt idx="5">
                  <c:v>Engineering</c:v>
                </c:pt>
                <c:pt idx="6">
                  <c:v>IT</c:v>
                </c:pt>
              </c:strCache>
            </c:strRef>
          </c:cat>
          <c:val>
            <c:numRef>
              <c:f>Dept_Headcount_Helper!$B$2:$B$9</c:f>
              <c:numCache>
                <c:formatCode>General</c:formatCode>
                <c:ptCount val="7"/>
                <c:pt idx="0">
                  <c:v>96</c:v>
                </c:pt>
                <c:pt idx="1">
                  <c:v>120</c:v>
                </c:pt>
                <c:pt idx="2">
                  <c:v>120</c:v>
                </c:pt>
                <c:pt idx="3">
                  <c:v>125</c:v>
                </c:pt>
                <c:pt idx="4">
                  <c:v>140</c:v>
                </c:pt>
                <c:pt idx="5">
                  <c:v>158</c:v>
                </c:pt>
                <c:pt idx="6">
                  <c:v>241</c:v>
                </c:pt>
              </c:numCache>
            </c:numRef>
          </c:val>
          <c:extLst>
            <c:ext xmlns:c16="http://schemas.microsoft.com/office/drawing/2014/chart" uri="{C3380CC4-5D6E-409C-BE32-E72D297353CC}">
              <c16:uniqueId val="{00000000-893C-4196-A888-5C7825B4547E}"/>
            </c:ext>
          </c:extLst>
        </c:ser>
        <c:dLbls>
          <c:showLegendKey val="0"/>
          <c:showVal val="1"/>
          <c:showCatName val="0"/>
          <c:showSerName val="0"/>
          <c:showPercent val="0"/>
          <c:showBubbleSize val="0"/>
        </c:dLbls>
        <c:gapWidth val="79"/>
        <c:shape val="box"/>
        <c:axId val="350804015"/>
        <c:axId val="350803055"/>
        <c:axId val="0"/>
      </c:bar3DChart>
      <c:catAx>
        <c:axId val="35080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803055"/>
        <c:crosses val="autoZero"/>
        <c:auto val="1"/>
        <c:lblAlgn val="ctr"/>
        <c:lblOffset val="100"/>
        <c:noMultiLvlLbl val="0"/>
      </c:catAx>
      <c:valAx>
        <c:axId val="350803055"/>
        <c:scaling>
          <c:orientation val="minMax"/>
        </c:scaling>
        <c:delete val="1"/>
        <c:axPos val="b"/>
        <c:numFmt formatCode="General" sourceLinked="1"/>
        <c:majorTickMark val="none"/>
        <c:minorTickMark val="none"/>
        <c:tickLblPos val="nextTo"/>
        <c:crossAx val="35080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Dashboard.xlsx]Gender_Helper!PivotTable2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Gender Diversity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Gender_Helper!$B$1</c:f>
              <c:strCache>
                <c:ptCount val="1"/>
                <c:pt idx="0">
                  <c:v>Total</c:v>
                </c:pt>
              </c:strCache>
            </c:strRef>
          </c:tx>
          <c:dPt>
            <c:idx val="0"/>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736-45ED-9986-9345924BD838}"/>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736-45ED-9986-9345924BD83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Gender_Helper!$A$2:$A$4</c:f>
              <c:strCache>
                <c:ptCount val="2"/>
                <c:pt idx="0">
                  <c:v>Female</c:v>
                </c:pt>
                <c:pt idx="1">
                  <c:v>Male</c:v>
                </c:pt>
              </c:strCache>
            </c:strRef>
          </c:cat>
          <c:val>
            <c:numRef>
              <c:f>Gender_Helper!$B$2:$B$4</c:f>
              <c:numCache>
                <c:formatCode>General</c:formatCode>
                <c:ptCount val="2"/>
                <c:pt idx="0">
                  <c:v>518</c:v>
                </c:pt>
                <c:pt idx="1">
                  <c:v>482</c:v>
                </c:pt>
              </c:numCache>
            </c:numRef>
          </c:val>
          <c:extLst>
            <c:ext xmlns:c16="http://schemas.microsoft.com/office/drawing/2014/chart" uri="{C3380CC4-5D6E-409C-BE32-E72D297353CC}">
              <c16:uniqueId val="{00000000-5EB2-4F4E-A7F2-CEF5C05679AB}"/>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3344090957240216"/>
          <c:y val="0.60013097372729396"/>
          <c:w val="0.19092652095618093"/>
          <c:h val="0.22277383643876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Dashboard.xlsx]Attrition_Helper!PivotTable3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Attrition_Helper!$B$1:$B$2</c:f>
              <c:strCache>
                <c:ptCount val="1"/>
                <c:pt idx="0">
                  <c:v>Active</c:v>
                </c:pt>
              </c:strCache>
            </c:strRef>
          </c:tx>
          <c:spPr>
            <a:solidFill>
              <a:schemeClr val="accent1">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Attrition_Helper!$A$3:$A$10</c:f>
              <c:strCache>
                <c:ptCount val="7"/>
                <c:pt idx="0">
                  <c:v>Accounting</c:v>
                </c:pt>
                <c:pt idx="1">
                  <c:v>Engineering</c:v>
                </c:pt>
                <c:pt idx="2">
                  <c:v>Finance</c:v>
                </c:pt>
                <c:pt idx="3">
                  <c:v>Human Resources</c:v>
                </c:pt>
                <c:pt idx="4">
                  <c:v>IT</c:v>
                </c:pt>
                <c:pt idx="5">
                  <c:v>Marketing</c:v>
                </c:pt>
                <c:pt idx="6">
                  <c:v>Sales</c:v>
                </c:pt>
              </c:strCache>
            </c:strRef>
          </c:cat>
          <c:val>
            <c:numRef>
              <c:f>Attrition_Helper!$B$3:$B$10</c:f>
              <c:numCache>
                <c:formatCode>General</c:formatCode>
                <c:ptCount val="7"/>
                <c:pt idx="0">
                  <c:v>89</c:v>
                </c:pt>
                <c:pt idx="1">
                  <c:v>141</c:v>
                </c:pt>
                <c:pt idx="2">
                  <c:v>111</c:v>
                </c:pt>
                <c:pt idx="3">
                  <c:v>114</c:v>
                </c:pt>
                <c:pt idx="4">
                  <c:v>225</c:v>
                </c:pt>
                <c:pt idx="5">
                  <c:v>105</c:v>
                </c:pt>
                <c:pt idx="6">
                  <c:v>130</c:v>
                </c:pt>
              </c:numCache>
            </c:numRef>
          </c:val>
          <c:extLst>
            <c:ext xmlns:c16="http://schemas.microsoft.com/office/drawing/2014/chart" uri="{C3380CC4-5D6E-409C-BE32-E72D297353CC}">
              <c16:uniqueId val="{00000000-985F-41BB-8F39-823793D3E4B6}"/>
            </c:ext>
          </c:extLst>
        </c:ser>
        <c:ser>
          <c:idx val="1"/>
          <c:order val="1"/>
          <c:tx>
            <c:strRef>
              <c:f>Attrition_Helper!$C$1:$C$2</c:f>
              <c:strCache>
                <c:ptCount val="1"/>
                <c:pt idx="0">
                  <c:v>Exited</c:v>
                </c:pt>
              </c:strCache>
            </c:strRef>
          </c:tx>
          <c:spPr>
            <a:solidFill>
              <a:schemeClr val="accent1">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Attrition_Helper!$A$3:$A$10</c:f>
              <c:strCache>
                <c:ptCount val="7"/>
                <c:pt idx="0">
                  <c:v>Accounting</c:v>
                </c:pt>
                <c:pt idx="1">
                  <c:v>Engineering</c:v>
                </c:pt>
                <c:pt idx="2">
                  <c:v>Finance</c:v>
                </c:pt>
                <c:pt idx="3">
                  <c:v>Human Resources</c:v>
                </c:pt>
                <c:pt idx="4">
                  <c:v>IT</c:v>
                </c:pt>
                <c:pt idx="5">
                  <c:v>Marketing</c:v>
                </c:pt>
                <c:pt idx="6">
                  <c:v>Sales</c:v>
                </c:pt>
              </c:strCache>
            </c:strRef>
          </c:cat>
          <c:val>
            <c:numRef>
              <c:f>Attrition_Helper!$C$3:$C$10</c:f>
              <c:numCache>
                <c:formatCode>General</c:formatCode>
                <c:ptCount val="7"/>
                <c:pt idx="0">
                  <c:v>7</c:v>
                </c:pt>
                <c:pt idx="1">
                  <c:v>17</c:v>
                </c:pt>
                <c:pt idx="2">
                  <c:v>9</c:v>
                </c:pt>
                <c:pt idx="3">
                  <c:v>11</c:v>
                </c:pt>
                <c:pt idx="4">
                  <c:v>16</c:v>
                </c:pt>
                <c:pt idx="5">
                  <c:v>15</c:v>
                </c:pt>
                <c:pt idx="6">
                  <c:v>10</c:v>
                </c:pt>
              </c:numCache>
            </c:numRef>
          </c:val>
          <c:extLst>
            <c:ext xmlns:c16="http://schemas.microsoft.com/office/drawing/2014/chart" uri="{C3380CC4-5D6E-409C-BE32-E72D297353CC}">
              <c16:uniqueId val="{00000009-985F-41BB-8F39-823793D3E4B6}"/>
            </c:ext>
          </c:extLst>
        </c:ser>
        <c:dLbls>
          <c:showLegendKey val="0"/>
          <c:showVal val="1"/>
          <c:showCatName val="0"/>
          <c:showSerName val="0"/>
          <c:showPercent val="0"/>
          <c:showBubbleSize val="0"/>
        </c:dLbls>
        <c:gapWidth val="79"/>
        <c:shape val="box"/>
        <c:axId val="399216079"/>
        <c:axId val="399212719"/>
        <c:axId val="0"/>
      </c:bar3DChart>
      <c:catAx>
        <c:axId val="39921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99212719"/>
        <c:crosses val="autoZero"/>
        <c:auto val="1"/>
        <c:lblAlgn val="ctr"/>
        <c:lblOffset val="100"/>
        <c:noMultiLvlLbl val="0"/>
      </c:catAx>
      <c:valAx>
        <c:axId val="399212719"/>
        <c:scaling>
          <c:orientation val="minMax"/>
        </c:scaling>
        <c:delete val="1"/>
        <c:axPos val="b"/>
        <c:numFmt formatCode="General" sourceLinked="1"/>
        <c:majorTickMark val="none"/>
        <c:minorTickMark val="none"/>
        <c:tickLblPos val="nextTo"/>
        <c:crossAx val="39921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Analytics Dashboard.xlsx]Country_Helper!PivotTable5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Headcount by Country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Country_Helper!$B$2</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Country_Helper!$A$3:$A$6</c:f>
              <c:strCache>
                <c:ptCount val="3"/>
                <c:pt idx="0">
                  <c:v>United States</c:v>
                </c:pt>
                <c:pt idx="1">
                  <c:v>China</c:v>
                </c:pt>
                <c:pt idx="2">
                  <c:v>Brazil</c:v>
                </c:pt>
              </c:strCache>
            </c:strRef>
          </c:cat>
          <c:val>
            <c:numRef>
              <c:f>Country_Helper!$B$3:$B$6</c:f>
              <c:numCache>
                <c:formatCode>General</c:formatCode>
                <c:ptCount val="3"/>
                <c:pt idx="0">
                  <c:v>643</c:v>
                </c:pt>
                <c:pt idx="1">
                  <c:v>218</c:v>
                </c:pt>
                <c:pt idx="2">
                  <c:v>139</c:v>
                </c:pt>
              </c:numCache>
            </c:numRef>
          </c:val>
          <c:extLst>
            <c:ext xmlns:c16="http://schemas.microsoft.com/office/drawing/2014/chart" uri="{C3380CC4-5D6E-409C-BE32-E72D297353CC}">
              <c16:uniqueId val="{00000000-FA1E-4F01-A40F-FB0162F4E876}"/>
            </c:ext>
          </c:extLst>
        </c:ser>
        <c:dLbls>
          <c:showLegendKey val="0"/>
          <c:showVal val="1"/>
          <c:showCatName val="0"/>
          <c:showSerName val="0"/>
          <c:showPercent val="0"/>
          <c:showBubbleSize val="0"/>
        </c:dLbls>
        <c:gapWidth val="79"/>
        <c:shape val="box"/>
        <c:axId val="600611695"/>
        <c:axId val="600608815"/>
        <c:axId val="0"/>
      </c:bar3DChart>
      <c:catAx>
        <c:axId val="60061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00608815"/>
        <c:crosses val="autoZero"/>
        <c:auto val="1"/>
        <c:lblAlgn val="ctr"/>
        <c:lblOffset val="100"/>
        <c:noMultiLvlLbl val="0"/>
      </c:catAx>
      <c:valAx>
        <c:axId val="600608815"/>
        <c:scaling>
          <c:orientation val="minMax"/>
        </c:scaling>
        <c:delete val="1"/>
        <c:axPos val="b"/>
        <c:numFmt formatCode="General" sourceLinked="1"/>
        <c:majorTickMark val="none"/>
        <c:minorTickMark val="none"/>
        <c:tickLblPos val="nextTo"/>
        <c:crossAx val="60061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323850</xdr:colOff>
      <xdr:row>8</xdr:row>
      <xdr:rowOff>161925</xdr:rowOff>
    </xdr:from>
    <xdr:to>
      <xdr:col>6</xdr:col>
      <xdr:colOff>603250</xdr:colOff>
      <xdr:row>23</xdr:row>
      <xdr:rowOff>142875</xdr:rowOff>
    </xdr:to>
    <xdr:graphicFrame macro="">
      <xdr:nvGraphicFramePr>
        <xdr:cNvPr id="2" name="Chart 1">
          <a:extLst>
            <a:ext uri="{FF2B5EF4-FFF2-40B4-BE49-F238E27FC236}">
              <a16:creationId xmlns:a16="http://schemas.microsoft.com/office/drawing/2014/main" id="{D4EB9A77-4BD7-E682-C46C-859EC2ED1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95250</xdr:colOff>
      <xdr:row>7</xdr:row>
      <xdr:rowOff>101600</xdr:rowOff>
    </xdr:from>
    <xdr:to>
      <xdr:col>10</xdr:col>
      <xdr:colOff>0</xdr:colOff>
      <xdr:row>21</xdr:row>
      <xdr:rowOff>0</xdr:rowOff>
    </xdr:to>
    <xdr:graphicFrame macro="">
      <xdr:nvGraphicFramePr>
        <xdr:cNvPr id="4" name="Chart 3">
          <a:extLst>
            <a:ext uri="{FF2B5EF4-FFF2-40B4-BE49-F238E27FC236}">
              <a16:creationId xmlns:a16="http://schemas.microsoft.com/office/drawing/2014/main" id="{F216A71C-A7B9-5031-6D87-3E38E6360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xdr:row>
      <xdr:rowOff>174314</xdr:rowOff>
    </xdr:from>
    <xdr:to>
      <xdr:col>8</xdr:col>
      <xdr:colOff>273050</xdr:colOff>
      <xdr:row>22</xdr:row>
      <xdr:rowOff>6599</xdr:rowOff>
    </xdr:to>
    <xdr:graphicFrame macro="">
      <xdr:nvGraphicFramePr>
        <xdr:cNvPr id="6" name="Chart 5">
          <a:extLst>
            <a:ext uri="{FF2B5EF4-FFF2-40B4-BE49-F238E27FC236}">
              <a16:creationId xmlns:a16="http://schemas.microsoft.com/office/drawing/2014/main" id="{C931A137-699F-483A-BC3C-543FD0153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463550</xdr:colOff>
      <xdr:row>9</xdr:row>
      <xdr:rowOff>0</xdr:rowOff>
    </xdr:from>
    <xdr:to>
      <xdr:col>15</xdr:col>
      <xdr:colOff>374650</xdr:colOff>
      <xdr:row>22</xdr:row>
      <xdr:rowOff>6350</xdr:rowOff>
    </xdr:to>
    <xdr:graphicFrame macro="">
      <xdr:nvGraphicFramePr>
        <xdr:cNvPr id="7" name="Chart 6">
          <a:extLst>
            <a:ext uri="{FF2B5EF4-FFF2-40B4-BE49-F238E27FC236}">
              <a16:creationId xmlns:a16="http://schemas.microsoft.com/office/drawing/2014/main" id="{AFB46384-7C4D-499A-A6AA-E6340976E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558800</xdr:colOff>
      <xdr:row>9</xdr:row>
      <xdr:rowOff>19050</xdr:rowOff>
    </xdr:from>
    <xdr:to>
      <xdr:col>22</xdr:col>
      <xdr:colOff>393700</xdr:colOff>
      <xdr:row>22</xdr:row>
      <xdr:rowOff>9979</xdr:rowOff>
    </xdr:to>
    <xdr:graphicFrame macro="">
      <xdr:nvGraphicFramePr>
        <xdr:cNvPr id="8" name="Chart 7">
          <a:extLst>
            <a:ext uri="{FF2B5EF4-FFF2-40B4-BE49-F238E27FC236}">
              <a16:creationId xmlns:a16="http://schemas.microsoft.com/office/drawing/2014/main" id="{0CD9B306-8265-4347-A051-A34D0A347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23</xdr:row>
      <xdr:rowOff>0</xdr:rowOff>
    </xdr:from>
    <xdr:to>
      <xdr:col>8</xdr:col>
      <xdr:colOff>304800</xdr:colOff>
      <xdr:row>37</xdr:row>
      <xdr:rowOff>162378</xdr:rowOff>
    </xdr:to>
    <xdr:graphicFrame macro="">
      <xdr:nvGraphicFramePr>
        <xdr:cNvPr id="9" name="Chart 8">
          <a:extLst>
            <a:ext uri="{FF2B5EF4-FFF2-40B4-BE49-F238E27FC236}">
              <a16:creationId xmlns:a16="http://schemas.microsoft.com/office/drawing/2014/main" id="{63238BD0-D2C3-45AE-9E6E-2130082CF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477158</xdr:colOff>
      <xdr:row>23</xdr:row>
      <xdr:rowOff>0</xdr:rowOff>
    </xdr:from>
    <xdr:to>
      <xdr:col>15</xdr:col>
      <xdr:colOff>362858</xdr:colOff>
      <xdr:row>37</xdr:row>
      <xdr:rowOff>165100</xdr:rowOff>
    </xdr:to>
    <xdr:graphicFrame macro="">
      <xdr:nvGraphicFramePr>
        <xdr:cNvPr id="10" name="Chart 9">
          <a:extLst>
            <a:ext uri="{FF2B5EF4-FFF2-40B4-BE49-F238E27FC236}">
              <a16:creationId xmlns:a16="http://schemas.microsoft.com/office/drawing/2014/main" id="{E58A6593-5CED-4454-9A10-68D37055B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571500</xdr:colOff>
      <xdr:row>23</xdr:row>
      <xdr:rowOff>19050</xdr:rowOff>
    </xdr:from>
    <xdr:to>
      <xdr:col>22</xdr:col>
      <xdr:colOff>428172</xdr:colOff>
      <xdr:row>37</xdr:row>
      <xdr:rowOff>171450</xdr:rowOff>
    </xdr:to>
    <xdr:graphicFrame macro="">
      <xdr:nvGraphicFramePr>
        <xdr:cNvPr id="11" name="Chart 10">
          <a:extLst>
            <a:ext uri="{FF2B5EF4-FFF2-40B4-BE49-F238E27FC236}">
              <a16:creationId xmlns:a16="http://schemas.microsoft.com/office/drawing/2014/main" id="{2DF0C04F-B0F5-4B4A-AEEC-A68DB7F20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205552</xdr:colOff>
      <xdr:row>3</xdr:row>
      <xdr:rowOff>0</xdr:rowOff>
    </xdr:from>
    <xdr:to>
      <xdr:col>19</xdr:col>
      <xdr:colOff>199908</xdr:colOff>
      <xdr:row>8</xdr:row>
      <xdr:rowOff>68384</xdr:rowOff>
    </xdr:to>
    <mc:AlternateContent xmlns:mc="http://schemas.openxmlformats.org/markup-compatibility/2006" xmlns:a14="http://schemas.microsoft.com/office/drawing/2010/main">
      <mc:Choice Requires="a14">
        <xdr:graphicFrame macro="">
          <xdr:nvGraphicFramePr>
            <xdr:cNvPr id="13" name="Employee Status 1">
              <a:extLst>
                <a:ext uri="{FF2B5EF4-FFF2-40B4-BE49-F238E27FC236}">
                  <a16:creationId xmlns:a16="http://schemas.microsoft.com/office/drawing/2014/main" id="{08722014-F44F-4B54-B7D9-2422BE4E6FC3}"/>
                </a:ext>
              </a:extLst>
            </xdr:cNvPr>
            <xdr:cNvGraphicFramePr/>
          </xdr:nvGraphicFramePr>
          <xdr:xfrm>
            <a:off x="0" y="0"/>
            <a:ext cx="0" cy="0"/>
          </xdr:xfrm>
          <a:graphic>
            <a:graphicData uri="http://schemas.microsoft.com/office/drawing/2010/slicer">
              <sle:slicer xmlns:sle="http://schemas.microsoft.com/office/drawing/2010/slicer" name="Employee Status 1"/>
            </a:graphicData>
          </a:graphic>
        </xdr:graphicFrame>
      </mc:Choice>
      <mc:Fallback xmlns="">
        <xdr:sp macro="" textlink="">
          <xdr:nvSpPr>
            <xdr:cNvPr id="0" name=""/>
            <xdr:cNvSpPr>
              <a:spLocks noTextEdit="1"/>
            </xdr:cNvSpPr>
          </xdr:nvSpPr>
          <xdr:spPr>
            <a:xfrm>
              <a:off x="11272695" y="967619"/>
              <a:ext cx="1808642" cy="1590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336550</xdr:colOff>
      <xdr:row>2</xdr:row>
      <xdr:rowOff>185614</xdr:rowOff>
    </xdr:from>
    <xdr:to>
      <xdr:col>22</xdr:col>
      <xdr:colOff>393700</xdr:colOff>
      <xdr:row>8</xdr:row>
      <xdr:rowOff>78153</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05C9F349-F74F-420D-ACBE-BF06E55E3E6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217979" y="971804"/>
              <a:ext cx="1871435" cy="1595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529872</xdr:colOff>
      <xdr:row>2</xdr:row>
      <xdr:rowOff>183210</xdr:rowOff>
    </xdr:from>
    <xdr:to>
      <xdr:col>26</xdr:col>
      <xdr:colOff>247650</xdr:colOff>
      <xdr:row>8</xdr:row>
      <xdr:rowOff>87923</xdr:rowOff>
    </xdr:to>
    <mc:AlternateContent xmlns:mc="http://schemas.openxmlformats.org/markup-compatibility/2006" xmlns:a14="http://schemas.microsoft.com/office/drawing/2010/main">
      <mc:Choice Requires="a14">
        <xdr:graphicFrame macro="">
          <xdr:nvGraphicFramePr>
            <xdr:cNvPr id="15" name="Business Unit 1">
              <a:extLst>
                <a:ext uri="{FF2B5EF4-FFF2-40B4-BE49-F238E27FC236}">
                  <a16:creationId xmlns:a16="http://schemas.microsoft.com/office/drawing/2014/main" id="{8F30A184-CB87-4755-AC9A-98A8805574D2}"/>
                </a:ext>
              </a:extLst>
            </xdr:cNvPr>
            <xdr:cNvGraphicFramePr/>
          </xdr:nvGraphicFramePr>
          <xdr:xfrm>
            <a:off x="0" y="0"/>
            <a:ext cx="0" cy="0"/>
          </xdr:xfrm>
          <a:graphic>
            <a:graphicData uri="http://schemas.microsoft.com/office/drawing/2010/slicer">
              <sle:slicer xmlns:sle="http://schemas.microsoft.com/office/drawing/2010/slicer" name="Business Unit 1"/>
            </a:graphicData>
          </a:graphic>
        </xdr:graphicFrame>
      </mc:Choice>
      <mc:Fallback xmlns="">
        <xdr:sp macro="" textlink="">
          <xdr:nvSpPr>
            <xdr:cNvPr id="0" name=""/>
            <xdr:cNvSpPr>
              <a:spLocks noTextEdit="1"/>
            </xdr:cNvSpPr>
          </xdr:nvSpPr>
          <xdr:spPr>
            <a:xfrm>
              <a:off x="15225586" y="969400"/>
              <a:ext cx="2136826" cy="1608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533400</xdr:colOff>
      <xdr:row>9</xdr:row>
      <xdr:rowOff>74085</xdr:rowOff>
    </xdr:from>
    <xdr:to>
      <xdr:col>26</xdr:col>
      <xdr:colOff>285750</xdr:colOff>
      <xdr:row>22</xdr:row>
      <xdr:rowOff>39077</xdr:rowOff>
    </xdr:to>
    <mc:AlternateContent xmlns:mc="http://schemas.openxmlformats.org/markup-compatibility/2006" xmlns:a14="http://schemas.microsoft.com/office/drawing/2010/main">
      <mc:Choice Requires="a14">
        <xdr:graphicFrame macro="">
          <xdr:nvGraphicFramePr>
            <xdr:cNvPr id="16" name="Department 1">
              <a:extLst>
                <a:ext uri="{FF2B5EF4-FFF2-40B4-BE49-F238E27FC236}">
                  <a16:creationId xmlns:a16="http://schemas.microsoft.com/office/drawing/2014/main" id="{D2F815BA-B428-44A9-8E1A-A9BDAF28B95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229114" y="2745117"/>
              <a:ext cx="2171398" cy="2323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556846</xdr:colOff>
      <xdr:row>23</xdr:row>
      <xdr:rowOff>9769</xdr:rowOff>
    </xdr:from>
    <xdr:to>
      <xdr:col>26</xdr:col>
      <xdr:colOff>283307</xdr:colOff>
      <xdr:row>37</xdr:row>
      <xdr:rowOff>175845</xdr:rowOff>
    </xdr:to>
    <xdr:graphicFrame macro="">
      <xdr:nvGraphicFramePr>
        <xdr:cNvPr id="17" name="Chart 16">
          <a:extLst>
            <a:ext uri="{FF2B5EF4-FFF2-40B4-BE49-F238E27FC236}">
              <a16:creationId xmlns:a16="http://schemas.microsoft.com/office/drawing/2014/main" id="{7B4E204F-4A1A-4C3C-BE2A-2CE4A5DEE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146050</xdr:colOff>
      <xdr:row>1</xdr:row>
      <xdr:rowOff>168275</xdr:rowOff>
    </xdr:from>
    <xdr:to>
      <xdr:col>10</xdr:col>
      <xdr:colOff>450850</xdr:colOff>
      <xdr:row>16</xdr:row>
      <xdr:rowOff>149225</xdr:rowOff>
    </xdr:to>
    <xdr:graphicFrame macro="">
      <xdr:nvGraphicFramePr>
        <xdr:cNvPr id="2" name="Chart 1">
          <a:extLst>
            <a:ext uri="{FF2B5EF4-FFF2-40B4-BE49-F238E27FC236}">
              <a16:creationId xmlns:a16="http://schemas.microsoft.com/office/drawing/2014/main" id="{731C3776-1338-B447-E089-4C2951FF1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368300</xdr:colOff>
      <xdr:row>0</xdr:row>
      <xdr:rowOff>73025</xdr:rowOff>
    </xdr:from>
    <xdr:to>
      <xdr:col>10</xdr:col>
      <xdr:colOff>63500</xdr:colOff>
      <xdr:row>15</xdr:row>
      <xdr:rowOff>53975</xdr:rowOff>
    </xdr:to>
    <xdr:graphicFrame macro="">
      <xdr:nvGraphicFramePr>
        <xdr:cNvPr id="2" name="Chart 1">
          <a:extLst>
            <a:ext uri="{FF2B5EF4-FFF2-40B4-BE49-F238E27FC236}">
              <a16:creationId xmlns:a16="http://schemas.microsoft.com/office/drawing/2014/main" id="{DEE18B9D-336F-7B17-DB47-E8F9C575F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260350</xdr:colOff>
      <xdr:row>11</xdr:row>
      <xdr:rowOff>127000</xdr:rowOff>
    </xdr:from>
    <xdr:to>
      <xdr:col>17</xdr:col>
      <xdr:colOff>260350</xdr:colOff>
      <xdr:row>25</xdr:row>
      <xdr:rowOff>50800</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128AE11C-81F5-0614-4466-52A6385DE3D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12300" y="2152650"/>
              <a:ext cx="1828800" cy="250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209550</xdr:colOff>
      <xdr:row>1</xdr:row>
      <xdr:rowOff>165100</xdr:rowOff>
    </xdr:from>
    <xdr:to>
      <xdr:col>17</xdr:col>
      <xdr:colOff>209550</xdr:colOff>
      <xdr:row>10</xdr:row>
      <xdr:rowOff>165100</xdr:rowOff>
    </xdr:to>
    <mc:AlternateContent xmlns:mc="http://schemas.openxmlformats.org/markup-compatibility/2006" xmlns:a14="http://schemas.microsoft.com/office/drawing/2010/main">
      <mc:Choice Requires="a14">
        <xdr:graphicFrame macro="">
          <xdr:nvGraphicFramePr>
            <xdr:cNvPr id="8" name="Business Unit">
              <a:extLst>
                <a:ext uri="{FF2B5EF4-FFF2-40B4-BE49-F238E27FC236}">
                  <a16:creationId xmlns:a16="http://schemas.microsoft.com/office/drawing/2014/main" id="{00300CAB-C51C-47E1-FFA4-6A2790248566}"/>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9461500" y="349250"/>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6</xdr:row>
      <xdr:rowOff>107950</xdr:rowOff>
    </xdr:from>
    <xdr:to>
      <xdr:col>14</xdr:col>
      <xdr:colOff>0</xdr:colOff>
      <xdr:row>14</xdr:row>
      <xdr:rowOff>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DAA34711-17CB-C98E-3C48-3D6B087984A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23150" y="1212850"/>
              <a:ext cx="1828800" cy="136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0</xdr:row>
      <xdr:rowOff>50800</xdr:rowOff>
    </xdr:from>
    <xdr:to>
      <xdr:col>14</xdr:col>
      <xdr:colOff>0</xdr:colOff>
      <xdr:row>6</xdr:row>
      <xdr:rowOff>19050</xdr:rowOff>
    </xdr:to>
    <mc:AlternateContent xmlns:mc="http://schemas.openxmlformats.org/markup-compatibility/2006" xmlns:a14="http://schemas.microsoft.com/office/drawing/2010/main">
      <mc:Choice Requires="a14">
        <xdr:graphicFrame macro="">
          <xdr:nvGraphicFramePr>
            <xdr:cNvPr id="10" name="Employee Status">
              <a:extLst>
                <a:ext uri="{FF2B5EF4-FFF2-40B4-BE49-F238E27FC236}">
                  <a16:creationId xmlns:a16="http://schemas.microsoft.com/office/drawing/2014/main" id="{FF108F59-E9BF-AAE5-D437-6D24C89D9DF4}"/>
                </a:ext>
              </a:extLst>
            </xdr:cNvPr>
            <xdr:cNvGraphicFramePr/>
          </xdr:nvGraphicFramePr>
          <xdr:xfrm>
            <a:off x="0" y="0"/>
            <a:ext cx="0" cy="0"/>
          </xdr:xfrm>
          <a:graphic>
            <a:graphicData uri="http://schemas.microsoft.com/office/drawing/2010/slicer">
              <sle:slicer xmlns:sle="http://schemas.microsoft.com/office/drawing/2010/slicer" name="Employee Status"/>
            </a:graphicData>
          </a:graphic>
        </xdr:graphicFrame>
      </mc:Choice>
      <mc:Fallback xmlns="">
        <xdr:sp macro="" textlink="">
          <xdr:nvSpPr>
            <xdr:cNvPr id="0" name=""/>
            <xdr:cNvSpPr>
              <a:spLocks noTextEdit="1"/>
            </xdr:cNvSpPr>
          </xdr:nvSpPr>
          <xdr:spPr>
            <a:xfrm>
              <a:off x="7423150" y="50800"/>
              <a:ext cx="1828800" cy="107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279400</xdr:colOff>
      <xdr:row>0</xdr:row>
      <xdr:rowOff>88900</xdr:rowOff>
    </xdr:from>
    <xdr:to>
      <xdr:col>7</xdr:col>
      <xdr:colOff>63500</xdr:colOff>
      <xdr:row>10</xdr:row>
      <xdr:rowOff>171450</xdr:rowOff>
    </xdr:to>
    <xdr:graphicFrame macro="">
      <xdr:nvGraphicFramePr>
        <xdr:cNvPr id="2" name="Chart 1">
          <a:extLst>
            <a:ext uri="{FF2B5EF4-FFF2-40B4-BE49-F238E27FC236}">
              <a16:creationId xmlns:a16="http://schemas.microsoft.com/office/drawing/2014/main" id="{70B0B68B-BD86-7B2F-F49F-5D23CD2DB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203200</xdr:colOff>
      <xdr:row>0</xdr:row>
      <xdr:rowOff>142875</xdr:rowOff>
    </xdr:from>
    <xdr:to>
      <xdr:col>10</xdr:col>
      <xdr:colOff>501650</xdr:colOff>
      <xdr:row>15</xdr:row>
      <xdr:rowOff>57150</xdr:rowOff>
    </xdr:to>
    <xdr:graphicFrame macro="">
      <xdr:nvGraphicFramePr>
        <xdr:cNvPr id="2" name="Chart 1">
          <a:extLst>
            <a:ext uri="{FF2B5EF4-FFF2-40B4-BE49-F238E27FC236}">
              <a16:creationId xmlns:a16="http://schemas.microsoft.com/office/drawing/2014/main" id="{2673A74D-8AE6-C601-074E-D613A835B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184150</xdr:colOff>
      <xdr:row>1</xdr:row>
      <xdr:rowOff>50800</xdr:rowOff>
    </xdr:from>
    <xdr:to>
      <xdr:col>9</xdr:col>
      <xdr:colOff>69850</xdr:colOff>
      <xdr:row>15</xdr:row>
      <xdr:rowOff>146050</xdr:rowOff>
    </xdr:to>
    <xdr:graphicFrame macro="">
      <xdr:nvGraphicFramePr>
        <xdr:cNvPr id="2" name="Chart 1">
          <a:extLst>
            <a:ext uri="{FF2B5EF4-FFF2-40B4-BE49-F238E27FC236}">
              <a16:creationId xmlns:a16="http://schemas.microsoft.com/office/drawing/2014/main" id="{FF660AF6-6145-D6C1-E327-946798D7C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refreshedDate="46053.772517476849" createdVersion="8" refreshedVersion="8" minRefreshableVersion="3" recordCount="1000" xr:uid="{516C0661-5376-460B-AEC4-DB854F8484F9}">
  <cacheSource type="worksheet">
    <worksheetSource name="Table1"/>
  </cacheSource>
  <cacheFields count="19">
    <cacheField name="EEID" numFmtId="0">
      <sharedItems count="911">
        <s v="E02387"/>
        <s v="E04105"/>
        <s v="E02572"/>
        <s v="E02832"/>
        <s v="E01639"/>
        <s v="E00644"/>
        <s v="E01550"/>
        <s v="E04332"/>
        <s v="E04533"/>
        <s v="E03838"/>
        <s v="E00591"/>
        <s v="E03344"/>
        <s v="E00530"/>
        <s v="E04239"/>
        <s v="E03496"/>
        <s v="E00549"/>
        <s v="E00163"/>
        <s v="E00884"/>
        <s v="E04116"/>
        <s v="E04625"/>
        <s v="E03680"/>
        <s v="E04732"/>
        <s v="E03484"/>
        <s v="E00671"/>
        <s v="E02071"/>
        <s v="E02206"/>
        <s v="E04545"/>
        <s v="E00154"/>
        <s v="E03343"/>
        <s v="E00304"/>
        <s v="E02594"/>
        <s v="E00402"/>
        <s v="E01994"/>
        <s v="E03549"/>
        <s v="E03247"/>
        <s v="E02074"/>
        <s v="E04152"/>
        <s v="E01628"/>
        <s v="E04285"/>
        <s v="E01417"/>
        <s v="E01754"/>
        <s v="E03749"/>
        <s v="E03574"/>
        <s v="E04600"/>
        <s v="E00586"/>
        <s v="E03538"/>
        <s v="E02185"/>
        <s v="E03830"/>
        <s v="E03720"/>
        <s v="E03025"/>
        <s v="E04917"/>
        <s v="E00415"/>
        <s v="E02862"/>
        <s v="E04207"/>
        <s v="E02139"/>
        <s v="E01797"/>
        <s v="E01839"/>
        <s v="E01633"/>
        <s v="E01848"/>
        <s v="E00716"/>
        <s v="E00699"/>
        <s v="E00502"/>
        <s v="E04000"/>
        <s v="E02112"/>
        <s v="E03824"/>
        <s v="E03906"/>
        <s v="E00436"/>
        <s v="E04798"/>
        <s v="E01249"/>
        <s v="E03349"/>
        <s v="E02966"/>
        <s v="E01499"/>
        <s v="E00105"/>
        <s v="E00665"/>
        <s v="E00791"/>
        <s v="E01540"/>
        <s v="E04474"/>
        <s v="E03417"/>
        <s v="E00254"/>
        <s v="E02166"/>
        <s v="E00935"/>
        <s v="E01525"/>
        <s v="E00386"/>
        <s v="E00416"/>
        <s v="E03383"/>
        <s v="E01516"/>
        <s v="E01234"/>
        <s v="E03440"/>
        <s v="E00431"/>
        <s v="E01258"/>
        <s v="E00440"/>
        <s v="E00595"/>
        <s v="E00972"/>
        <s v="E04562"/>
        <s v="E02802"/>
        <s v="E01427"/>
        <s v="E04568"/>
        <s v="E04931"/>
        <s v="E00443"/>
        <s v="E03890"/>
        <s v="E01194"/>
        <s v="E02875"/>
        <s v="E04959"/>
        <s v="E03816"/>
        <s v="E01261"/>
        <s v="E03612"/>
        <s v="E01388"/>
        <s v="E03875"/>
        <s v="E04413"/>
        <s v="E00691"/>
        <s v="E03047"/>
        <s v="E04903"/>
        <s v="E04735"/>
        <s v="E02850"/>
        <s v="E03583"/>
        <s v="E02017"/>
        <s v="E01642"/>
        <s v="E04379"/>
        <s v="E04131"/>
        <s v="E02872"/>
        <s v="E02331"/>
        <s v="E00417"/>
        <s v="E04267"/>
        <s v="E03061"/>
        <s v="E00013"/>
        <s v="E04265"/>
        <s v="E04769"/>
        <s v="E03042"/>
        <s v="E00527"/>
        <s v="E01095"/>
        <s v="E03131"/>
        <s v="E01713"/>
        <s v="E00128"/>
        <s v="E03849"/>
        <s v="E02464"/>
        <s v="E00306"/>
        <s v="E03737"/>
        <s v="E02783"/>
        <s v="E02939"/>
        <s v="E02706"/>
        <s v="E00170"/>
        <s v="E01425"/>
        <s v="E00130"/>
        <s v="E02094"/>
        <s v="E03567"/>
        <s v="E04682"/>
        <s v="E00957"/>
        <s v="E04458"/>
        <s v="E00521"/>
        <s v="E03717"/>
        <s v="E01533"/>
        <s v="E04449"/>
        <s v="E02855"/>
        <s v="E00816"/>
        <s v="E02283"/>
        <s v="E04888"/>
        <s v="E03907"/>
        <s v="E01501"/>
        <s v="E01141"/>
        <s v="E02254"/>
        <s v="E04504"/>
        <s v="E03394"/>
        <s v="E02942"/>
        <s v="E04130"/>
        <s v="E02848"/>
        <s v="E00085"/>
        <s v="E03956"/>
        <s v="E00672"/>
        <s v="E04618"/>
        <s v="E03506"/>
        <s v="E00568"/>
        <s v="E00535"/>
        <s v="E04630"/>
        <s v="E00874"/>
        <s v="E01546"/>
        <s v="E00941"/>
        <s v="E03446"/>
        <s v="E01361"/>
        <s v="E01631"/>
        <s v="E03719"/>
        <s v="E03269"/>
        <s v="E01037"/>
        <s v="E02216"/>
        <s v="E02803"/>
        <s v="E01584"/>
        <s v="E02489"/>
        <s v="E03189"/>
        <s v="E03560"/>
        <s v="E00769"/>
        <s v="E02791"/>
        <s v="E02333"/>
        <s v="E01002"/>
        <s v="E03520"/>
        <s v="E00752"/>
        <s v="E00233"/>
        <s v="E02639"/>
        <s v="E00697"/>
        <s v="E02183"/>
        <s v="E00715"/>
        <s v="E04288"/>
        <s v="E02421"/>
        <s v="E00523"/>
        <s v="E03615"/>
        <s v="E02761"/>
        <s v="E02121"/>
        <s v="E01486"/>
        <s v="E00725"/>
        <s v="E03027"/>
        <s v="E03689"/>
        <s v="E01986"/>
        <s v="E01286"/>
        <s v="E01409"/>
        <s v="E00626"/>
        <s v="E04342"/>
        <s v="E03904"/>
        <s v="E01291"/>
        <s v="E00917"/>
        <s v="E01484"/>
        <s v="E03864"/>
        <s v="E00488"/>
        <s v="E02227"/>
        <s v="E04802"/>
        <s v="E01970"/>
        <s v="E02813"/>
        <s v="E02031"/>
        <s v="E03252"/>
        <s v="E04871"/>
        <s v="E03547"/>
        <s v="E04742"/>
        <s v="E01070"/>
        <s v="E04359"/>
        <s v="E03268"/>
        <s v="E04035"/>
        <s v="E01221"/>
        <s v="E00276"/>
        <s v="E01687"/>
        <s v="E02844"/>
        <s v="E01263"/>
        <s v="E00119"/>
        <s v="E03935"/>
        <s v="E00742"/>
        <s v="E02810"/>
        <s v="E01860"/>
        <s v="E04890"/>
        <s v="E02285"/>
        <s v="E00842"/>
        <s v="E01271"/>
        <s v="E01921"/>
        <s v="E03664"/>
        <s v="E00813"/>
        <s v="E00870"/>
        <s v="E04167"/>
        <s v="E00245"/>
        <s v="E00976"/>
        <s v="E04112"/>
        <s v="E01807"/>
        <s v="E04103"/>
        <s v="E01412"/>
        <s v="E04386"/>
        <s v="E01232"/>
        <s v="E04572"/>
        <s v="E02747"/>
        <s v="E01064"/>
        <s v="E00178"/>
        <s v="E01091"/>
        <s v="E01309"/>
        <s v="E02378"/>
        <s v="E04127"/>
        <s v="E02072"/>
        <s v="E02555"/>
        <s v="E00187"/>
        <s v="E02062"/>
        <s v="E00034"/>
        <s v="E00273"/>
        <s v="E01403"/>
        <s v="E03438"/>
        <s v="E04136"/>
        <s v="E02944"/>
        <s v="E03300"/>
        <s v="E00078"/>
        <s v="E00825"/>
        <s v="E04972"/>
        <s v="E03941"/>
        <s v="E02148"/>
        <s v="E02252"/>
        <s v="E03096"/>
        <s v="E04800"/>
        <s v="E02838"/>
        <s v="E02980"/>
        <s v="E04477"/>
        <s v="E04348"/>
        <s v="E01638"/>
        <s v="E03419"/>
        <s v="E04222"/>
        <s v="E04126"/>
        <s v="E01896"/>
        <s v="E03018"/>
        <s v="E03325"/>
        <s v="E04037"/>
        <s v="E01902"/>
        <s v="E01466"/>
        <s v="E02038"/>
        <s v="E03474"/>
        <s v="E02744"/>
        <s v="E00702"/>
        <s v="E03081"/>
        <s v="E01281"/>
        <s v="E04029"/>
        <s v="E01116"/>
        <s v="E01753"/>
        <s v="E04072"/>
        <s v="E04419"/>
        <s v="E00467"/>
        <s v="E00365"/>
        <s v="E03292"/>
        <s v="E04779"/>
        <s v="E00501"/>
        <s v="E01132"/>
        <s v="E00556"/>
        <s v="E00311"/>
        <s v="E04567"/>
        <s v="E04378"/>
        <s v="E03251"/>
        <s v="E03167"/>
        <s v="E03347"/>
        <s v="E03908"/>
        <s v="E01351"/>
        <s v="E02681"/>
        <s v="E03807"/>
        <s v="E00422"/>
        <s v="E00265"/>
        <s v="E04601"/>
        <s v="E04816"/>
        <s v="E02147"/>
        <s v="E02914"/>
        <s v="E03972"/>
        <s v="E02189"/>
        <s v="E04290"/>
        <s v="E03630"/>
        <s v="E00432"/>
        <s v="E03045"/>
        <s v="E01924"/>
        <s v="E04877"/>
        <s v="E02770"/>
        <s v="E04590"/>
        <s v="E01977"/>
        <s v="E01378"/>
        <s v="E04224"/>
        <s v="E03423"/>
        <s v="E00788"/>
        <s v="E00207"/>
        <s v="E00834"/>
        <s v="E04571"/>
        <s v="E02652"/>
        <s v="E02693"/>
        <s v="E03359"/>
        <s v="E00399"/>
        <s v="E02971"/>
        <s v="E03327"/>
        <s v="E00900"/>
        <s v="E00836"/>
        <s v="E03854"/>
        <s v="E04729"/>
        <s v="E00360"/>
        <s v="E02284"/>
        <s v="E00181"/>
        <s v="E04168"/>
        <s v="E02861"/>
        <s v="E01357"/>
        <s v="E04387"/>
        <s v="E03090"/>
        <s v="E03591"/>
        <s v="E03328"/>
        <s v="E04937"/>
        <s v="E00515"/>
        <s v="E01241"/>
        <s v="E03255"/>
        <s v="E01711"/>
        <s v="E00500"/>
        <s v="E02728"/>
        <s v="E04749"/>
        <s v="E02023"/>
        <s v="E03166"/>
        <s v="E02599"/>
        <s v="E01014"/>
        <s v="E04529"/>
        <s v="E00632"/>
        <s v="E02108"/>
        <s v="E03802"/>
        <s v="E03685"/>
        <s v="E01089"/>
        <s v="E03988"/>
        <s v="E00401"/>
        <s v="E03429"/>
        <s v="E02417"/>
        <s v="E00359"/>
        <s v="E02044"/>
        <s v="E01479"/>
        <s v="E04962"/>
        <s v="E02769"/>
        <s v="E03893"/>
        <s v="E00553"/>
        <s v="E03540"/>
        <s v="E03277"/>
        <s v="E04194"/>
        <s v="E01762"/>
        <s v="E02632"/>
        <s v="E04226"/>
        <s v="E04101"/>
        <s v="E01981"/>
        <s v="E02534"/>
        <s v="E01238"/>
        <s v="E01118"/>
        <s v="E04041"/>
        <s v="E04308"/>
        <s v="E01052"/>
        <s v="E04165"/>
        <s v="E02295"/>
        <s v="E04546"/>
        <s v="E04217"/>
        <s v="E00650"/>
        <s v="E00344"/>
        <s v="E04645"/>
        <s v="E03880"/>
        <s v="E02730"/>
        <s v="E04517"/>
        <s v="E00965"/>
        <s v="E04639"/>
        <s v="E00465"/>
        <s v="E03058"/>
        <s v="E02337"/>
        <s v="E04927"/>
        <s v="E03799"/>
        <s v="E04538"/>
        <s v="E02633"/>
        <s v="E02965"/>
        <s v="E04345"/>
        <s v="E02895"/>
        <s v="E00758"/>
        <s v="E03750"/>
        <s v="E00144"/>
        <s v="E02943"/>
        <s v="E03901"/>
        <s v="E03461"/>
        <s v="E03490"/>
        <s v="E04466"/>
        <s v="E03226"/>
        <s v="E04607"/>
        <s v="E02678"/>
        <s v="E02190"/>
        <s v="E00747"/>
        <s v="E00268"/>
        <s v="E01416"/>
        <s v="E01524"/>
        <s v="E02801"/>
        <s v="E04155"/>
        <s v="E01952"/>
        <s v="E00116"/>
        <s v="E04811"/>
        <s v="E00624"/>
        <s v="E03404"/>
        <s v="E01845"/>
        <s v="E04784"/>
        <s v="E00145"/>
        <s v="E00218"/>
        <s v="E00784"/>
        <s v="E04925"/>
        <s v="E04448"/>
        <s v="E04817"/>
        <s v="E00325"/>
        <s v="E00403"/>
        <s v="E04358"/>
        <s v="E04662"/>
        <s v="E01496"/>
        <s v="E01870"/>
        <s v="E03971"/>
        <s v="E03616"/>
        <s v="E00153"/>
        <s v="E02313"/>
        <s v="E02960"/>
        <s v="E00096"/>
        <s v="E02140"/>
        <s v="E00826"/>
        <s v="E03881"/>
        <s v="E02604"/>
        <s v="E02613"/>
        <s v="E00864"/>
        <s v="E01760"/>
        <s v="E03223"/>
        <s v="E01262"/>
        <s v="E01075"/>
        <s v="E00364"/>
        <s v="E04108"/>
        <s v="E02917"/>
        <s v="E03393"/>
        <s v="E02977"/>
        <s v="E03371"/>
        <s v="E02531"/>
        <s v="E02473"/>
        <s v="E02468"/>
        <s v="E03697"/>
        <s v="E00593"/>
        <s v="E01103"/>
        <s v="E03889"/>
        <s v="E01958"/>
        <s v="E01167"/>
        <s v="E00099"/>
        <s v="E00044"/>
        <s v="E00711"/>
        <s v="E04795"/>
        <s v="E03912"/>
        <s v="E02103"/>
        <s v="E04213"/>
        <s v="E04756"/>
        <s v="E04114"/>
        <s v="E01423"/>
        <s v="E03181"/>
        <s v="E03305"/>
        <s v="E00703"/>
        <s v="E04403"/>
        <s v="E00103"/>
        <s v="E04487"/>
        <s v="E02179"/>
        <s v="E04242"/>
        <s v="E01371"/>
        <s v="E03065"/>
        <s v="E01377"/>
        <s v="E03097"/>
        <s v="E01668"/>
        <s v="E03354"/>
        <s v="E02088"/>
        <s v="E03980"/>
        <s v="E00824"/>
        <s v="E03113"/>
        <s v="E01488"/>
        <s v="E01787"/>
        <s v="E03550"/>
        <s v="E04799"/>
        <s v="E03402"/>
        <s v="E04128"/>
        <s v="E03114"/>
        <s v="E04004"/>
        <s v="E04472"/>
        <s v="E00161"/>
        <s v="E04417"/>
        <s v="E04536"/>
        <s v="E02857"/>
        <s v="E03059"/>
        <s v="E02477"/>
        <s v="E00022"/>
        <s v="E03370"/>
        <s v="E00555"/>
        <s v="E03160"/>
        <s v="E03919"/>
        <s v="E01724"/>
        <s v="E04087"/>
        <s v="E02856"/>
        <s v="E03805"/>
        <s v="E00319"/>
        <s v="E01090"/>
        <s v="E04323"/>
        <s v="E02687"/>
        <s v="E01407"/>
        <s v="E02748"/>
        <s v="E01995"/>
        <s v="E01714"/>
        <s v="E04491"/>
        <s v="E01076"/>
        <s v="E02843"/>
        <s v="E03758"/>
        <s v="E02063"/>
        <s v="E00638"/>
        <s v="E03571"/>
        <s v="E01820"/>
        <s v="E01712"/>
        <s v="E00184"/>
        <s v="E02899"/>
        <s v="E02478"/>
        <s v="E04170"/>
        <s v="E00929"/>
        <s v="E02492"/>
        <s v="E01733"/>
        <s v="E04938"/>
        <s v="E04952"/>
        <s v="E02420"/>
        <s v="E03947"/>
        <s v="E04535"/>
        <s v="E00380"/>
        <s v="E01432"/>
        <s v="E02628"/>
        <s v="E03578"/>
        <s v="E03563"/>
        <s v="E02781"/>
        <s v="E04739"/>
        <s v="E02665"/>
        <s v="E04132"/>
        <s v="E04277"/>
        <s v="E02012"/>
        <s v="E02881"/>
        <s v="E00605"/>
        <s v="E04641"/>
        <s v="E01019"/>
        <s v="E01519"/>
        <s v="E03694"/>
        <s v="E01123"/>
        <s v="E01366"/>
        <s v="E04005"/>
        <s v="E04018"/>
        <s v="E01591"/>
        <s v="E04940"/>
        <s v="E03465"/>
        <s v="E03870"/>
        <s v="E01927"/>
        <s v="E03064"/>
        <s v="E01883"/>
        <s v="E03984"/>
        <s v="E00446"/>
        <s v="E02825"/>
        <s v="E04174"/>
        <s v="E01899"/>
        <s v="E02562"/>
        <s v="E01006"/>
        <s v="E02903"/>
        <s v="E03642"/>
        <s v="E02884"/>
        <s v="E00701"/>
        <s v="E04720"/>
        <s v="E01985"/>
        <s v="E03273"/>
        <s v="E02415"/>
        <s v="E02877"/>
        <s v="E00091"/>
        <s v="E02563"/>
        <s v="E04221"/>
        <s v="E04887"/>
        <s v="E03170"/>
        <s v="E01636"/>
        <s v="E01387"/>
        <s v="E01363"/>
        <s v="E02249"/>
        <s v="E02987"/>
        <s v="E03655"/>
        <s v="E04048"/>
        <s v="E03626"/>
        <s v="E02920"/>
        <s v="E03220"/>
        <s v="E01347"/>
        <s v="E03968"/>
        <s v="E04299"/>
        <s v="E01150"/>
        <s v="E03774"/>
        <s v="E01877"/>
        <s v="E01193"/>
        <s v="E01789"/>
        <s v="E01422"/>
        <s v="E04150"/>
        <s v="E02846"/>
        <s v="E04247"/>
        <s v="E03648"/>
        <s v="E02192"/>
        <s v="E03981"/>
        <s v="E03262"/>
        <s v="E02716"/>
        <s v="E04123"/>
        <s v="E03471"/>
        <s v="E00717"/>
        <s v="E01966"/>
        <s v="E03683"/>
        <s v="E04766"/>
        <s v="E01465"/>
        <s v="E00206"/>
        <s v="E04088"/>
        <s v="E02066"/>
        <s v="E03227"/>
        <s v="E03364"/>
        <s v="E00607"/>
        <s v="E02258"/>
        <s v="E03681"/>
        <s v="E02298"/>
        <s v="E02984"/>
        <s v="E02440"/>
        <s v="E04699"/>
        <s v="E03579"/>
        <s v="E01649"/>
        <s v="E04969"/>
        <s v="E00955"/>
        <s v="E00810"/>
        <s v="E02798"/>
        <s v="E04542"/>
        <s v="E02818"/>
        <s v="E02907"/>
        <s v="E00023"/>
        <s v="E02391"/>
        <s v="E01429"/>
        <s v="E00494"/>
        <s v="E00634"/>
        <s v="E04683"/>
        <s v="E03834"/>
        <s v="E02923"/>
        <s v="E02642"/>
        <s v="E00981"/>
        <s v="E04157"/>
        <s v="E03528"/>
        <s v="E04547"/>
        <s v="E04415"/>
        <s v="E04484"/>
        <s v="E02800"/>
        <s v="E04926"/>
        <s v="E01268"/>
        <s v="E04853"/>
        <s v="E01209"/>
        <s v="E02024"/>
        <s v="E02427"/>
        <s v="E00951"/>
        <s v="E03248"/>
        <s v="E04444"/>
        <s v="E02307"/>
        <s v="E02375"/>
        <s v="E02276"/>
        <s v="E02649"/>
        <s v="E00503"/>
        <s v="E01706"/>
        <s v="E00676"/>
        <s v="E02005"/>
        <s v="E01895"/>
        <s v="E01396"/>
        <s v="E00749"/>
        <s v="E01941"/>
        <s v="E01413"/>
        <s v="E03928"/>
        <s v="E04109"/>
        <s v="E03994"/>
        <s v="E00639"/>
        <s v="E00608"/>
        <s v="E04189"/>
        <s v="E02732"/>
        <s v="E00324"/>
        <s v="E00518"/>
        <s v="E04564"/>
        <s v="E02033"/>
        <s v="E00412"/>
        <s v="E01844"/>
        <s v="E00667"/>
        <s v="E00287"/>
        <s v="E02235"/>
        <s v="E02720"/>
        <s v="E01188"/>
        <s v="E02428"/>
        <s v="E03289"/>
        <s v="E01947"/>
        <s v="E04249"/>
        <s v="E04363"/>
        <s v="E04920"/>
        <s v="E03866"/>
        <s v="E03521"/>
        <s v="E04095"/>
        <s v="E04079"/>
        <s v="E01508"/>
        <s v="E02259"/>
        <s v="E01834"/>
        <s v="E03124"/>
        <s v="E01898"/>
        <s v="E00342"/>
        <s v="E03910"/>
        <s v="E00862"/>
        <s v="E02576"/>
        <s v="E00035"/>
        <s v="E01832"/>
        <s v="E01755"/>
        <s v="E04697"/>
        <s v="E00371"/>
        <s v="E02992"/>
        <s v="E04369"/>
        <s v="E00592"/>
        <s v="E03532"/>
        <s v="E00863"/>
        <s v="E03310"/>
        <s v="E01242"/>
        <s v="E02535"/>
        <s v="E00369"/>
        <s v="E03332"/>
        <s v="E03278"/>
        <s v="E03055"/>
        <s v="E01943"/>
        <s v="E04637"/>
        <s v="E03240"/>
        <s v="E00340"/>
        <s v="E04751"/>
        <s v="E04636"/>
        <s v="E02938"/>
        <s v="E01111"/>
        <s v="E03149"/>
        <s v="E00952"/>
        <s v="E04380"/>
        <s v="E04994"/>
        <s v="E00447"/>
        <s v="E00089"/>
        <s v="E02035"/>
        <s v="E03595"/>
        <s v="E03611"/>
        <s v="E04464"/>
        <s v="E02135"/>
        <s v="E01684"/>
        <s v="E02968"/>
        <s v="E03362"/>
        <s v="E01108"/>
        <s v="E02217"/>
        <s v="E03519"/>
        <s v="E01967"/>
        <s v="E01125"/>
        <s v="E03795"/>
        <s v="E00508"/>
        <s v="E02047"/>
        <s v="E01582"/>
        <s v="E04872"/>
        <s v="E03159"/>
        <s v="E01337"/>
        <s v="E00102"/>
        <s v="E03637"/>
        <s v="E03455"/>
        <s v="E01225"/>
        <s v="E01264"/>
        <s v="E02274"/>
        <s v="E00480"/>
        <s v="E00203"/>
        <s v="E00647"/>
        <s v="E03296"/>
        <s v="E02453"/>
        <s v="E02522"/>
        <s v="E00459"/>
        <s v="E03007"/>
        <s v="E03863"/>
        <s v="E02710"/>
        <s v="E01339"/>
        <s v="E03379"/>
        <s v="E02153"/>
        <s v="E00994"/>
        <s v="E00943"/>
        <s v="E00869"/>
        <s v="E03457"/>
        <s v="E02193"/>
        <s v="E00577"/>
        <s v="E00538"/>
        <s v="E01415"/>
        <s v="E00225"/>
        <s v="E02889"/>
        <s v="E04978"/>
        <s v="E04163"/>
        <s v="E01652"/>
        <s v="E00880"/>
        <s v="E04335"/>
        <s v="E01300"/>
        <s v="E03102"/>
        <s v="E04089"/>
        <s v="E02059"/>
        <s v="E03894"/>
        <s v="E03106"/>
        <s v="E01350"/>
        <s v="E02900"/>
        <s v="E02202"/>
        <s v="E02696"/>
        <s v="E01722"/>
        <s v="E00640"/>
        <s v="E02554"/>
        <s v="E03412"/>
        <s v="E00646"/>
        <s v="E04670"/>
        <s v="E03580"/>
        <s v="E02363"/>
        <s v="E03718"/>
        <s v="E01749"/>
        <s v="E02888"/>
        <s v="E01338"/>
        <s v="E03000"/>
        <s v="E01611"/>
        <s v="E02684"/>
        <s v="E02561"/>
        <s v="E03168"/>
        <s v="E03691"/>
        <s v="E00282"/>
        <s v="E00559"/>
        <s v="E02558"/>
        <s v="E00956"/>
        <s v="E03858"/>
        <s v="E02221"/>
        <s v="E00126"/>
        <s v="E02627"/>
        <s v="E03778"/>
        <s v="E00481"/>
        <s v="E02833"/>
        <s v="E03902"/>
        <s v="E02310"/>
        <s v="E02661"/>
        <s v="E00682"/>
        <s v="E00785"/>
        <s v="E04598"/>
        <s v="E02703"/>
        <s v="E02191"/>
        <s v="E00156"/>
        <s v="E04032"/>
        <s v="E00005"/>
        <s v="E04354"/>
        <s v="E01578"/>
        <s v="E03430"/>
        <s v="E04762"/>
        <s v="E01148"/>
        <s v="E03094"/>
        <s v="E01909"/>
        <s v="E04398"/>
        <s v="E02521"/>
        <s v="E03545"/>
      </sharedItems>
    </cacheField>
    <cacheField name="Full Name" numFmtId="0">
      <sharedItems count="991">
        <s v="Emily Davis"/>
        <s v="Theodore Dinh"/>
        <s v="Luna Sanders"/>
        <s v="Penelope Jordan"/>
        <s v="Austin Vo"/>
        <s v="Joshua Gupta"/>
        <s v="Ruby Barnes"/>
        <s v="Luke Martin"/>
        <s v="Easton Bailey"/>
        <s v="Madeline Walker"/>
        <s v="Savannah Ali"/>
        <s v="Camila Rogers"/>
        <s v="Eli Jones"/>
        <s v="Everleigh Ng"/>
        <s v="Robert Yang"/>
        <s v="Isabella Xi"/>
        <s v="Bella Powell"/>
        <s v="Camila Silva"/>
        <s v="David Barnes"/>
        <s v="Adam Dang"/>
        <s v="Elias Alvarado"/>
        <s v="Eva Rivera"/>
        <s v="Logan Rivera"/>
        <s v="Leonardo Dixon"/>
        <s v="Mateo Her"/>
        <s v="Jose Henderson"/>
        <s v="Abigail Mejia"/>
        <s v="Wyatt Chin"/>
        <s v="Carson Lu"/>
        <s v="Dylan Choi"/>
        <s v="Ezekiel Kumar"/>
        <s v="Dominic Guzman"/>
        <s v="Angel Powell"/>
        <s v="Mateo Vu"/>
        <s v="Caroline Jenkins"/>
        <s v="Nora Brown"/>
        <s v="Adeline Huang"/>
        <s v="Jackson Perry"/>
        <s v="Riley Padilla"/>
        <s v="Leah Pena"/>
        <s v="Owen Lam"/>
        <s v="Kennedy Foster"/>
        <s v="John Moore"/>
        <s v="William Vu"/>
        <s v="Sadie Washington"/>
        <s v="Gabriel Holmes"/>
        <s v="Wyatt Rojas"/>
        <s v="Eva Coleman"/>
        <s v="Dominic Clark"/>
        <s v="Lucy Alexander"/>
        <s v="Everleigh Washington"/>
        <s v="Leilani Butler"/>
        <s v="Peyton Huang"/>
        <s v="John Contreras"/>
        <s v="Rylee Yu"/>
        <s v="Piper Lewis"/>
        <s v="Stella Alexander"/>
        <s v="Addison Do"/>
        <s v="Zoey Jackson"/>
        <s v="John Chow"/>
        <s v="Ava Ayala"/>
        <s v="Natalia Salazar"/>
        <s v="Skylar Carrillo"/>
        <s v="Christian Sanders"/>
        <s v="Penelope Coleman"/>
        <s v="Piper Richardson"/>
        <s v="Everly Walker"/>
        <s v="Aurora Ali"/>
        <s v="Penelope Guerrero"/>
        <s v="Anna Mehta"/>
        <s v="William Foster"/>
        <s v="Jade Rojas"/>
        <s v="Isla Espinoza"/>
        <s v="David Chu"/>
        <s v="Thomas Padilla"/>
        <s v="Miles Salazar"/>
        <s v="Mila Hong"/>
        <s v="Benjamin Moua"/>
        <s v="Samuel Morales"/>
        <s v="John Soto"/>
        <s v="Joseph Martin"/>
        <s v="Jose Ross"/>
        <s v="Parker James"/>
        <s v="Everleigh Fernandez"/>
        <s v="Lincoln Hall"/>
        <s v="Willow Mai"/>
        <s v="Jack Cheng"/>
        <s v="Genesis Navarro"/>
        <s v="Eliza Hernandez"/>
        <s v="Gabriel Brooks"/>
        <s v="Jack Huynh"/>
        <s v="Everly Chow"/>
        <s v="Amelia Salazar"/>
        <s v="Xavier Zheng"/>
        <s v="Matthew Chau"/>
        <s v="Mia Cheng"/>
        <s v="Zoe Romero"/>
        <s v="Nolan Bui"/>
        <s v="Nevaeh Jones"/>
        <s v="Samantha Adams"/>
        <s v="Madeline Shin"/>
        <s v="Noah King"/>
        <s v="Leilani Chow"/>
        <s v="Connor Simmons"/>
        <s v="Grayson Cooper"/>
        <s v="Ivy Soto"/>
        <s v="Aurora Simmons"/>
        <s v="Andrew Thomas"/>
        <s v="Ezekiel Desai"/>
        <s v="Gabriella Gupta"/>
        <s v="Skylar Liu"/>
        <s v="Nova Coleman"/>
        <s v="Evelyn Dinh"/>
        <s v="Brooks Marquez"/>
        <s v="Connor Joseph"/>
        <s v="Mia Lam"/>
        <s v="Scarlett Rodriguez"/>
        <s v="Cora Rivera"/>
        <s v="Liam Jung"/>
        <s v="Sophia Huynh"/>
        <s v="Athena Carrillo"/>
        <s v="Greyson Sanders"/>
        <s v="Vivian Lewis"/>
        <s v="Elena Vang"/>
        <s v="Natalia Diaz"/>
        <s v="Mila Leung"/>
        <s v="Ava Nelson"/>
        <s v="Mateo Chu"/>
        <s v="Isla Lai"/>
        <s v="Ezekiel Reed"/>
        <s v="Nolan Guzman"/>
        <s v="Everleigh Espinoza"/>
        <s v="Evelyn Jung"/>
        <s v="Sophie Silva"/>
        <s v="Mateo Williams"/>
        <s v="Kennedy Rahman"/>
        <s v="Levi Mendez"/>
        <s v="Julian Fong"/>
        <s v="Nevaeh Kang"/>
        <s v="Hannah Nelson"/>
        <s v="Anthony Rogers"/>
        <s v="Paisley Kang"/>
        <s v="Matthew Gupta"/>
        <s v="Silas Chavez"/>
        <s v="Colton Thao"/>
        <s v="Genesis Perry"/>
        <s v="Alexander Bryant"/>
        <s v="Elias Zhang"/>
        <s v="Lily Carter"/>
        <s v="Joseph Ruiz"/>
        <s v="Avery Bailey"/>
        <s v="Miles Hsu"/>
        <s v="Piper Cheng"/>
        <s v="Skylar Watson"/>
        <s v="Jaxon Park"/>
        <s v="Elijah Henry"/>
        <s v="Camila Watson"/>
        <s v="Lucas Thomas"/>
        <s v="Skylar Doan"/>
        <s v="Hudson Liu"/>
        <s v="Gianna Williams"/>
        <s v="Jaxson Sandoval"/>
        <s v="Jameson Alvarado"/>
        <s v="Joseph Ly"/>
        <s v="Daniel Richardson"/>
        <s v="Elias Figueroa"/>
        <s v="Emma Brooks"/>
        <s v="Isla Wong"/>
        <s v="Mila Pena"/>
        <s v="Mason Zhao"/>
        <s v="Jaxson Mai"/>
        <s v="Ava Garza"/>
        <s v="Nathan Mendez"/>
        <s v="Maria Griffin"/>
        <s v="Alexander Choi"/>
        <s v="Maria Hong"/>
        <s v="Sophie Ali"/>
        <s v="Julian Ross"/>
        <s v="Emma Hill"/>
        <s v="Leilani Yee"/>
        <s v="Jack Brown"/>
        <s v="Charlotte Chu"/>
        <s v="Jeremiah Chu"/>
        <s v="Miles Cho"/>
        <s v="Caleb Marquez"/>
        <s v="Eli Soto"/>
        <s v="Carter Mejia"/>
        <s v="Ethan Clark"/>
        <s v="Asher Jackson"/>
        <s v="Ayla Ng"/>
        <s v="Jose Kang"/>
        <s v="Aubrey Romero"/>
        <s v="Jaxson Wright"/>
        <s v="Elias Ali"/>
        <s v="Nolan Pena"/>
        <s v="Luna Liu"/>
        <s v="Brooklyn Reyes"/>
        <s v="Hadley Parker"/>
        <s v="Jonathan Chavez"/>
        <s v="Sarah Ayala"/>
        <s v="Elijah Kang"/>
        <s v="Ella White"/>
        <s v="Jordan Truong"/>
        <s v="Daniel Jordan"/>
        <s v="Daniel Dixon"/>
        <s v="Luca Duong"/>
        <s v="Levi Brown"/>
        <s v="Mason Cho"/>
        <s v="Nova Herrera"/>
        <s v="Elijah Watson"/>
        <s v="Wesley Gray"/>
        <s v="Wesley Sharma"/>
        <s v="Mateo Mendez"/>
        <s v="Jose Molina"/>
        <s v="Luna Simmons"/>
        <s v="Samantha Barnes"/>
        <s v="Hunter Ortiz"/>
        <s v="Thomas Aguilar"/>
        <s v="Skylar Bell"/>
        <s v="Anna Zhu"/>
        <s v="Ella Hunter"/>
        <s v="Emery Hunter"/>
        <s v="Sofia Parker"/>
        <s v="Lucy Fong"/>
        <s v="Vivian Barnes"/>
        <s v="Kai Chow"/>
        <s v="Melody Cooper"/>
        <s v="James Bui"/>
        <s v="Liam Grant"/>
        <s v="Owen Han"/>
        <s v="Kinsley Vega"/>
        <s v="Leonardo Martin"/>
        <s v="Greyson Lam"/>
        <s v="Emilia Rivera"/>
        <s v="Penelope Johnson"/>
        <s v="Eva Figueroa"/>
        <s v="Ezekiel Jordan"/>
        <s v="Luke Mai"/>
        <s v="Charles Diaz"/>
        <s v="Adam Espinoza"/>
        <s v="Jack Maldonado"/>
        <s v="Cora Jiang"/>
        <s v="Cooper Mitchell"/>
        <s v="Layla Torres"/>
        <s v="Jack Edwards"/>
        <s v="Eleanor Chan"/>
        <s v="Aria Xi"/>
        <s v="John Vega"/>
        <s v="Luke Munoz"/>
        <s v="Sarah Daniels"/>
        <s v="Aria Castro"/>
        <s v="Autumn Joseph"/>
        <s v="Evelyn Liang"/>
        <s v="Henry Alvarez"/>
        <s v="Benjamin Delgado"/>
        <s v="Zoe Rodriguez"/>
        <s v="Axel Chu"/>
        <s v="Cameron Evans"/>
        <s v="Isabella Soto"/>
        <s v="Eva Jenkins"/>
        <s v="Cameron Powell"/>
        <s v="Samantha Foster"/>
        <s v="Jade Li"/>
        <s v="Kinsley Acosta"/>
        <s v="Clara Kang"/>
        <s v="Harper Alexander"/>
        <s v="Carter Reed"/>
        <s v="Charlotte Ruiz"/>
        <s v="Everleigh Jiang"/>
        <s v="Audrey Smith"/>
        <s v="Emery Acosta"/>
        <s v="Charles Robinson"/>
        <s v="Landon Lopez"/>
        <s v="Miles Mehta"/>
        <s v="Ezra Simmons"/>
        <s v="Nora Santiago"/>
        <s v="Caroline Herrera"/>
        <s v="David Owens"/>
        <s v="Avery Yee"/>
        <s v="Xavier Park"/>
        <s v="Asher Morales"/>
        <s v="Mason Cao"/>
        <s v="Joshua Fong"/>
        <s v="Maria Chin"/>
        <s v="Eva Garcia"/>
        <s v="Anna Molina"/>
        <s v="Logan Bryant"/>
        <s v="Isla Han"/>
        <s v="Christopher Vega"/>
        <s v="Lillian Park"/>
        <s v="Kennedy Zhang"/>
        <s v="Eli Han"/>
        <s v="Julia Pham"/>
        <s v="Hailey Shin"/>
        <s v="Connor Grant"/>
        <s v="Natalia Owens"/>
        <s v="Maria He"/>
        <s v="Jade Yi"/>
        <s v="Quinn Xiong"/>
        <s v="Dominic Baker"/>
        <s v="Adam Nelson"/>
        <s v="Autumn Reed"/>
        <s v="Robert Edwards"/>
        <s v="Roman Martinez"/>
        <s v="Eleanor Li"/>
        <s v="Connor Vang"/>
        <s v="Ellie Chung"/>
        <s v="Violet Hall"/>
        <s v="Dylan Padilla"/>
        <s v="Nathan Pham"/>
        <s v="Ayla Brown"/>
        <s v="Isaac Mitchell"/>
        <s v="Jayden Jimenez"/>
        <s v="Jaxon Tran"/>
        <s v="Connor Fong"/>
        <s v="Emery Mitchell"/>
        <s v="Landon Luu"/>
        <s v="Sophia Ahmed"/>
        <s v="Sofia Dinh"/>
        <s v="Jonathan Patel"/>
        <s v="Piper Patterson"/>
        <s v="Cora Evans"/>
        <s v="Cameron Young"/>
        <s v="Melody Ho"/>
        <s v="Aiden Bryant"/>
        <s v="Grayson Walker"/>
        <s v="Scarlett Figueroa"/>
        <s v="Madeline Hoang"/>
        <s v="Ruby Medina"/>
        <s v="Luke Zheng"/>
        <s v="Rylee Dinh"/>
        <s v="Miles Evans"/>
        <s v="Leo Owens"/>
        <s v="Caroline Owens"/>
        <s v="Kennedy Do"/>
        <s v="Jade Acosta"/>
        <s v="Mila Vasquez"/>
        <s v="Allison Ayala"/>
        <s v="Jace Zhang"/>
        <s v="Allison Medina"/>
        <s v="Maria Wilson"/>
        <s v="Everly Coleman"/>
        <s v="Jordan Gomez"/>
        <s v="Isla Chavez"/>
        <s v="Hannah Gomez"/>
        <s v="Jacob Davis"/>
        <s v="Eli Gupta"/>
        <s v="Andrew Huynh"/>
        <s v="Anna Gutierrez"/>
        <s v="Samuel Vega"/>
        <s v="Liliana Do"/>
        <s v="Isaac Sanders"/>
        <s v="Raelynn Gupta"/>
        <s v="Genesis Xiong"/>
        <s v="Lucas Ramos"/>
        <s v="Santiago f Gonzalez"/>
        <s v="Henry Zhu"/>
        <s v="Emily Contreras"/>
        <s v="Hailey Lai"/>
        <s v="Vivian Guzman"/>
        <s v="Hadley Contreras"/>
        <s v="Nathan Sun"/>
        <s v="Grace Campos"/>
        <s v="Autumn Ortiz"/>
        <s v="Connor Walker"/>
        <s v="Mia Wu"/>
        <s v="Julia Luong"/>
        <s v="Eleanor Delgado"/>
        <s v="Addison Roberts"/>
        <s v="Camila Li"/>
        <s v="Ezekiel Fong"/>
        <s v="Dylan Thao"/>
        <s v="Josephine Salazar"/>
        <s v="Genesis Hu"/>
        <s v="Mila Juarez"/>
        <s v="Daniel Perry"/>
        <s v="Paisley Hunter"/>
        <s v="Everleigh White"/>
        <s v="Penelope Choi"/>
        <s v="Piper Sun"/>
        <s v="Lucy Johnson"/>
        <s v="Ian Ngo"/>
        <s v="Joseph Vazquez"/>
        <s v="Hadley Guerrero"/>
        <s v="Jose Brown"/>
        <s v="Benjamin Ford"/>
        <s v="Henry Shah"/>
        <s v="Ivy Daniels"/>
        <s v="Thomas Chang"/>
        <s v="Caroline Phan"/>
        <s v="Maverick Mehta"/>
        <s v="Austin Edwards"/>
        <s v="Daniel Huang"/>
        <s v="Lucas Phan"/>
        <s v="Gabriel Yu"/>
        <s v="Mason Watson"/>
        <s v="Angel Chang"/>
        <s v="Madeline Coleman"/>
        <s v="Thomas Vazquez"/>
        <s v="Silas Hunter"/>
        <s v="Nicholas Brooks"/>
        <s v="Dominic Thomas"/>
        <s v="Wesley Adams"/>
        <s v="Ian Wu"/>
        <s v="Alice Young"/>
        <s v="Logan Carrillo"/>
        <s v="Caroline Alexander"/>
        <s v="Serenity Bailey"/>
        <s v="Elena Tan"/>
        <s v="Eliza Adams"/>
        <s v="Alice Xiong"/>
        <s v="Isla Yoon"/>
        <s v="Emma Perry"/>
        <s v="Riley Marquez"/>
        <s v="Caroline Hu"/>
        <s v="Madison Kumar"/>
        <s v="Matthew Lim"/>
        <s v="Maya Ngo"/>
        <s v="Alice Soto"/>
        <s v="Andrew Moore"/>
        <s v="Olivia Harris"/>
        <s v="Genesis Banks"/>
        <s v="Victoria Johnson"/>
        <s v="Eloise Griffin"/>
        <s v="Roman Yang"/>
        <s v="Clara Huynh"/>
        <s v="Kai Flores"/>
        <s v="Jaxson Dinh"/>
        <s v="Sophie Vang"/>
        <s v="Axel Jordan"/>
        <s v="Jade Hunter"/>
        <s v="Lydia Williams"/>
        <s v="Emery Chang"/>
        <s v="Savannah He"/>
        <s v="Elias Ahmed"/>
        <s v="Samantha Woods"/>
        <s v="Axel Soto"/>
        <s v="Amelia Choi"/>
        <s v="Jacob Khan"/>
        <s v="Luna Taylor"/>
        <s v="Dominic Parker"/>
        <s v="Angel Xiong"/>
        <s v="Emma Cao"/>
        <s v="Ezekiel Bryant"/>
        <s v="Natalie Hwang"/>
        <s v="Adeline Yang"/>
        <s v="Allison Roberts"/>
        <s v="Andrew Do"/>
        <s v="Eliana Grant"/>
        <s v="Mila Soto"/>
        <s v="Gabriella Johnson"/>
        <s v="Jonathan Khan"/>
        <s v="Elias Dang"/>
        <s v="Theodore Ngo"/>
        <s v="Bella Lopez"/>
        <s v="Luca Truong"/>
        <s v="Nathan Lau"/>
        <s v="Henry Campos"/>
        <s v="Connor Bell"/>
        <s v="Angel Stewart"/>
        <s v="Landon Brown"/>
        <s v="Nicholas Rivera"/>
        <s v="Gabriel Carter"/>
        <s v="Leilani Baker"/>
        <s v="Ian Flores"/>
        <s v="Hudson Thompson"/>
        <s v="Ian Miller"/>
        <s v="Harper Chin"/>
        <s v="Santiago f Brooks"/>
        <s v="Dylan Dominguez"/>
        <s v="Everett Lee"/>
        <s v="Madelyn Mehta"/>
        <s v="Athena Vasquez"/>
        <s v="William Watson"/>
        <s v="Everleigh Nunez"/>
        <s v="Leo Fernandez"/>
        <s v="Joshua Lin"/>
        <s v="Alexander Rivera"/>
        <s v="David Desai"/>
        <s v="Aubrey Yoon"/>
        <s v="Grayson Brown"/>
        <s v="Noah Chen"/>
        <s v="Ella Nguyen"/>
        <s v="Athena Jordan"/>
        <s v="Adrian Ruiz"/>
        <s v="Zoe Sanchez"/>
        <s v="Jameson Chen"/>
        <s v="Liliana Soto"/>
        <s v="Lincoln Reyes"/>
        <s v="Grayson Soto"/>
        <s v="Julia Morris"/>
        <s v="Ava Ortiz"/>
        <s v="Carson Chau"/>
        <s v="Lillian Chen"/>
        <s v="Josiah Lewis"/>
        <s v="Claire Jones"/>
        <s v="Jeremiah Lu"/>
        <s v="Nova Hill"/>
        <s v="Peyton Cruz"/>
        <s v="Naomi Zhao"/>
        <s v="Rylee Bui"/>
        <s v="Andrew Reed"/>
        <s v="Brooklyn Collins"/>
        <s v="John Jung"/>
        <s v="Samantha Aguilar"/>
        <s v="Madeline Acosta"/>
        <s v="Ethan Joseph"/>
        <s v="Joshua Juarez"/>
        <s v="Matthew Howard"/>
        <s v="Jade Figueroa"/>
        <s v="Everett Morales"/>
        <s v="Genesis Hunter"/>
        <s v="Henry Figueroa"/>
        <s v="Nicholas Song"/>
        <s v="Jack Alexander"/>
        <s v="Jameson Foster"/>
        <s v="Leonardo Lo"/>
        <s v="Ella Huang"/>
        <s v="Liam Jordan"/>
        <s v="Isaac Woods"/>
        <s v="Luke Wilson"/>
        <s v="Lyla Alvarez"/>
        <s v="Caleb Flores"/>
        <s v="Angel Lin"/>
        <s v="Easton Moore"/>
        <s v="Kinsley Collins"/>
        <s v="Brooklyn Salazar"/>
        <s v="Scarlett Jenkins"/>
        <s v="Melody Chin"/>
        <s v="Eloise Alexander"/>
        <s v="Carter Turner"/>
        <s v="Andrew Ma"/>
        <s v="Hailey Xi"/>
        <s v="Aiden Le"/>
        <s v="Christopher Lim"/>
        <s v="James Castillo"/>
        <s v="Greyson Dang"/>
        <s v="Hannah King"/>
        <s v="Wesley Dominguez"/>
        <s v="Dominic Hu"/>
        <s v="Nora Park"/>
        <s v="Audrey Hwang"/>
        <s v="Ella Jenkins"/>
        <s v="Peyton Owens"/>
        <s v="Alice Lopez"/>
        <s v="Dominic Le"/>
        <s v="Ezra Ortiz"/>
        <s v="Grayson Luu"/>
        <s v="Brooks Stewart"/>
        <s v="Naomi Xi"/>
        <s v="Silas Estrada"/>
        <s v="Skylar Ayala"/>
        <s v="Lydia Huynh"/>
        <s v="Hazel Cortez"/>
        <s v="Everleigh Adams"/>
        <s v="Layla Salazar"/>
        <s v="Willow Chen"/>
        <s v="Penelope Griffin"/>
        <s v="Lillian Romero"/>
        <s v="Stella Wu"/>
        <s v="Parker Vang"/>
        <s v="Mila Roberts"/>
        <s v="Isaac Liu"/>
        <s v="Jacob Doan"/>
        <s v="Raelynn Ma"/>
        <s v="Jameson Juarez"/>
        <s v="Everleigh Shah"/>
        <s v="Alexander Foster"/>
        <s v="Ryan Ha"/>
        <s v="Chloe Salazar"/>
        <s v="Layla Scott"/>
        <s v="Leah Khan"/>
        <s v="Mason Jimenez"/>
        <s v="Hailey Dang"/>
        <s v="Amelia Bui"/>
        <s v="Elena Her"/>
        <s v="Ian Cortez"/>
        <s v="Christian Ali"/>
        <s v="Carter Ortiz"/>
        <s v="Grayson Chan"/>
        <s v="Nolan Molina"/>
        <s v="Adam Kaur"/>
        <s v="Amelia Kaur"/>
        <s v="Autumn Gonzales"/>
        <s v="Ezra Wilson"/>
        <s v="Jacob Cheng"/>
        <s v="Melody Valdez"/>
        <s v="Caroline Nelson"/>
        <s v="Ellie Guerrero"/>
        <s v="Genesis Zhu"/>
        <s v="Jonathan Ho"/>
        <s v="Savannah Park"/>
        <s v="Nathan Chan"/>
        <s v="Sofia Vu"/>
        <s v="Ruby Choi"/>
        <s v="Lily Pena"/>
        <s v="Liam Zhang"/>
        <s v="Ian Gutierrez"/>
        <s v="David Simmons"/>
        <s v="Lincoln Henderson"/>
        <s v="Nathan Miller"/>
        <s v="James Singh"/>
        <s v="Kayden Ortega"/>
        <s v="Lucy Figueroa"/>
        <s v="Joshua Cortez"/>
        <s v="Alexander Morris"/>
        <s v="Grayson Chin"/>
        <s v="Allison Espinoza"/>
        <s v="Naomi Chu"/>
        <s v="Jameson Martin"/>
        <s v="Sebastian Gupta"/>
        <s v="Eloise Pham"/>
        <s v="Valentina Davis"/>
        <s v="Brooklyn Daniels"/>
        <s v="Paisley Gomez"/>
        <s v="Madison Li"/>
        <s v="Everleigh Simmons"/>
        <s v="Logan Soto"/>
        <s v="Charlotte Vo"/>
        <s v="Alice Thompson"/>
        <s v="Peyton Garza"/>
        <s v="Nora Nelson"/>
        <s v="Maverick Li"/>
        <s v="Ian Barnes"/>
        <s v="Athena Vu"/>
        <s v="Ruby Washington"/>
        <s v="Bella Butler"/>
        <s v="Kinsley Henry"/>
        <s v="Kennedy Romero"/>
        <s v="Zoe Do"/>
        <s v="Everett Khan"/>
        <s v="Anna Han"/>
        <s v="Leilani Sharma"/>
        <s v="Jordan Cho"/>
        <s v="Nova Williams"/>
        <s v="Scarlett Hill"/>
        <s v="Dominic Scott"/>
        <s v="Anthony Marquez"/>
        <s v="Elena Patterson"/>
        <s v="Madison Nelson"/>
        <s v="William Walker"/>
        <s v="Lincoln Wong"/>
        <s v="James Huang"/>
        <s v="Emery Ford"/>
        <s v="Paisley Trinh"/>
        <s v="Hudson Williams"/>
        <s v="Harper Phan"/>
        <s v="Madeline Allen"/>
        <s v="Charles Moore"/>
        <s v="Lincoln Fong"/>
        <s v="Isla Guzman"/>
        <s v="Hailey Foster"/>
        <s v="Hudson Hill"/>
        <s v="Wyatt Li"/>
        <s v="Maverick Henry"/>
        <s v="Xavier Jackson"/>
        <s v="Christian Medina"/>
        <s v="Autumn Leung"/>
        <s v="Robert Vazquez"/>
        <s v="Aria Roberts"/>
        <s v="Axel Johnson"/>
        <s v="Madeline Garcia"/>
        <s v="Christopher Chung"/>
        <s v="Eliana Turner"/>
        <s v="Daniel Shah"/>
        <s v="Penelope Gonzalez"/>
        <s v="Mila Allen"/>
        <s v="Emilia Chu"/>
        <s v="Emily Clark"/>
        <s v="Roman King"/>
        <s v="Emery Do"/>
        <s v="Autumn Thao"/>
        <s v="Naomi Coleman"/>
        <s v="Cora Zheng"/>
        <s v="Ayla Daniels"/>
        <s v="Allison Daniels"/>
        <s v="Mateo Harris"/>
        <s v="Samantha Rogers"/>
        <s v="Julian Lee"/>
        <s v="Nicholas Avila"/>
        <s v="Hailey Watson"/>
        <s v="Willow Woods"/>
        <s v="Alexander Gonzales"/>
        <s v="Aiden Gonzales"/>
        <s v="Joshua Chin"/>
        <s v="Paisley Hall"/>
        <s v="Allison Leung"/>
        <s v="Hannah Mejia"/>
        <s v="Elizabeth Huang"/>
        <s v="Abigail Garza"/>
        <s v="Raelynn Lu"/>
        <s v="Charles Luu"/>
        <s v="Lydia Espinoza"/>
        <s v="Adeline Thao"/>
        <s v="Kinsley Dixon"/>
        <s v="Natalia Vu"/>
        <s v="Julia Mai"/>
        <s v="Camila Evans"/>
        <s v="Everly Lai"/>
        <s v="Adam He"/>
        <s v="Vivian Hunter"/>
        <s v="Lucy Avila"/>
        <s v="Eliana Li"/>
        <s v="Logan Mitchell"/>
        <s v="Dominic Dinh"/>
        <s v="Lucas Daniels"/>
        <s v="Andrew Holmes"/>
        <s v="Julia Sandoval"/>
        <s v="Kennedy Vargas"/>
        <s v="Thomas Williams"/>
        <s v="Raelynn Hong"/>
        <s v="Eli Reed"/>
        <s v="Lyla Yoon"/>
        <s v="Hannah White"/>
        <s v="Theodore Xi"/>
        <s v="Ezra Liang"/>
        <s v="Grayson Yee"/>
        <s v="Eli Richardson"/>
        <s v="Audrey Lee"/>
        <s v="Jameson Allen"/>
        <s v="Eliza Chen"/>
        <s v="Lyla Chen"/>
        <s v="Emily Doan"/>
        <s v="Jack Mai"/>
        <s v="Grayson Turner"/>
        <s v="Ivy Tang"/>
        <s v="Robert Zhang"/>
        <s v="Eva Alvarado"/>
        <s v="Abigail Vang"/>
        <s v="Claire Adams"/>
        <s v="Theodore Marquez"/>
        <s v="Hunter Nunez"/>
        <s v="Charles Henderson"/>
        <s v="Camila Cortez"/>
        <s v="Aaron Garza"/>
        <s v="Jose Singh"/>
        <s v="Gabriel Joseph"/>
        <s v="Natalia Santos"/>
        <s v="Dylan Wilson"/>
        <s v="Robert Alvarez"/>
        <s v="Samantha Chavez"/>
        <s v="Samuel Bailey"/>
        <s v="Ezekiel Delgado"/>
        <s v="Benjamin Ramirez"/>
        <s v="Anthony Carter"/>
        <s v="Ethan Tang"/>
        <s v="Sebastian Rogers"/>
        <s v="Miles Thao"/>
        <s v="William Cao"/>
        <s v="Leo Hsu"/>
        <s v="Avery Grant"/>
        <s v="Penelope Fong"/>
        <s v="Vivian Thao"/>
        <s v="Eva Estrada"/>
        <s v="Emma Luna"/>
        <s v="Charlotte Wu"/>
        <s v="Vivian Chu"/>
        <s v="Jayden Williams"/>
        <s v="Amelia Bell"/>
        <s v="Addison Mehta"/>
        <s v="Alexander Jackson"/>
        <s v="Everly Lin"/>
        <s v="Lyla Stewart"/>
        <s v="Brooklyn Ruiz"/>
        <s v="Skylar Evans"/>
        <s v="Lincoln Huynh"/>
        <s v="Hazel Griffin"/>
        <s v="Charles Gonzalez"/>
        <s v="Leah Patterson"/>
        <s v="Avery Sun"/>
        <s v="Isaac Yoon"/>
        <s v="Isabella Bui"/>
        <s v="Gabriel Zhou"/>
        <s v="Jack Vu"/>
        <s v="Valentina Moua"/>
        <s v="Quinn Trinh"/>
        <s v="Miles Dang"/>
        <s v="Leah Bryant"/>
        <s v="Henry Jung"/>
        <s v="Benjamin Mai"/>
        <s v="Ariana Kim"/>
        <s v="Alice Tran"/>
        <s v="Hailey Song"/>
        <s v="Lydia Morales"/>
        <s v="Liam Sanders"/>
        <s v="Luke Sanchez"/>
        <s v="Grace Sun"/>
        <s v="Ezra Banks"/>
        <s v="Jayden Kang"/>
        <s v="Skylar Shah"/>
        <s v="Sebastian Le"/>
        <s v="Luca Nelson"/>
        <s v="Riley Ramirez"/>
        <s v="Jaxon Fong"/>
        <s v="Kayden Jordan"/>
        <s v="Alexander James"/>
        <s v="Connor Luu"/>
        <s v="Christopher Lam"/>
        <s v="Sophie Owens"/>
        <s v="Addison Perez"/>
        <s v="Hadley Dang"/>
        <s v="Ethan Mehta"/>
        <s v="Madison Her"/>
        <s v="Savannah Singh"/>
        <s v="Nevaeh Hsu"/>
        <s v="Jordan Zhu"/>
        <s v="Jackson Navarro"/>
        <s v="Sadie Patterson"/>
        <s v="Christopher Butler"/>
        <s v="Penelope Rodriguez"/>
        <s v="Emily Lau"/>
        <s v="Sophie Oh"/>
        <s v="Chloe Allen"/>
        <s v="Caleb Nelson"/>
        <s v="Oliver Moua"/>
        <s v="Wesley Doan"/>
        <s v="Nova Hsu"/>
        <s v="Levi Moreno"/>
        <s v="Gianna Ha"/>
        <s v="Lillian Gonzales"/>
        <s v="Ezra Singh"/>
        <s v="Audrey Patel"/>
        <s v="Brooklyn Cho"/>
        <s v="Piper Ramos"/>
        <s v="Eleanor Williams"/>
        <s v="Melody Grant"/>
        <s v="Paisley Sanders"/>
        <s v="Santiago f Gray"/>
        <s v="Josephine Richardson"/>
        <s v="Jaxson Santiago"/>
        <s v="Lincoln Ramos"/>
        <s v="Dylan Campbell"/>
        <s v="Olivia Gray"/>
        <s v="Emery Doan"/>
        <s v="Caroline Perez"/>
        <s v="Genesis Woods"/>
        <s v="Ruby Sun"/>
        <s v="Nevaeh James"/>
        <s v="Parker Sandoval"/>
        <s v="Austin Rojas"/>
        <s v="Vivian Espinoza"/>
        <s v="Cooper Gupta"/>
        <s v="Axel Santos"/>
        <s v="Samuel Song"/>
        <s v="Aiden Silva"/>
        <s v="Eliana Allen"/>
        <s v="Grayson James"/>
        <s v="Hailey Yee"/>
        <s v="Ian Vargas"/>
        <s v="John Trinh"/>
        <s v="Sofia Trinh"/>
        <s v="Santiago f Moua"/>
        <s v="Layla Collins"/>
        <s v="Jaxon Powell"/>
        <s v="Naomi Washington"/>
        <s v="Ryan Holmes"/>
        <s v="Bella Holmes"/>
        <s v="Hailey Sanchez"/>
        <s v="Sofia Yoon"/>
        <s v="Eli Rahman"/>
        <s v="Christopher Howard"/>
        <s v="Alice Mehta"/>
        <s v="Cooper Yoon"/>
        <s v="John Delgado"/>
        <s v="Jaxson Liang"/>
        <s v="Caroline Santos"/>
        <s v="Lily Henderson"/>
        <s v="Hannah Martinez"/>
        <s v="William Phillips"/>
        <s v="Eliza Zheng"/>
        <s v="John Dang"/>
        <s v="Joshua Yang"/>
        <s v="Hazel Young"/>
        <s v="Thomas Jung"/>
        <s v="Xavier Perez"/>
        <s v="Elijah Coleman"/>
        <s v="Clara Sanchez"/>
        <s v="Isaac Stewart"/>
        <s v="Claire Romero"/>
        <s v="Andrew Coleman"/>
        <s v="Riley Rojas"/>
        <s v="Landon Thao"/>
        <s v="Hadley Ford"/>
        <s v="Austin Brown"/>
        <s v="Christian Fong"/>
        <s v="Hazel Alvarez"/>
        <s v="Isabella Bailey"/>
        <s v="Hadley Yee"/>
        <s v="Julia Doan"/>
        <s v="Dylan Ali"/>
        <s v="Eloise Trinh"/>
        <s v="Dylan Kumar"/>
        <s v="Emily Gupta"/>
        <s v="Silas Rivera"/>
        <s v="Jackson Jordan"/>
        <s v="Isaac Joseph"/>
        <s v="Leilani Thao"/>
        <s v="Madeline Watson"/>
        <s v="Silas Huang"/>
        <s v="Peyton Walker"/>
        <s v="Jeremiah Hernandez"/>
        <s v="Jace Washington"/>
        <s v="Landon Kim"/>
        <s v="Peyton Vasquez"/>
        <s v="Charlotte Baker"/>
        <s v="Elena Mendoza"/>
        <s v="Nova Lin"/>
        <s v="Ivy Desai"/>
        <s v="Josephine Acosta"/>
        <s v="Nora Nunez"/>
        <s v="Caleb Xiong"/>
        <s v="Henry Green"/>
        <s v="Madelyn Chan"/>
        <s v="Angel Delgado"/>
        <s v="Mia Herrera"/>
        <s v="Peyton Harris"/>
        <s v="David Herrera"/>
        <s v="Avery Dominguez"/>
        <s v="Grace Carter"/>
        <s v="Parker Allen"/>
        <s v="Sadie Lee"/>
        <s v="Cooper Valdez"/>
        <s v="Sebastian Fong"/>
        <s v="Roman Munoz"/>
        <s v="Charlotte Chang"/>
        <s v="Xavier Davis"/>
        <s v="Natalie Carter"/>
        <s v="Elena Richardson"/>
        <s v="Emilia Bailey"/>
        <s v="Ryan Lu"/>
        <s v="Asher Huynh"/>
        <s v="Kinsley Martinez"/>
        <s v="Paisley Bryant"/>
        <s v="Joshua Ramirez"/>
        <s v="Joshua Martin"/>
        <s v="Angel Do"/>
        <s v="Maverick Medina"/>
        <s v="Isaac Han"/>
        <s v="Eliza Liang"/>
        <s v="Zoe Zhou"/>
        <s v="Nathan Lee"/>
        <s v="Elijah Ramos"/>
        <s v="Jaxson Coleman"/>
        <s v="Hailey Hong"/>
        <s v="Gabriella Zhu"/>
        <s v="Aaron Maldonado"/>
        <s v="Samantha Vargas"/>
        <s v="Nora Le"/>
        <s v="Alice Roberts"/>
        <s v="Colton Garcia"/>
        <s v="Stella Lai"/>
        <s v="Leonardo Luong"/>
        <s v="Nicholas Wong"/>
        <s v="Jeremiah Castillo"/>
        <s v="Cooper Jiang"/>
        <s v="Penelope Silva"/>
        <s v="Jose Richardson"/>
        <s v="Eleanor Chau"/>
        <s v="John Cho"/>
        <s v="Julian Delgado"/>
        <s v="Isabella Scott"/>
        <s v="Parker Avila"/>
        <s v="Luke Vu"/>
        <s v="Jameson Nelson"/>
        <s v="Adrian Fernandez"/>
        <s v="Madison Hunter"/>
        <s v="Jordan Phillips"/>
        <s v="Maya Chan"/>
        <s v="Wesley King"/>
        <s v="Sofia Fernandez"/>
        <s v="Maverick Figueroa"/>
        <s v="Hannah Hoang"/>
        <s v="Violet Garcia"/>
        <s v="Aaliyah Mai"/>
        <s v="Austin Vang"/>
        <s v="Maria Sun"/>
        <s v="Madelyn Scott"/>
        <s v="Dylan Chin"/>
        <s v="Emery Zhang"/>
        <s v="Riley Washington"/>
        <s v="Raelynn Rios"/>
        <s v="Anthony Hong"/>
        <s v="Leo Herrera"/>
        <s v="Robert Wright"/>
        <s v="Audrey Richardson"/>
        <s v="Scarlett Kumar"/>
        <s v="Wesley Young"/>
        <s v="Lillian Khan"/>
        <s v="Oliver Yang"/>
        <s v="Lily Nguyen"/>
        <s v="Sofia Cheng"/>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Ethnicity" numFmtId="0">
      <sharedItems/>
    </cacheField>
    <cacheField name="Age" numFmtId="1">
      <sharedItems containsSemiMixedTypes="0" containsString="0" containsNumber="1" containsInteger="1" minValue="25" maxValue="65"/>
    </cacheField>
    <cacheField name="Hire Date" numFmtId="167">
      <sharedItems containsSemiMixedTypes="0" containsNonDate="0" containsDate="1" containsString="0" minDate="1992-01-09T00:00:00" maxDate="2021-12-27T00:00:00"/>
    </cacheField>
    <cacheField name="Annual Salary" numFmtId="166">
      <sharedItems containsSemiMixedTypes="0" containsString="0" containsNumber="1" containsInteger="1" minValue="40063" maxValue="258498"/>
    </cacheField>
    <cacheField name="Bonus %" numFmtId="9">
      <sharedItems containsSemiMixedTypes="0" containsString="0" containsNumber="1" minValue="0" maxValue="0.4"/>
    </cacheField>
    <cacheField name="Country" numFmtId="0">
      <sharedItems count="3">
        <s v="United States"/>
        <s v="China"/>
        <s v="Brazil"/>
      </sharedItems>
    </cacheField>
    <cacheField name="City" numFmtId="0">
      <sharedItems/>
    </cacheField>
    <cacheField name="Exit Date" numFmtId="167">
      <sharedItems containsNonDate="0" containsDate="1" containsString="0" containsBlank="1" minDate="1994-12-18T00:00:00" maxDate="2022-08-18T00:00:00" count="84">
        <d v="2021-10-16T00:00:00"/>
        <m/>
        <d v="2021-05-20T00:00:00"/>
        <d v="2020-03-09T00:00:00"/>
        <d v="2017-07-16T00:00:00"/>
        <d v="2020-07-08T00:00:00"/>
        <d v="2021-06-24T00:00:00"/>
        <d v="2014-01-22T00:00:00"/>
        <d v="2021-09-26T00:00:00"/>
        <d v="2014-03-27T00:00:00"/>
        <d v="2017-10-08T00:00:00"/>
        <d v="2020-12-21T00:00:00"/>
        <d v="2019-12-22T00:00:00"/>
        <d v="2018-10-12T00:00:00"/>
        <d v="2021-05-01T00:00:00"/>
        <d v="2013-12-13T00:00:00"/>
        <d v="2017-09-25T00:00:00"/>
        <d v="2010-01-15T00:00:00"/>
        <d v="2013-06-05T00:00:00"/>
        <d v="2020-07-17T00:00:00"/>
        <d v="2020-09-25T00:00:00"/>
        <d v="2008-06-17T00:00:00"/>
        <d v="2021-11-10T00:00:00"/>
        <d v="2020-10-03T00:00:00"/>
        <d v="2021-07-27T00:00:00"/>
        <d v="2005-04-14T00:00:00"/>
        <d v="2020-04-24T00:00:00"/>
        <d v="2016-10-03T00:00:00"/>
        <d v="1998-10-11T00:00:00"/>
        <d v="2003-01-02T00:00:00"/>
        <d v="2007-08-16T00:00:00"/>
        <d v="2019-12-11T00:00:00"/>
        <d v="2019-08-04T00:00:00"/>
        <d v="2011-12-26T00:00:00"/>
        <d v="2015-08-08T00:00:00"/>
        <d v="2020-07-12T00:00:00"/>
        <d v="2004-05-15T00:00:00"/>
        <d v="2017-08-11T00:00:00"/>
        <d v="2022-04-11T00:00:00"/>
        <d v="2015-11-30T00:00:00"/>
        <d v="2022-05-18T00:00:00"/>
        <d v="2021-05-18T00:00:00"/>
        <d v="2022-04-10T00:00:00"/>
        <d v="2021-01-07T00:00:00"/>
        <d v="2019-05-09T00:00:00"/>
        <d v="2017-09-22T00:00:00"/>
        <d v="2021-02-02T00:00:00"/>
        <d v="2015-06-09T00:00:00"/>
        <d v="2022-06-20T00:00:00"/>
        <d v="2021-03-08T00:00:00"/>
        <d v="1994-12-18T00:00:00"/>
        <d v="2021-10-22T00:00:00"/>
        <d v="2019-04-03T00:00:00"/>
        <d v="2020-12-12T00:00:00"/>
        <d v="2022-06-03T00:00:00"/>
        <d v="2009-12-06T00:00:00"/>
        <d v="2017-12-22T00:00:00"/>
        <d v="2014-10-26T00:00:00"/>
        <d v="2018-05-09T00:00:00"/>
        <d v="2022-08-17T00:00:00"/>
        <d v="2021-05-24T00:00:00"/>
        <d v="2020-06-09T00:00:00"/>
        <d v="2007-04-08T00:00:00"/>
        <d v="2006-04-22T00:00:00"/>
        <d v="2008-05-30T00:00:00"/>
        <d v="2022-04-20T00:00:00"/>
        <d v="2021-04-20T00:00:00"/>
        <d v="2014-12-25T00:00:00"/>
        <d v="2021-07-09T00:00:00"/>
        <d v="2017-12-09T00:00:00"/>
        <d v="2016-03-16T00:00:00"/>
        <d v="1996-12-14T00:00:00"/>
        <d v="2019-05-23T00:00:00"/>
        <d v="2021-04-09T00:00:00"/>
        <d v="2020-02-04T00:00:00"/>
        <d v="2018-05-31T00:00:00"/>
        <d v="2021-08-14T00:00:00"/>
        <d v="2021-01-15T00:00:00"/>
        <d v="2004-05-24T00:00:00"/>
        <d v="2021-03-02T00:00:00"/>
        <d v="2017-03-26T00:00:00"/>
        <d v="2019-03-14T00:00:00"/>
        <d v="2004-11-27T00:00:00"/>
        <d v="2018-01-08T00:00:00"/>
      </sharedItems>
    </cacheField>
    <cacheField name="Bonus Amount" numFmtId="165">
      <sharedItems containsSemiMixedTypes="0" containsString="0" containsNumber="1" minValue="0" maxValue="103370.40000000001"/>
    </cacheField>
    <cacheField name="Total Compensation" numFmtId="166">
      <sharedItems containsSemiMixedTypes="0" containsString="0" containsNumber="1" minValue="40063" maxValue="361796.4"/>
    </cacheField>
    <cacheField name="Employee Status" numFmtId="0">
      <sharedItems count="2">
        <s v="Exited"/>
        <s v="Active"/>
      </sharedItems>
    </cacheField>
    <cacheField name="Tenure" numFmtId="164">
      <sharedItems containsSemiMixedTypes="0" containsString="0" containsNumber="1" containsInteger="1" minValue="0" maxValue="34"/>
    </cacheField>
    <cacheField name="Age Band" numFmtId="0">
      <sharedItems/>
    </cacheField>
  </cacheFields>
  <extLst>
    <ext xmlns:x14="http://schemas.microsoft.com/office/spreadsheetml/2009/9/main" uri="{725AE2AE-9491-48be-B2B4-4EB974FC3084}">
      <x14:pivotCacheDefinition pivotCacheId="1572293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s v="Black"/>
    <n v="55"/>
    <d v="2016-04-08T00:00:00"/>
    <n v="141604"/>
    <n v="0.15"/>
    <x v="0"/>
    <s v="Seattle"/>
    <x v="0"/>
    <n v="21240.6"/>
    <n v="162844.6"/>
    <x v="0"/>
    <n v="5"/>
    <s v="50+"/>
  </r>
  <r>
    <x v="1"/>
    <x v="1"/>
    <x v="1"/>
    <x v="0"/>
    <x v="1"/>
    <x v="1"/>
    <s v="Asian"/>
    <n v="59"/>
    <d v="1997-11-29T00:00:00"/>
    <n v="99975"/>
    <n v="0"/>
    <x v="1"/>
    <s v="Chongqing"/>
    <x v="1"/>
    <n v="0"/>
    <n v="99975"/>
    <x v="1"/>
    <n v="28"/>
    <s v="50+"/>
  </r>
  <r>
    <x v="2"/>
    <x v="2"/>
    <x v="2"/>
    <x v="1"/>
    <x v="2"/>
    <x v="0"/>
    <s v="Caucasian"/>
    <n v="50"/>
    <d v="2006-10-26T00:00:00"/>
    <n v="163099"/>
    <n v="0.2"/>
    <x v="0"/>
    <s v="Chicago"/>
    <x v="1"/>
    <n v="32619.800000000003"/>
    <n v="195718.8"/>
    <x v="1"/>
    <n v="19"/>
    <s v="50+"/>
  </r>
  <r>
    <x v="3"/>
    <x v="3"/>
    <x v="3"/>
    <x v="0"/>
    <x v="1"/>
    <x v="0"/>
    <s v="Caucasian"/>
    <n v="26"/>
    <d v="2019-09-27T00:00:00"/>
    <n v="84913"/>
    <n v="7.0000000000000007E-2"/>
    <x v="0"/>
    <s v="Chicago"/>
    <x v="1"/>
    <n v="5943.9100000000008"/>
    <n v="90856.91"/>
    <x v="1"/>
    <n v="6"/>
    <s v="Under 30"/>
  </r>
  <r>
    <x v="4"/>
    <x v="4"/>
    <x v="4"/>
    <x v="1"/>
    <x v="1"/>
    <x v="1"/>
    <s v="Asian"/>
    <n v="55"/>
    <d v="1995-11-20T00:00:00"/>
    <n v="95409"/>
    <n v="0"/>
    <x v="0"/>
    <s v="Phoenix"/>
    <x v="1"/>
    <n v="0"/>
    <n v="95409"/>
    <x v="1"/>
    <n v="30"/>
    <s v="50+"/>
  </r>
  <r>
    <x v="5"/>
    <x v="5"/>
    <x v="5"/>
    <x v="2"/>
    <x v="3"/>
    <x v="1"/>
    <s v="Asian"/>
    <n v="57"/>
    <d v="2017-01-24T00:00:00"/>
    <n v="50994"/>
    <n v="0"/>
    <x v="1"/>
    <s v="Chongqing"/>
    <x v="1"/>
    <n v="0"/>
    <n v="50994"/>
    <x v="1"/>
    <n v="9"/>
    <s v="50+"/>
  </r>
  <r>
    <x v="6"/>
    <x v="6"/>
    <x v="6"/>
    <x v="0"/>
    <x v="3"/>
    <x v="0"/>
    <s v="Caucasian"/>
    <n v="27"/>
    <d v="2020-07-01T00:00:00"/>
    <n v="119746"/>
    <n v="0.1"/>
    <x v="0"/>
    <s v="Phoenix"/>
    <x v="1"/>
    <n v="11974.6"/>
    <n v="131720.6"/>
    <x v="1"/>
    <n v="5"/>
    <s v="Under 30"/>
  </r>
  <r>
    <x v="7"/>
    <x v="7"/>
    <x v="7"/>
    <x v="1"/>
    <x v="1"/>
    <x v="1"/>
    <s v="Black"/>
    <n v="25"/>
    <d v="2020-05-16T00:00:00"/>
    <n v="41336"/>
    <n v="0"/>
    <x v="0"/>
    <s v="Miami"/>
    <x v="2"/>
    <n v="0"/>
    <n v="41336"/>
    <x v="0"/>
    <n v="1"/>
    <s v="Under 30"/>
  </r>
  <r>
    <x v="8"/>
    <x v="8"/>
    <x v="6"/>
    <x v="3"/>
    <x v="1"/>
    <x v="1"/>
    <s v="Caucasian"/>
    <n v="29"/>
    <d v="2019-01-25T00:00:00"/>
    <n v="113527"/>
    <n v="0.06"/>
    <x v="0"/>
    <s v="Austin"/>
    <x v="1"/>
    <n v="6811.62"/>
    <n v="120338.62"/>
    <x v="1"/>
    <n v="7"/>
    <s v="Under 30"/>
  </r>
  <r>
    <x v="9"/>
    <x v="9"/>
    <x v="4"/>
    <x v="1"/>
    <x v="2"/>
    <x v="0"/>
    <s v="Caucasian"/>
    <n v="34"/>
    <d v="2018-06-13T00:00:00"/>
    <n v="77203"/>
    <n v="0"/>
    <x v="0"/>
    <s v="Chicago"/>
    <x v="1"/>
    <n v="0"/>
    <n v="77203"/>
    <x v="1"/>
    <n v="7"/>
    <s v="30-40"/>
  </r>
  <r>
    <x v="10"/>
    <x v="10"/>
    <x v="0"/>
    <x v="4"/>
    <x v="1"/>
    <x v="0"/>
    <s v="Asian"/>
    <n v="36"/>
    <d v="2009-02-11T00:00:00"/>
    <n v="157333"/>
    <n v="0.15"/>
    <x v="0"/>
    <s v="Miami"/>
    <x v="1"/>
    <n v="23599.95"/>
    <n v="180932.95"/>
    <x v="1"/>
    <n v="16"/>
    <s v="30-40"/>
  </r>
  <r>
    <x v="11"/>
    <x v="11"/>
    <x v="8"/>
    <x v="5"/>
    <x v="2"/>
    <x v="0"/>
    <s v="Caucasian"/>
    <n v="27"/>
    <d v="2021-10-21T00:00:00"/>
    <n v="109851"/>
    <n v="0"/>
    <x v="0"/>
    <s v="Seattle"/>
    <x v="1"/>
    <n v="0"/>
    <n v="109851"/>
    <x v="1"/>
    <n v="4"/>
    <s v="Under 30"/>
  </r>
  <r>
    <x v="12"/>
    <x v="12"/>
    <x v="6"/>
    <x v="4"/>
    <x v="1"/>
    <x v="1"/>
    <s v="Caucasian"/>
    <n v="59"/>
    <d v="1999-03-14T00:00:00"/>
    <n v="105086"/>
    <n v="0.09"/>
    <x v="0"/>
    <s v="Austin"/>
    <x v="1"/>
    <n v="9457.74"/>
    <n v="114543.74"/>
    <x v="1"/>
    <n v="26"/>
    <s v="50+"/>
  </r>
  <r>
    <x v="13"/>
    <x v="13"/>
    <x v="0"/>
    <x v="1"/>
    <x v="0"/>
    <x v="0"/>
    <s v="Asian"/>
    <n v="51"/>
    <d v="2021-06-10T00:00:00"/>
    <n v="146742"/>
    <n v="0.1"/>
    <x v="1"/>
    <s v="Shanghai"/>
    <x v="1"/>
    <n v="14674.2"/>
    <n v="161416.20000000001"/>
    <x v="1"/>
    <n v="4"/>
    <s v="50+"/>
  </r>
  <r>
    <x v="14"/>
    <x v="14"/>
    <x v="4"/>
    <x v="3"/>
    <x v="2"/>
    <x v="1"/>
    <s v="Asian"/>
    <n v="31"/>
    <d v="2017-11-04T00:00:00"/>
    <n v="97078"/>
    <n v="0"/>
    <x v="0"/>
    <s v="Austin"/>
    <x v="3"/>
    <n v="0"/>
    <n v="97078"/>
    <x v="0"/>
    <n v="2"/>
    <s v="30-40"/>
  </r>
  <r>
    <x v="15"/>
    <x v="15"/>
    <x v="9"/>
    <x v="6"/>
    <x v="0"/>
    <x v="0"/>
    <s v="Asian"/>
    <n v="41"/>
    <d v="2013-03-13T00:00:00"/>
    <n v="249270"/>
    <n v="0.3"/>
    <x v="0"/>
    <s v="Seattle"/>
    <x v="1"/>
    <n v="74781"/>
    <n v="324051"/>
    <x v="1"/>
    <n v="12"/>
    <s v="41-50"/>
  </r>
  <r>
    <x v="16"/>
    <x v="16"/>
    <x v="2"/>
    <x v="1"/>
    <x v="0"/>
    <x v="0"/>
    <s v="Black"/>
    <n v="65"/>
    <d v="2002-03-04T00:00:00"/>
    <n v="175837"/>
    <n v="0.2"/>
    <x v="0"/>
    <s v="Phoenix"/>
    <x v="1"/>
    <n v="35167.4"/>
    <n v="211004.4"/>
    <x v="1"/>
    <n v="23"/>
    <s v="50+"/>
  </r>
  <r>
    <x v="17"/>
    <x v="17"/>
    <x v="0"/>
    <x v="6"/>
    <x v="2"/>
    <x v="0"/>
    <s v="Latino"/>
    <n v="64"/>
    <d v="2003-12-01T00:00:00"/>
    <n v="154828"/>
    <n v="0.13"/>
    <x v="0"/>
    <s v="Seattle"/>
    <x v="1"/>
    <n v="20127.64"/>
    <n v="174955.64"/>
    <x v="1"/>
    <n v="22"/>
    <s v="50+"/>
  </r>
  <r>
    <x v="18"/>
    <x v="18"/>
    <x v="2"/>
    <x v="0"/>
    <x v="3"/>
    <x v="1"/>
    <s v="Caucasian"/>
    <n v="64"/>
    <d v="2013-11-03T00:00:00"/>
    <n v="186503"/>
    <n v="0.24"/>
    <x v="0"/>
    <s v="Columbus"/>
    <x v="1"/>
    <n v="44760.72"/>
    <n v="231263.72"/>
    <x v="1"/>
    <n v="12"/>
    <s v="50+"/>
  </r>
  <r>
    <x v="19"/>
    <x v="19"/>
    <x v="2"/>
    <x v="2"/>
    <x v="0"/>
    <x v="1"/>
    <s v="Asian"/>
    <n v="45"/>
    <d v="2002-07-09T00:00:00"/>
    <n v="166331"/>
    <n v="0.18"/>
    <x v="1"/>
    <s v="Chongqing"/>
    <x v="1"/>
    <n v="29939.579999999998"/>
    <n v="196270.58"/>
    <x v="1"/>
    <n v="23"/>
    <s v="41-50"/>
  </r>
  <r>
    <x v="20"/>
    <x v="20"/>
    <x v="0"/>
    <x v="0"/>
    <x v="1"/>
    <x v="1"/>
    <s v="Latino"/>
    <n v="56"/>
    <d v="2012-01-09T00:00:00"/>
    <n v="146140"/>
    <n v="0.1"/>
    <x v="2"/>
    <s v="Manaus"/>
    <x v="1"/>
    <n v="14614"/>
    <n v="160754"/>
    <x v="1"/>
    <n v="14"/>
    <s v="50+"/>
  </r>
  <r>
    <x v="21"/>
    <x v="21"/>
    <x v="2"/>
    <x v="2"/>
    <x v="1"/>
    <x v="0"/>
    <s v="Latino"/>
    <n v="36"/>
    <d v="2021-04-02T00:00:00"/>
    <n v="151703"/>
    <n v="0.21"/>
    <x v="0"/>
    <s v="Miami"/>
    <x v="1"/>
    <n v="31857.629999999997"/>
    <n v="183560.63"/>
    <x v="1"/>
    <n v="4"/>
    <s v="30-40"/>
  </r>
  <r>
    <x v="22"/>
    <x v="22"/>
    <x v="2"/>
    <x v="0"/>
    <x v="0"/>
    <x v="1"/>
    <s v="Latino"/>
    <n v="59"/>
    <d v="2002-05-24T00:00:00"/>
    <n v="172787"/>
    <n v="0.28000000000000003"/>
    <x v="2"/>
    <s v="Rio de Janerio"/>
    <x v="1"/>
    <n v="48380.360000000008"/>
    <n v="221167.36000000002"/>
    <x v="1"/>
    <n v="23"/>
    <s v="50+"/>
  </r>
  <r>
    <x v="23"/>
    <x v="23"/>
    <x v="7"/>
    <x v="2"/>
    <x v="2"/>
    <x v="1"/>
    <s v="Caucasian"/>
    <n v="37"/>
    <d v="2019-09-05T00:00:00"/>
    <n v="49998"/>
    <n v="0"/>
    <x v="0"/>
    <s v="Seattle"/>
    <x v="1"/>
    <n v="0"/>
    <n v="49998"/>
    <x v="1"/>
    <n v="6"/>
    <s v="30-40"/>
  </r>
  <r>
    <x v="24"/>
    <x v="24"/>
    <x v="9"/>
    <x v="2"/>
    <x v="2"/>
    <x v="1"/>
    <s v="Asian"/>
    <n v="44"/>
    <d v="2014-03-02T00:00:00"/>
    <n v="207172"/>
    <n v="0.31"/>
    <x v="1"/>
    <s v="Chongqing"/>
    <x v="1"/>
    <n v="64223.32"/>
    <n v="271395.32"/>
    <x v="1"/>
    <n v="11"/>
    <s v="41-50"/>
  </r>
  <r>
    <x v="25"/>
    <x v="25"/>
    <x v="2"/>
    <x v="4"/>
    <x v="2"/>
    <x v="1"/>
    <s v="Black"/>
    <n v="41"/>
    <d v="2015-04-17T00:00:00"/>
    <n v="152239"/>
    <n v="0.23"/>
    <x v="0"/>
    <s v="Columbus"/>
    <x v="1"/>
    <n v="35014.97"/>
    <n v="187253.97"/>
    <x v="1"/>
    <n v="10"/>
    <s v="41-50"/>
  </r>
  <r>
    <x v="26"/>
    <x v="26"/>
    <x v="10"/>
    <x v="5"/>
    <x v="3"/>
    <x v="0"/>
    <s v="Latino"/>
    <n v="56"/>
    <d v="2005-02-05T00:00:00"/>
    <n v="98581"/>
    <n v="0"/>
    <x v="2"/>
    <s v="Rio de Janerio"/>
    <x v="1"/>
    <n v="0"/>
    <n v="98581"/>
    <x v="1"/>
    <n v="20"/>
    <s v="50+"/>
  </r>
  <r>
    <x v="27"/>
    <x v="27"/>
    <x v="9"/>
    <x v="5"/>
    <x v="2"/>
    <x v="1"/>
    <s v="Asian"/>
    <n v="43"/>
    <d v="2004-06-07T00:00:00"/>
    <n v="246231"/>
    <n v="0.31"/>
    <x v="0"/>
    <s v="Seattle"/>
    <x v="1"/>
    <n v="76331.61"/>
    <n v="322562.61"/>
    <x v="1"/>
    <n v="21"/>
    <s v="41-50"/>
  </r>
  <r>
    <x v="28"/>
    <x v="28"/>
    <x v="11"/>
    <x v="5"/>
    <x v="2"/>
    <x v="1"/>
    <s v="Asian"/>
    <n v="64"/>
    <d v="1996-12-04T00:00:00"/>
    <n v="99354"/>
    <n v="0.12"/>
    <x v="1"/>
    <s v="Beijing"/>
    <x v="1"/>
    <n v="11922.48"/>
    <n v="111276.48"/>
    <x v="1"/>
    <n v="29"/>
    <s v="50+"/>
  </r>
  <r>
    <x v="29"/>
    <x v="29"/>
    <x v="9"/>
    <x v="0"/>
    <x v="3"/>
    <x v="1"/>
    <s v="Asian"/>
    <n v="63"/>
    <d v="2012-05-11T00:00:00"/>
    <n v="231141"/>
    <n v="0.34"/>
    <x v="1"/>
    <s v="Beijing"/>
    <x v="1"/>
    <n v="78587.94"/>
    <n v="309728.94"/>
    <x v="1"/>
    <n v="13"/>
    <s v="50+"/>
  </r>
  <r>
    <x v="30"/>
    <x v="30"/>
    <x v="12"/>
    <x v="0"/>
    <x v="0"/>
    <x v="1"/>
    <s v="Asian"/>
    <n v="28"/>
    <d v="2017-06-25T00:00:00"/>
    <n v="54775"/>
    <n v="0"/>
    <x v="0"/>
    <s v="Columbus"/>
    <x v="1"/>
    <n v="0"/>
    <n v="54775"/>
    <x v="1"/>
    <n v="8"/>
    <s v="Under 30"/>
  </r>
  <r>
    <x v="31"/>
    <x v="31"/>
    <x v="7"/>
    <x v="1"/>
    <x v="1"/>
    <x v="1"/>
    <s v="Latino"/>
    <n v="65"/>
    <d v="2004-05-16T00:00:00"/>
    <n v="55499"/>
    <n v="0"/>
    <x v="2"/>
    <s v="Manaus"/>
    <x v="1"/>
    <n v="0"/>
    <n v="55499"/>
    <x v="1"/>
    <n v="21"/>
    <s v="50+"/>
  </r>
  <r>
    <x v="32"/>
    <x v="32"/>
    <x v="13"/>
    <x v="2"/>
    <x v="0"/>
    <x v="1"/>
    <s v="Caucasian"/>
    <n v="61"/>
    <d v="2008-07-11T00:00:00"/>
    <n v="66521"/>
    <n v="0"/>
    <x v="0"/>
    <s v="Seattle"/>
    <x v="1"/>
    <n v="0"/>
    <n v="66521"/>
    <x v="1"/>
    <n v="17"/>
    <s v="50+"/>
  </r>
  <r>
    <x v="33"/>
    <x v="33"/>
    <x v="5"/>
    <x v="2"/>
    <x v="2"/>
    <x v="1"/>
    <s v="Asian"/>
    <n v="30"/>
    <d v="2016-09-29T00:00:00"/>
    <n v="59100"/>
    <n v="0"/>
    <x v="1"/>
    <s v="Chongqing"/>
    <x v="1"/>
    <n v="0"/>
    <n v="59100"/>
    <x v="1"/>
    <n v="9"/>
    <s v="30-40"/>
  </r>
  <r>
    <x v="34"/>
    <x v="34"/>
    <x v="7"/>
    <x v="1"/>
    <x v="0"/>
    <x v="0"/>
    <s v="Caucasian"/>
    <n v="27"/>
    <d v="2018-05-06T00:00:00"/>
    <n v="49011"/>
    <n v="0"/>
    <x v="0"/>
    <s v="Chicago"/>
    <x v="1"/>
    <n v="0"/>
    <n v="49011"/>
    <x v="1"/>
    <n v="7"/>
    <s v="Under 30"/>
  </r>
  <r>
    <x v="35"/>
    <x v="35"/>
    <x v="14"/>
    <x v="0"/>
    <x v="1"/>
    <x v="0"/>
    <s v="Caucasian"/>
    <n v="32"/>
    <d v="2014-02-11T00:00:00"/>
    <n v="99575"/>
    <n v="0"/>
    <x v="0"/>
    <s v="Austin"/>
    <x v="1"/>
    <n v="0"/>
    <n v="99575"/>
    <x v="1"/>
    <n v="11"/>
    <s v="30-40"/>
  </r>
  <r>
    <x v="36"/>
    <x v="36"/>
    <x v="8"/>
    <x v="5"/>
    <x v="1"/>
    <x v="0"/>
    <s v="Asian"/>
    <n v="34"/>
    <d v="2019-12-16T00:00:00"/>
    <n v="99989"/>
    <n v="0"/>
    <x v="1"/>
    <s v="Chengdu"/>
    <x v="1"/>
    <n v="0"/>
    <n v="99989"/>
    <x v="1"/>
    <n v="6"/>
    <s v="30-40"/>
  </r>
  <r>
    <x v="37"/>
    <x v="37"/>
    <x v="9"/>
    <x v="6"/>
    <x v="0"/>
    <x v="1"/>
    <s v="Caucasian"/>
    <n v="27"/>
    <d v="2019-10-20T00:00:00"/>
    <n v="256420"/>
    <n v="0.3"/>
    <x v="0"/>
    <s v="Phoenix"/>
    <x v="1"/>
    <n v="76926"/>
    <n v="333346"/>
    <x v="1"/>
    <n v="6"/>
    <s v="Under 30"/>
  </r>
  <r>
    <x v="38"/>
    <x v="38"/>
    <x v="1"/>
    <x v="0"/>
    <x v="1"/>
    <x v="0"/>
    <s v="Latino"/>
    <n v="35"/>
    <d v="2013-05-15T00:00:00"/>
    <n v="78940"/>
    <n v="0"/>
    <x v="0"/>
    <s v="Miami"/>
    <x v="1"/>
    <n v="0"/>
    <n v="78940"/>
    <x v="1"/>
    <n v="12"/>
    <s v="30-40"/>
  </r>
  <r>
    <x v="39"/>
    <x v="39"/>
    <x v="14"/>
    <x v="0"/>
    <x v="3"/>
    <x v="0"/>
    <s v="Latino"/>
    <n v="57"/>
    <d v="1994-01-03T00:00:00"/>
    <n v="82872"/>
    <n v="0"/>
    <x v="2"/>
    <s v="Manaus"/>
    <x v="1"/>
    <n v="0"/>
    <n v="82872"/>
    <x v="1"/>
    <n v="32"/>
    <s v="50+"/>
  </r>
  <r>
    <x v="40"/>
    <x v="40"/>
    <x v="15"/>
    <x v="4"/>
    <x v="2"/>
    <x v="1"/>
    <s v="Asian"/>
    <n v="30"/>
    <d v="2017-05-29T00:00:00"/>
    <n v="86317"/>
    <n v="0"/>
    <x v="1"/>
    <s v="Chengdu"/>
    <x v="4"/>
    <n v="0"/>
    <n v="86317"/>
    <x v="0"/>
    <n v="0"/>
    <s v="30-40"/>
  </r>
  <r>
    <x v="41"/>
    <x v="41"/>
    <x v="6"/>
    <x v="6"/>
    <x v="2"/>
    <x v="0"/>
    <s v="Caucasian"/>
    <n v="53"/>
    <d v="2013-11-23T00:00:00"/>
    <n v="113135"/>
    <n v="0.05"/>
    <x v="0"/>
    <s v="Austin"/>
    <x v="1"/>
    <n v="5656.75"/>
    <n v="118791.75"/>
    <x v="1"/>
    <n v="12"/>
    <s v="50+"/>
  </r>
  <r>
    <x v="42"/>
    <x v="42"/>
    <x v="9"/>
    <x v="0"/>
    <x v="2"/>
    <x v="1"/>
    <s v="Caucasian"/>
    <n v="52"/>
    <d v="2005-11-08T00:00:00"/>
    <n v="199808"/>
    <n v="0.32"/>
    <x v="0"/>
    <s v="Seattle"/>
    <x v="1"/>
    <n v="63938.560000000005"/>
    <n v="263746.56"/>
    <x v="1"/>
    <n v="20"/>
    <s v="50+"/>
  </r>
  <r>
    <x v="43"/>
    <x v="43"/>
    <x v="5"/>
    <x v="2"/>
    <x v="2"/>
    <x v="1"/>
    <s v="Asian"/>
    <n v="37"/>
    <d v="2013-11-14T00:00:00"/>
    <n v="56037"/>
    <n v="0"/>
    <x v="1"/>
    <s v="Shanghai"/>
    <x v="1"/>
    <n v="0"/>
    <n v="56037"/>
    <x v="1"/>
    <n v="12"/>
    <s v="30-40"/>
  </r>
  <r>
    <x v="44"/>
    <x v="44"/>
    <x v="0"/>
    <x v="6"/>
    <x v="0"/>
    <x v="0"/>
    <s v="Caucasian"/>
    <n v="29"/>
    <d v="2019-05-24T00:00:00"/>
    <n v="122350"/>
    <n v="0.12"/>
    <x v="0"/>
    <s v="Phoenix"/>
    <x v="1"/>
    <n v="14682"/>
    <n v="137032"/>
    <x v="1"/>
    <n v="6"/>
    <s v="Under 30"/>
  </r>
  <r>
    <x v="45"/>
    <x v="45"/>
    <x v="14"/>
    <x v="0"/>
    <x v="0"/>
    <x v="1"/>
    <s v="Caucasian"/>
    <n v="40"/>
    <d v="2010-11-04T00:00:00"/>
    <n v="92952"/>
    <n v="0"/>
    <x v="0"/>
    <s v="Seattle"/>
    <x v="1"/>
    <n v="0"/>
    <n v="92952"/>
    <x v="1"/>
    <n v="15"/>
    <s v="30-40"/>
  </r>
  <r>
    <x v="46"/>
    <x v="46"/>
    <x v="3"/>
    <x v="0"/>
    <x v="3"/>
    <x v="1"/>
    <s v="Latino"/>
    <n v="32"/>
    <d v="2013-03-20T00:00:00"/>
    <n v="79921"/>
    <n v="0.05"/>
    <x v="0"/>
    <s v="Austin"/>
    <x v="1"/>
    <n v="3996.05"/>
    <n v="83917.05"/>
    <x v="1"/>
    <n v="12"/>
    <s v="30-40"/>
  </r>
  <r>
    <x v="47"/>
    <x v="47"/>
    <x v="2"/>
    <x v="0"/>
    <x v="0"/>
    <x v="0"/>
    <s v="Black"/>
    <n v="37"/>
    <d v="2009-09-20T00:00:00"/>
    <n v="167199"/>
    <n v="0.2"/>
    <x v="0"/>
    <s v="Seattle"/>
    <x v="1"/>
    <n v="33439.800000000003"/>
    <n v="200638.8"/>
    <x v="1"/>
    <n v="16"/>
    <s v="30-40"/>
  </r>
  <r>
    <x v="48"/>
    <x v="48"/>
    <x v="10"/>
    <x v="5"/>
    <x v="0"/>
    <x v="1"/>
    <s v="Caucasian"/>
    <n v="52"/>
    <d v="2012-10-17T00:00:00"/>
    <n v="71476"/>
    <n v="0"/>
    <x v="0"/>
    <s v="Phoenix"/>
    <x v="1"/>
    <n v="0"/>
    <n v="71476"/>
    <x v="1"/>
    <n v="13"/>
    <s v="50+"/>
  </r>
  <r>
    <x v="49"/>
    <x v="49"/>
    <x v="2"/>
    <x v="5"/>
    <x v="1"/>
    <x v="0"/>
    <s v="Caucasian"/>
    <n v="45"/>
    <d v="2014-10-29T00:00:00"/>
    <n v="189420"/>
    <n v="0.2"/>
    <x v="0"/>
    <s v="Seattle"/>
    <x v="1"/>
    <n v="37884"/>
    <n v="227304"/>
    <x v="1"/>
    <n v="11"/>
    <s v="41-50"/>
  </r>
  <r>
    <x v="50"/>
    <x v="50"/>
    <x v="16"/>
    <x v="4"/>
    <x v="0"/>
    <x v="0"/>
    <s v="Caucasian"/>
    <n v="64"/>
    <d v="2001-10-20T00:00:00"/>
    <n v="64057"/>
    <n v="0"/>
    <x v="0"/>
    <s v="Phoenix"/>
    <x v="1"/>
    <n v="0"/>
    <n v="64057"/>
    <x v="1"/>
    <n v="24"/>
    <s v="50+"/>
  </r>
  <r>
    <x v="51"/>
    <x v="51"/>
    <x v="13"/>
    <x v="6"/>
    <x v="1"/>
    <x v="0"/>
    <s v="Black"/>
    <n v="27"/>
    <d v="2021-09-21T00:00:00"/>
    <n v="68728"/>
    <n v="0"/>
    <x v="0"/>
    <s v="Phoenix"/>
    <x v="1"/>
    <n v="0"/>
    <n v="68728"/>
    <x v="1"/>
    <n v="4"/>
    <s v="Under 30"/>
  </r>
  <r>
    <x v="52"/>
    <x v="52"/>
    <x v="0"/>
    <x v="0"/>
    <x v="1"/>
    <x v="0"/>
    <s v="Asian"/>
    <n v="25"/>
    <d v="2021-07-02T00:00:00"/>
    <n v="125633"/>
    <n v="0.11"/>
    <x v="1"/>
    <s v="Beijing"/>
    <x v="1"/>
    <n v="13819.63"/>
    <n v="139452.63"/>
    <x v="1"/>
    <n v="4"/>
    <s v="Under 30"/>
  </r>
  <r>
    <x v="53"/>
    <x v="53"/>
    <x v="13"/>
    <x v="6"/>
    <x v="1"/>
    <x v="1"/>
    <s v="Latino"/>
    <n v="35"/>
    <d v="2011-05-15T00:00:00"/>
    <n v="66889"/>
    <n v="0"/>
    <x v="0"/>
    <s v="Columbus"/>
    <x v="1"/>
    <n v="0"/>
    <n v="66889"/>
    <x v="1"/>
    <n v="14"/>
    <s v="30-40"/>
  </r>
  <r>
    <x v="54"/>
    <x v="54"/>
    <x v="2"/>
    <x v="3"/>
    <x v="0"/>
    <x v="0"/>
    <s v="Asian"/>
    <n v="36"/>
    <d v="2015-09-29T00:00:00"/>
    <n v="178700"/>
    <n v="0.28999999999999998"/>
    <x v="0"/>
    <s v="Seattle"/>
    <x v="1"/>
    <n v="51823"/>
    <n v="230523"/>
    <x v="1"/>
    <n v="10"/>
    <s v="30-40"/>
  </r>
  <r>
    <x v="55"/>
    <x v="55"/>
    <x v="17"/>
    <x v="5"/>
    <x v="0"/>
    <x v="0"/>
    <s v="Caucasian"/>
    <n v="33"/>
    <d v="2018-12-22T00:00:00"/>
    <n v="83990"/>
    <n v="0"/>
    <x v="0"/>
    <s v="Chicago"/>
    <x v="1"/>
    <n v="0"/>
    <n v="83990"/>
    <x v="1"/>
    <n v="7"/>
    <s v="30-40"/>
  </r>
  <r>
    <x v="56"/>
    <x v="56"/>
    <x v="18"/>
    <x v="5"/>
    <x v="3"/>
    <x v="0"/>
    <s v="Caucasian"/>
    <n v="52"/>
    <d v="2005-12-10T00:00:00"/>
    <n v="102043"/>
    <n v="0"/>
    <x v="0"/>
    <s v="Chicago"/>
    <x v="1"/>
    <n v="0"/>
    <n v="102043"/>
    <x v="1"/>
    <n v="20"/>
    <s v="50+"/>
  </r>
  <r>
    <x v="57"/>
    <x v="57"/>
    <x v="19"/>
    <x v="5"/>
    <x v="1"/>
    <x v="0"/>
    <s v="Asian"/>
    <n v="46"/>
    <d v="2001-05-30T00:00:00"/>
    <n v="90678"/>
    <n v="0"/>
    <x v="0"/>
    <s v="Columbus"/>
    <x v="1"/>
    <n v="0"/>
    <n v="90678"/>
    <x v="1"/>
    <n v="24"/>
    <s v="41-50"/>
  </r>
  <r>
    <x v="58"/>
    <x v="58"/>
    <x v="20"/>
    <x v="4"/>
    <x v="1"/>
    <x v="0"/>
    <s v="Black"/>
    <n v="46"/>
    <d v="2008-08-21T00:00:00"/>
    <n v="59067"/>
    <n v="0"/>
    <x v="0"/>
    <s v="Miami"/>
    <x v="1"/>
    <n v="0"/>
    <n v="59067"/>
    <x v="1"/>
    <n v="17"/>
    <s v="41-50"/>
  </r>
  <r>
    <x v="59"/>
    <x v="59"/>
    <x v="0"/>
    <x v="6"/>
    <x v="0"/>
    <x v="1"/>
    <s v="Asian"/>
    <n v="45"/>
    <d v="2021-03-11T00:00:00"/>
    <n v="135062"/>
    <n v="0.15"/>
    <x v="1"/>
    <s v="Chengdu"/>
    <x v="1"/>
    <n v="20259.3"/>
    <n v="155321.29999999999"/>
    <x v="1"/>
    <n v="4"/>
    <s v="41-50"/>
  </r>
  <r>
    <x v="60"/>
    <x v="60"/>
    <x v="0"/>
    <x v="0"/>
    <x v="3"/>
    <x v="0"/>
    <s v="Latino"/>
    <n v="55"/>
    <d v="2006-08-16T00:00:00"/>
    <n v="159044"/>
    <n v="0.1"/>
    <x v="2"/>
    <s v="Manaus"/>
    <x v="1"/>
    <n v="15904.400000000001"/>
    <n v="174948.4"/>
    <x v="1"/>
    <n v="19"/>
    <s v="50+"/>
  </r>
  <r>
    <x v="61"/>
    <x v="61"/>
    <x v="4"/>
    <x v="3"/>
    <x v="1"/>
    <x v="0"/>
    <s v="Latino"/>
    <n v="44"/>
    <d v="2019-01-02T00:00:00"/>
    <n v="74691"/>
    <n v="0"/>
    <x v="2"/>
    <s v="Manaus"/>
    <x v="5"/>
    <n v="0"/>
    <n v="74691"/>
    <x v="0"/>
    <n v="1"/>
    <s v="41-50"/>
  </r>
  <r>
    <x v="62"/>
    <x v="62"/>
    <x v="11"/>
    <x v="5"/>
    <x v="3"/>
    <x v="0"/>
    <s v="Latino"/>
    <n v="44"/>
    <d v="2008-12-18T00:00:00"/>
    <n v="92753"/>
    <n v="0.13"/>
    <x v="0"/>
    <s v="Austin"/>
    <x v="6"/>
    <n v="12057.890000000001"/>
    <n v="104810.89"/>
    <x v="0"/>
    <n v="12"/>
    <s v="41-50"/>
  </r>
  <r>
    <x v="63"/>
    <x v="63"/>
    <x v="9"/>
    <x v="4"/>
    <x v="2"/>
    <x v="1"/>
    <s v="Black"/>
    <n v="45"/>
    <d v="2013-08-07T00:00:00"/>
    <n v="236946"/>
    <n v="0.37"/>
    <x v="0"/>
    <s v="Seattle"/>
    <x v="1"/>
    <n v="87670.02"/>
    <n v="324616.02"/>
    <x v="1"/>
    <n v="12"/>
    <s v="41-50"/>
  </r>
  <r>
    <x v="64"/>
    <x v="64"/>
    <x v="7"/>
    <x v="1"/>
    <x v="3"/>
    <x v="0"/>
    <s v="Black"/>
    <n v="36"/>
    <d v="2021-08-27T00:00:00"/>
    <n v="48906"/>
    <n v="0"/>
    <x v="0"/>
    <s v="Miami"/>
    <x v="1"/>
    <n v="0"/>
    <n v="48906"/>
    <x v="1"/>
    <n v="4"/>
    <s v="30-40"/>
  </r>
  <r>
    <x v="65"/>
    <x v="65"/>
    <x v="4"/>
    <x v="2"/>
    <x v="3"/>
    <x v="0"/>
    <s v="Caucasian"/>
    <n v="38"/>
    <d v="2008-01-27T00:00:00"/>
    <n v="80024"/>
    <n v="0"/>
    <x v="0"/>
    <s v="Columbus"/>
    <x v="1"/>
    <n v="0"/>
    <n v="80024"/>
    <x v="1"/>
    <n v="18"/>
    <s v="30-40"/>
  </r>
  <r>
    <x v="66"/>
    <x v="66"/>
    <x v="16"/>
    <x v="4"/>
    <x v="2"/>
    <x v="0"/>
    <s v="Caucasian"/>
    <n v="41"/>
    <d v="2009-10-23T00:00:00"/>
    <n v="54415"/>
    <n v="0"/>
    <x v="0"/>
    <s v="Seattle"/>
    <x v="7"/>
    <n v="0"/>
    <n v="54415"/>
    <x v="0"/>
    <n v="4"/>
    <s v="41-50"/>
  </r>
  <r>
    <x v="67"/>
    <x v="67"/>
    <x v="6"/>
    <x v="6"/>
    <x v="0"/>
    <x v="0"/>
    <s v="Asian"/>
    <n v="30"/>
    <d v="2016-04-24T00:00:00"/>
    <n v="120341"/>
    <n v="7.0000000000000007E-2"/>
    <x v="0"/>
    <s v="Seattle"/>
    <x v="1"/>
    <n v="8423.8700000000008"/>
    <n v="128764.87"/>
    <x v="1"/>
    <n v="9"/>
    <s v="30-40"/>
  </r>
  <r>
    <x v="68"/>
    <x v="68"/>
    <x v="9"/>
    <x v="0"/>
    <x v="2"/>
    <x v="0"/>
    <s v="Latino"/>
    <n v="43"/>
    <d v="2009-08-04T00:00:00"/>
    <n v="208415"/>
    <n v="0.35"/>
    <x v="0"/>
    <s v="Seattle"/>
    <x v="1"/>
    <n v="72945.25"/>
    <n v="281360.25"/>
    <x v="1"/>
    <n v="16"/>
    <s v="41-50"/>
  </r>
  <r>
    <x v="69"/>
    <x v="69"/>
    <x v="21"/>
    <x v="0"/>
    <x v="2"/>
    <x v="0"/>
    <s v="Asian"/>
    <n v="32"/>
    <d v="2020-01-05T00:00:00"/>
    <n v="78844"/>
    <n v="0"/>
    <x v="0"/>
    <s v="Seattle"/>
    <x v="1"/>
    <n v="0"/>
    <n v="78844"/>
    <x v="1"/>
    <n v="6"/>
    <s v="30-40"/>
  </r>
  <r>
    <x v="70"/>
    <x v="70"/>
    <x v="17"/>
    <x v="5"/>
    <x v="1"/>
    <x v="1"/>
    <s v="Caucasian"/>
    <n v="58"/>
    <d v="2002-05-23T00:00:00"/>
    <n v="76354"/>
    <n v="0"/>
    <x v="0"/>
    <s v="Phoenix"/>
    <x v="8"/>
    <n v="0"/>
    <n v="76354"/>
    <x v="0"/>
    <n v="19"/>
    <s v="50+"/>
  </r>
  <r>
    <x v="71"/>
    <x v="71"/>
    <x v="2"/>
    <x v="1"/>
    <x v="2"/>
    <x v="0"/>
    <s v="Latino"/>
    <n v="37"/>
    <d v="2019-01-28T00:00:00"/>
    <n v="165927"/>
    <n v="0.2"/>
    <x v="0"/>
    <s v="Phoenix"/>
    <x v="1"/>
    <n v="33185.4"/>
    <n v="199112.4"/>
    <x v="1"/>
    <n v="7"/>
    <s v="30-40"/>
  </r>
  <r>
    <x v="72"/>
    <x v="72"/>
    <x v="6"/>
    <x v="3"/>
    <x v="2"/>
    <x v="0"/>
    <s v="Latino"/>
    <n v="38"/>
    <d v="2021-11-16T00:00:00"/>
    <n v="109812"/>
    <n v="0.09"/>
    <x v="2"/>
    <s v="Manaus"/>
    <x v="1"/>
    <n v="9883.08"/>
    <n v="119695.08"/>
    <x v="1"/>
    <n v="4"/>
    <s v="30-40"/>
  </r>
  <r>
    <x v="73"/>
    <x v="73"/>
    <x v="8"/>
    <x v="5"/>
    <x v="3"/>
    <x v="1"/>
    <s v="Asian"/>
    <n v="55"/>
    <d v="1998-09-03T00:00:00"/>
    <n v="86299"/>
    <n v="0"/>
    <x v="0"/>
    <s v="Seattle"/>
    <x v="1"/>
    <n v="0"/>
    <n v="86299"/>
    <x v="1"/>
    <n v="27"/>
    <s v="50+"/>
  </r>
  <r>
    <x v="74"/>
    <x v="74"/>
    <x v="9"/>
    <x v="6"/>
    <x v="0"/>
    <x v="1"/>
    <s v="Latino"/>
    <n v="57"/>
    <d v="2003-07-26T00:00:00"/>
    <n v="206624"/>
    <n v="0.4"/>
    <x v="2"/>
    <s v="Sao Paulo"/>
    <x v="1"/>
    <n v="82649.600000000006"/>
    <n v="289273.59999999998"/>
    <x v="1"/>
    <n v="22"/>
    <s v="50+"/>
  </r>
  <r>
    <x v="75"/>
    <x v="75"/>
    <x v="12"/>
    <x v="0"/>
    <x v="1"/>
    <x v="1"/>
    <s v="Latino"/>
    <n v="36"/>
    <d v="2010-12-23T00:00:00"/>
    <n v="53215"/>
    <n v="0"/>
    <x v="2"/>
    <s v="Sao Paulo"/>
    <x v="9"/>
    <n v="0"/>
    <n v="53215"/>
    <x v="0"/>
    <n v="3"/>
    <s v="30-40"/>
  </r>
  <r>
    <x v="76"/>
    <x v="76"/>
    <x v="22"/>
    <x v="5"/>
    <x v="0"/>
    <x v="0"/>
    <s v="Asian"/>
    <n v="30"/>
    <d v="2017-05-22T00:00:00"/>
    <n v="86858"/>
    <n v="0"/>
    <x v="1"/>
    <s v="Chongqing"/>
    <x v="10"/>
    <n v="0"/>
    <n v="86858"/>
    <x v="0"/>
    <n v="0"/>
    <s v="30-40"/>
  </r>
  <r>
    <x v="77"/>
    <x v="77"/>
    <x v="3"/>
    <x v="0"/>
    <x v="1"/>
    <x v="1"/>
    <s v="Asian"/>
    <n v="40"/>
    <d v="2007-07-02T00:00:00"/>
    <n v="93971"/>
    <n v="0.08"/>
    <x v="1"/>
    <s v="Chongqing"/>
    <x v="1"/>
    <n v="7517.68"/>
    <n v="101488.68"/>
    <x v="1"/>
    <n v="18"/>
    <s v="30-40"/>
  </r>
  <r>
    <x v="78"/>
    <x v="78"/>
    <x v="13"/>
    <x v="1"/>
    <x v="3"/>
    <x v="1"/>
    <s v="Latino"/>
    <n v="34"/>
    <d v="2015-06-27T00:00:00"/>
    <n v="57008"/>
    <n v="0"/>
    <x v="0"/>
    <s v="Phoenix"/>
    <x v="1"/>
    <n v="0"/>
    <n v="57008"/>
    <x v="1"/>
    <n v="10"/>
    <s v="30-40"/>
  </r>
  <r>
    <x v="79"/>
    <x v="79"/>
    <x v="0"/>
    <x v="1"/>
    <x v="1"/>
    <x v="1"/>
    <s v="Latino"/>
    <n v="60"/>
    <d v="2015-09-23T00:00:00"/>
    <n v="141899"/>
    <n v="0.15"/>
    <x v="0"/>
    <s v="Phoenix"/>
    <x v="1"/>
    <n v="21284.85"/>
    <n v="163183.85"/>
    <x v="1"/>
    <n v="10"/>
    <s v="50+"/>
  </r>
  <r>
    <x v="80"/>
    <x v="80"/>
    <x v="13"/>
    <x v="6"/>
    <x v="3"/>
    <x v="1"/>
    <s v="Black"/>
    <n v="41"/>
    <d v="2016-09-13T00:00:00"/>
    <n v="64847"/>
    <n v="0"/>
    <x v="0"/>
    <s v="Miami"/>
    <x v="1"/>
    <n v="0"/>
    <n v="64847"/>
    <x v="1"/>
    <n v="9"/>
    <s v="41-50"/>
  </r>
  <r>
    <x v="81"/>
    <x v="81"/>
    <x v="11"/>
    <x v="5"/>
    <x v="0"/>
    <x v="1"/>
    <s v="Caucasian"/>
    <n v="53"/>
    <d v="1992-04-08T00:00:00"/>
    <n v="116878"/>
    <n v="0.11"/>
    <x v="0"/>
    <s v="Miami"/>
    <x v="1"/>
    <n v="12856.58"/>
    <n v="129734.58"/>
    <x v="1"/>
    <n v="33"/>
    <s v="50+"/>
  </r>
  <r>
    <x v="82"/>
    <x v="82"/>
    <x v="10"/>
    <x v="5"/>
    <x v="2"/>
    <x v="1"/>
    <s v="Black"/>
    <n v="45"/>
    <d v="2005-02-05T00:00:00"/>
    <n v="70505"/>
    <n v="0"/>
    <x v="0"/>
    <s v="Austin"/>
    <x v="1"/>
    <n v="0"/>
    <n v="70505"/>
    <x v="1"/>
    <n v="20"/>
    <s v="41-50"/>
  </r>
  <r>
    <x v="83"/>
    <x v="83"/>
    <x v="2"/>
    <x v="5"/>
    <x v="0"/>
    <x v="0"/>
    <s v="Latino"/>
    <n v="30"/>
    <d v="2016-05-22T00:00:00"/>
    <n v="189702"/>
    <n v="0.28000000000000003"/>
    <x v="2"/>
    <s v="Manaus"/>
    <x v="11"/>
    <n v="53116.560000000005"/>
    <n v="242818.56"/>
    <x v="0"/>
    <n v="4"/>
    <s v="30-40"/>
  </r>
  <r>
    <x v="84"/>
    <x v="84"/>
    <x v="2"/>
    <x v="3"/>
    <x v="2"/>
    <x v="1"/>
    <s v="Caucasian"/>
    <n v="26"/>
    <d v="2020-07-28T00:00:00"/>
    <n v="180664"/>
    <n v="0.27"/>
    <x v="0"/>
    <s v="Chicago"/>
    <x v="1"/>
    <n v="48779.280000000006"/>
    <n v="229443.28"/>
    <x v="1"/>
    <n v="5"/>
    <s v="Under 30"/>
  </r>
  <r>
    <x v="85"/>
    <x v="85"/>
    <x v="20"/>
    <x v="4"/>
    <x v="1"/>
    <x v="0"/>
    <s v="Asian"/>
    <n v="45"/>
    <d v="2003-12-17T00:00:00"/>
    <n v="48345"/>
    <n v="0"/>
    <x v="1"/>
    <s v="Chengdu"/>
    <x v="1"/>
    <n v="0"/>
    <n v="48345"/>
    <x v="1"/>
    <n v="22"/>
    <s v="41-50"/>
  </r>
  <r>
    <x v="86"/>
    <x v="86"/>
    <x v="2"/>
    <x v="4"/>
    <x v="1"/>
    <x v="1"/>
    <s v="Asian"/>
    <n v="42"/>
    <d v="2014-01-16T00:00:00"/>
    <n v="152214"/>
    <n v="0.3"/>
    <x v="1"/>
    <s v="Beijing"/>
    <x v="1"/>
    <n v="45664.2"/>
    <n v="197878.2"/>
    <x v="1"/>
    <n v="12"/>
    <s v="41-50"/>
  </r>
  <r>
    <x v="87"/>
    <x v="87"/>
    <x v="21"/>
    <x v="0"/>
    <x v="3"/>
    <x v="0"/>
    <s v="Latino"/>
    <n v="41"/>
    <d v="2009-04-28T00:00:00"/>
    <n v="69803"/>
    <n v="0"/>
    <x v="2"/>
    <s v="Manaus"/>
    <x v="1"/>
    <n v="0"/>
    <n v="69803"/>
    <x v="1"/>
    <n v="16"/>
    <s v="41-50"/>
  </r>
  <r>
    <x v="88"/>
    <x v="88"/>
    <x v="23"/>
    <x v="0"/>
    <x v="3"/>
    <x v="0"/>
    <s v="Latino"/>
    <n v="48"/>
    <d v="2019-07-04T00:00:00"/>
    <n v="76588"/>
    <n v="0"/>
    <x v="2"/>
    <s v="Rio de Janerio"/>
    <x v="1"/>
    <n v="0"/>
    <n v="76588"/>
    <x v="1"/>
    <n v="6"/>
    <s v="41-50"/>
  </r>
  <r>
    <x v="89"/>
    <x v="89"/>
    <x v="24"/>
    <x v="0"/>
    <x v="1"/>
    <x v="1"/>
    <s v="Caucasian"/>
    <n v="29"/>
    <d v="2018-12-10T00:00:00"/>
    <n v="84596"/>
    <n v="0"/>
    <x v="0"/>
    <s v="Miami"/>
    <x v="1"/>
    <n v="0"/>
    <n v="84596"/>
    <x v="1"/>
    <n v="7"/>
    <s v="Under 30"/>
  </r>
  <r>
    <x v="90"/>
    <x v="90"/>
    <x v="6"/>
    <x v="6"/>
    <x v="0"/>
    <x v="1"/>
    <s v="Asian"/>
    <n v="27"/>
    <d v="2018-09-25T00:00:00"/>
    <n v="114441"/>
    <n v="0.1"/>
    <x v="1"/>
    <s v="Chongqing"/>
    <x v="12"/>
    <n v="11444.1"/>
    <n v="125885.1"/>
    <x v="0"/>
    <n v="1"/>
    <s v="Under 30"/>
  </r>
  <r>
    <x v="91"/>
    <x v="91"/>
    <x v="0"/>
    <x v="1"/>
    <x v="2"/>
    <x v="0"/>
    <s v="Asian"/>
    <n v="33"/>
    <d v="2018-04-21T00:00:00"/>
    <n v="140402"/>
    <n v="0.15"/>
    <x v="1"/>
    <s v="Beijing"/>
    <x v="1"/>
    <n v="21060.3"/>
    <n v="161462.29999999999"/>
    <x v="1"/>
    <n v="7"/>
    <s v="30-40"/>
  </r>
  <r>
    <x v="92"/>
    <x v="92"/>
    <x v="13"/>
    <x v="1"/>
    <x v="3"/>
    <x v="0"/>
    <s v="Latino"/>
    <n v="26"/>
    <d v="2019-04-23T00:00:00"/>
    <n v="59817"/>
    <n v="0"/>
    <x v="2"/>
    <s v="Sao Paulo"/>
    <x v="1"/>
    <n v="0"/>
    <n v="59817"/>
    <x v="1"/>
    <n v="6"/>
    <s v="Under 30"/>
  </r>
  <r>
    <x v="93"/>
    <x v="93"/>
    <x v="5"/>
    <x v="2"/>
    <x v="1"/>
    <x v="1"/>
    <s v="Asian"/>
    <n v="31"/>
    <d v="2017-07-22T00:00:00"/>
    <n v="55854"/>
    <n v="0"/>
    <x v="0"/>
    <s v="Austin"/>
    <x v="1"/>
    <n v="0"/>
    <n v="55854"/>
    <x v="1"/>
    <n v="8"/>
    <s v="30-40"/>
  </r>
  <r>
    <x v="94"/>
    <x v="94"/>
    <x v="15"/>
    <x v="4"/>
    <x v="0"/>
    <x v="1"/>
    <s v="Asian"/>
    <n v="53"/>
    <d v="2002-11-16T00:00:00"/>
    <n v="95998"/>
    <n v="0"/>
    <x v="0"/>
    <s v="Seattle"/>
    <x v="1"/>
    <n v="0"/>
    <n v="95998"/>
    <x v="1"/>
    <n v="23"/>
    <s v="50+"/>
  </r>
  <r>
    <x v="95"/>
    <x v="95"/>
    <x v="0"/>
    <x v="2"/>
    <x v="1"/>
    <x v="0"/>
    <s v="Asian"/>
    <n v="34"/>
    <d v="2015-04-22T00:00:00"/>
    <n v="154941"/>
    <n v="0.13"/>
    <x v="0"/>
    <s v="Phoenix"/>
    <x v="1"/>
    <n v="20142.330000000002"/>
    <n v="175083.33000000002"/>
    <x v="1"/>
    <n v="10"/>
    <s v="30-40"/>
  </r>
  <r>
    <x v="96"/>
    <x v="54"/>
    <x v="9"/>
    <x v="1"/>
    <x v="2"/>
    <x v="0"/>
    <s v="Asian"/>
    <n v="54"/>
    <d v="2011-07-10T00:00:00"/>
    <n v="247022"/>
    <n v="0.3"/>
    <x v="1"/>
    <s v="Beijing"/>
    <x v="1"/>
    <n v="74106.599999999991"/>
    <n v="321128.59999999998"/>
    <x v="1"/>
    <n v="14"/>
    <s v="50+"/>
  </r>
  <r>
    <x v="97"/>
    <x v="96"/>
    <x v="23"/>
    <x v="0"/>
    <x v="1"/>
    <x v="0"/>
    <s v="Latino"/>
    <n v="32"/>
    <d v="2021-10-05T00:00:00"/>
    <n v="88072"/>
    <n v="0"/>
    <x v="2"/>
    <s v="Sao Paulo"/>
    <x v="1"/>
    <n v="0"/>
    <n v="88072"/>
    <x v="1"/>
    <n v="4"/>
    <s v="30-40"/>
  </r>
  <r>
    <x v="98"/>
    <x v="97"/>
    <x v="3"/>
    <x v="0"/>
    <x v="0"/>
    <x v="1"/>
    <s v="Asian"/>
    <n v="28"/>
    <d v="2020-05-26T00:00:00"/>
    <n v="67925"/>
    <n v="0.08"/>
    <x v="1"/>
    <s v="Shanghai"/>
    <x v="1"/>
    <n v="5434"/>
    <n v="73359"/>
    <x v="1"/>
    <n v="5"/>
    <s v="Under 30"/>
  </r>
  <r>
    <x v="99"/>
    <x v="98"/>
    <x v="9"/>
    <x v="2"/>
    <x v="1"/>
    <x v="0"/>
    <s v="Caucasian"/>
    <n v="31"/>
    <d v="2020-08-20T00:00:00"/>
    <n v="219693"/>
    <n v="0.3"/>
    <x v="0"/>
    <s v="Austin"/>
    <x v="1"/>
    <n v="65907.899999999994"/>
    <n v="285600.90000000002"/>
    <x v="1"/>
    <n v="5"/>
    <s v="30-40"/>
  </r>
  <r>
    <x v="100"/>
    <x v="99"/>
    <x v="22"/>
    <x v="5"/>
    <x v="0"/>
    <x v="0"/>
    <s v="Caucasian"/>
    <n v="45"/>
    <d v="2013-04-22T00:00:00"/>
    <n v="61773"/>
    <n v="0"/>
    <x v="0"/>
    <s v="Seattle"/>
    <x v="1"/>
    <n v="0"/>
    <n v="61773"/>
    <x v="1"/>
    <n v="12"/>
    <s v="41-50"/>
  </r>
  <r>
    <x v="101"/>
    <x v="100"/>
    <x v="3"/>
    <x v="0"/>
    <x v="2"/>
    <x v="0"/>
    <s v="Asian"/>
    <n v="48"/>
    <d v="2007-01-09T00:00:00"/>
    <n v="74546"/>
    <n v="0.09"/>
    <x v="0"/>
    <s v="Seattle"/>
    <x v="1"/>
    <n v="6709.1399999999994"/>
    <n v="81255.14"/>
    <x v="1"/>
    <n v="19"/>
    <s v="41-50"/>
  </r>
  <r>
    <x v="102"/>
    <x v="101"/>
    <x v="25"/>
    <x v="5"/>
    <x v="2"/>
    <x v="1"/>
    <s v="Black"/>
    <n v="56"/>
    <d v="2015-01-27T00:00:00"/>
    <n v="62575"/>
    <n v="0"/>
    <x v="0"/>
    <s v="Miami"/>
    <x v="1"/>
    <n v="0"/>
    <n v="62575"/>
    <x v="1"/>
    <n v="11"/>
    <s v="50+"/>
  </r>
  <r>
    <x v="103"/>
    <x v="102"/>
    <x v="2"/>
    <x v="4"/>
    <x v="3"/>
    <x v="0"/>
    <s v="Asian"/>
    <n v="27"/>
    <d v="2021-02-23T00:00:00"/>
    <n v="199041"/>
    <n v="0.16"/>
    <x v="1"/>
    <s v="Beijing"/>
    <x v="1"/>
    <n v="31846.560000000001"/>
    <n v="230887.56"/>
    <x v="1"/>
    <n v="4"/>
    <s v="Under 30"/>
  </r>
  <r>
    <x v="104"/>
    <x v="103"/>
    <x v="13"/>
    <x v="3"/>
    <x v="2"/>
    <x v="1"/>
    <s v="Caucasian"/>
    <n v="55"/>
    <d v="2007-04-05T00:00:00"/>
    <n v="52310"/>
    <n v="0"/>
    <x v="0"/>
    <s v="Miami"/>
    <x v="13"/>
    <n v="0"/>
    <n v="52310"/>
    <x v="0"/>
    <n v="11"/>
    <s v="50+"/>
  </r>
  <r>
    <x v="105"/>
    <x v="104"/>
    <x v="0"/>
    <x v="1"/>
    <x v="2"/>
    <x v="1"/>
    <s v="Black"/>
    <n v="64"/>
    <d v="2013-06-29T00:00:00"/>
    <n v="159571"/>
    <n v="0.1"/>
    <x v="0"/>
    <s v="Columbus"/>
    <x v="1"/>
    <n v="15957.1"/>
    <n v="175528.1"/>
    <x v="1"/>
    <n v="12"/>
    <s v="50+"/>
  </r>
  <r>
    <x v="106"/>
    <x v="105"/>
    <x v="17"/>
    <x v="5"/>
    <x v="0"/>
    <x v="0"/>
    <s v="Latino"/>
    <n v="50"/>
    <d v="1997-10-23T00:00:00"/>
    <n v="91763"/>
    <n v="0"/>
    <x v="0"/>
    <s v="Austin"/>
    <x v="1"/>
    <n v="0"/>
    <n v="91763"/>
    <x v="1"/>
    <n v="28"/>
    <s v="50+"/>
  </r>
  <r>
    <x v="107"/>
    <x v="106"/>
    <x v="25"/>
    <x v="5"/>
    <x v="3"/>
    <x v="0"/>
    <s v="Caucasian"/>
    <n v="51"/>
    <d v="1995-12-22T00:00:00"/>
    <n v="96475"/>
    <n v="0"/>
    <x v="0"/>
    <s v="Austin"/>
    <x v="1"/>
    <n v="0"/>
    <n v="96475"/>
    <x v="1"/>
    <n v="30"/>
    <s v="50+"/>
  </r>
  <r>
    <x v="108"/>
    <x v="107"/>
    <x v="8"/>
    <x v="5"/>
    <x v="1"/>
    <x v="1"/>
    <s v="Caucasian"/>
    <n v="36"/>
    <d v="2016-12-02T00:00:00"/>
    <n v="113781"/>
    <n v="0"/>
    <x v="0"/>
    <s v="Columbus"/>
    <x v="1"/>
    <n v="0"/>
    <n v="113781"/>
    <x v="1"/>
    <n v="9"/>
    <s v="30-40"/>
  </r>
  <r>
    <x v="109"/>
    <x v="108"/>
    <x v="2"/>
    <x v="1"/>
    <x v="0"/>
    <x v="1"/>
    <s v="Asian"/>
    <n v="42"/>
    <d v="2003-01-15T00:00:00"/>
    <n v="166599"/>
    <n v="0.26"/>
    <x v="0"/>
    <s v="Seattle"/>
    <x v="1"/>
    <n v="43315.74"/>
    <n v="209914.74"/>
    <x v="1"/>
    <n v="23"/>
    <s v="41-50"/>
  </r>
  <r>
    <x v="110"/>
    <x v="109"/>
    <x v="26"/>
    <x v="2"/>
    <x v="3"/>
    <x v="0"/>
    <s v="Asian"/>
    <n v="41"/>
    <d v="2005-02-15T00:00:00"/>
    <n v="95372"/>
    <n v="0"/>
    <x v="1"/>
    <s v="Shanghai"/>
    <x v="1"/>
    <n v="0"/>
    <n v="95372"/>
    <x v="1"/>
    <n v="20"/>
    <s v="41-50"/>
  </r>
  <r>
    <x v="111"/>
    <x v="110"/>
    <x v="2"/>
    <x v="0"/>
    <x v="0"/>
    <x v="0"/>
    <s v="Asian"/>
    <n v="29"/>
    <d v="2020-08-09T00:00:00"/>
    <n v="161203"/>
    <n v="0.15"/>
    <x v="1"/>
    <s v="Chengdu"/>
    <x v="1"/>
    <n v="24180.45"/>
    <n v="185383.45"/>
    <x v="1"/>
    <n v="5"/>
    <s v="Under 30"/>
  </r>
  <r>
    <x v="112"/>
    <x v="111"/>
    <x v="27"/>
    <x v="0"/>
    <x v="1"/>
    <x v="0"/>
    <s v="Caucasian"/>
    <n v="44"/>
    <d v="2006-12-13T00:00:00"/>
    <n v="74738"/>
    <n v="0"/>
    <x v="0"/>
    <s v="Miami"/>
    <x v="1"/>
    <n v="0"/>
    <n v="74738"/>
    <x v="1"/>
    <n v="19"/>
    <s v="41-50"/>
  </r>
  <r>
    <x v="113"/>
    <x v="112"/>
    <x v="2"/>
    <x v="2"/>
    <x v="0"/>
    <x v="0"/>
    <s v="Asian"/>
    <n v="41"/>
    <d v="2018-08-10T00:00:00"/>
    <n v="171173"/>
    <n v="0.21"/>
    <x v="0"/>
    <s v="Columbus"/>
    <x v="1"/>
    <n v="35946.33"/>
    <n v="207119.33000000002"/>
    <x v="1"/>
    <n v="7"/>
    <s v="41-50"/>
  </r>
  <r>
    <x v="114"/>
    <x v="113"/>
    <x v="9"/>
    <x v="2"/>
    <x v="3"/>
    <x v="1"/>
    <s v="Latino"/>
    <n v="61"/>
    <d v="2019-09-24T00:00:00"/>
    <n v="201464"/>
    <n v="0.37"/>
    <x v="0"/>
    <s v="Chicago"/>
    <x v="1"/>
    <n v="74541.679999999993"/>
    <n v="276005.68"/>
    <x v="1"/>
    <n v="6"/>
    <s v="50+"/>
  </r>
  <r>
    <x v="115"/>
    <x v="114"/>
    <x v="2"/>
    <x v="4"/>
    <x v="3"/>
    <x v="1"/>
    <s v="Caucasian"/>
    <n v="50"/>
    <d v="1998-07-22T00:00:00"/>
    <n v="174895"/>
    <n v="0.15"/>
    <x v="0"/>
    <s v="Chicago"/>
    <x v="1"/>
    <n v="26234.25"/>
    <n v="201129.25"/>
    <x v="1"/>
    <n v="27"/>
    <s v="50+"/>
  </r>
  <r>
    <x v="116"/>
    <x v="115"/>
    <x v="0"/>
    <x v="0"/>
    <x v="1"/>
    <x v="0"/>
    <s v="Asian"/>
    <n v="49"/>
    <d v="2006-04-18T00:00:00"/>
    <n v="134486"/>
    <n v="0.14000000000000001"/>
    <x v="0"/>
    <s v="Austin"/>
    <x v="1"/>
    <n v="18828.04"/>
    <n v="153314.04"/>
    <x v="1"/>
    <n v="19"/>
    <s v="41-50"/>
  </r>
  <r>
    <x v="117"/>
    <x v="116"/>
    <x v="4"/>
    <x v="1"/>
    <x v="1"/>
    <x v="0"/>
    <s v="Latino"/>
    <n v="60"/>
    <d v="2007-02-24T00:00:00"/>
    <n v="71699"/>
    <n v="0"/>
    <x v="2"/>
    <s v="Manaus"/>
    <x v="1"/>
    <n v="0"/>
    <n v="71699"/>
    <x v="1"/>
    <n v="18"/>
    <s v="50+"/>
  </r>
  <r>
    <x v="118"/>
    <x v="117"/>
    <x v="4"/>
    <x v="6"/>
    <x v="3"/>
    <x v="0"/>
    <s v="Latino"/>
    <n v="42"/>
    <d v="2021-01-02T00:00:00"/>
    <n v="94430"/>
    <n v="0"/>
    <x v="0"/>
    <s v="Seattle"/>
    <x v="1"/>
    <n v="0"/>
    <n v="94430"/>
    <x v="1"/>
    <n v="5"/>
    <s v="41-50"/>
  </r>
  <r>
    <x v="119"/>
    <x v="118"/>
    <x v="6"/>
    <x v="1"/>
    <x v="3"/>
    <x v="1"/>
    <s v="Asian"/>
    <n v="39"/>
    <d v="2010-01-14T00:00:00"/>
    <n v="103504"/>
    <n v="7.0000000000000007E-2"/>
    <x v="1"/>
    <s v="Chengdu"/>
    <x v="1"/>
    <n v="7245.2800000000007"/>
    <n v="110749.28"/>
    <x v="1"/>
    <n v="16"/>
    <s v="30-40"/>
  </r>
  <r>
    <x v="120"/>
    <x v="119"/>
    <x v="14"/>
    <x v="0"/>
    <x v="1"/>
    <x v="0"/>
    <s v="Asian"/>
    <n v="55"/>
    <d v="2005-08-09T00:00:00"/>
    <n v="92771"/>
    <n v="0"/>
    <x v="0"/>
    <s v="Miami"/>
    <x v="1"/>
    <n v="0"/>
    <n v="92771"/>
    <x v="1"/>
    <n v="20"/>
    <s v="50+"/>
  </r>
  <r>
    <x v="121"/>
    <x v="120"/>
    <x v="13"/>
    <x v="1"/>
    <x v="2"/>
    <x v="0"/>
    <s v="Latino"/>
    <n v="39"/>
    <d v="2006-04-06T00:00:00"/>
    <n v="71531"/>
    <n v="0"/>
    <x v="0"/>
    <s v="Columbus"/>
    <x v="1"/>
    <n v="0"/>
    <n v="71531"/>
    <x v="1"/>
    <n v="19"/>
    <s v="30-40"/>
  </r>
  <r>
    <x v="122"/>
    <x v="121"/>
    <x v="21"/>
    <x v="0"/>
    <x v="2"/>
    <x v="1"/>
    <s v="Black"/>
    <n v="28"/>
    <d v="2019-03-06T00:00:00"/>
    <n v="90304"/>
    <n v="0"/>
    <x v="0"/>
    <s v="Chicago"/>
    <x v="1"/>
    <n v="0"/>
    <n v="90304"/>
    <x v="1"/>
    <n v="6"/>
    <s v="Under 30"/>
  </r>
  <r>
    <x v="123"/>
    <x v="122"/>
    <x v="6"/>
    <x v="6"/>
    <x v="1"/>
    <x v="0"/>
    <s v="Caucasian"/>
    <n v="65"/>
    <d v="2011-09-07T00:00:00"/>
    <n v="104903"/>
    <n v="0.1"/>
    <x v="0"/>
    <s v="Columbus"/>
    <x v="1"/>
    <n v="10490.300000000001"/>
    <n v="115393.3"/>
    <x v="1"/>
    <n v="14"/>
    <s v="50+"/>
  </r>
  <r>
    <x v="124"/>
    <x v="123"/>
    <x v="7"/>
    <x v="1"/>
    <x v="3"/>
    <x v="0"/>
    <s v="Asian"/>
    <n v="52"/>
    <d v="2019-02-19T00:00:00"/>
    <n v="55859"/>
    <n v="0"/>
    <x v="1"/>
    <s v="Beijing"/>
    <x v="1"/>
    <n v="0"/>
    <n v="55859"/>
    <x v="1"/>
    <n v="6"/>
    <s v="50+"/>
  </r>
  <r>
    <x v="125"/>
    <x v="124"/>
    <x v="19"/>
    <x v="5"/>
    <x v="3"/>
    <x v="0"/>
    <s v="Latino"/>
    <n v="62"/>
    <d v="2006-10-12T00:00:00"/>
    <n v="79785"/>
    <n v="0"/>
    <x v="0"/>
    <s v="Austin"/>
    <x v="1"/>
    <n v="0"/>
    <n v="79785"/>
    <x v="1"/>
    <n v="19"/>
    <s v="50+"/>
  </r>
  <r>
    <x v="126"/>
    <x v="125"/>
    <x v="4"/>
    <x v="6"/>
    <x v="3"/>
    <x v="0"/>
    <s v="Asian"/>
    <n v="39"/>
    <d v="2007-11-05T00:00:00"/>
    <n v="99017"/>
    <n v="0"/>
    <x v="1"/>
    <s v="Beijing"/>
    <x v="1"/>
    <n v="0"/>
    <n v="99017"/>
    <x v="1"/>
    <n v="18"/>
    <s v="30-40"/>
  </r>
  <r>
    <x v="127"/>
    <x v="126"/>
    <x v="28"/>
    <x v="0"/>
    <x v="1"/>
    <x v="0"/>
    <s v="Caucasian"/>
    <n v="63"/>
    <d v="1992-04-01T00:00:00"/>
    <n v="53809"/>
    <n v="0"/>
    <x v="0"/>
    <s v="Phoenix"/>
    <x v="1"/>
    <n v="0"/>
    <n v="53809"/>
    <x v="1"/>
    <n v="33"/>
    <s v="50+"/>
  </r>
  <r>
    <x v="128"/>
    <x v="127"/>
    <x v="17"/>
    <x v="5"/>
    <x v="2"/>
    <x v="1"/>
    <s v="Asian"/>
    <n v="27"/>
    <d v="2020-04-16T00:00:00"/>
    <n v="71864"/>
    <n v="0"/>
    <x v="1"/>
    <s v="Chengdu"/>
    <x v="1"/>
    <n v="0"/>
    <n v="71864"/>
    <x v="1"/>
    <n v="5"/>
    <s v="Under 30"/>
  </r>
  <r>
    <x v="129"/>
    <x v="128"/>
    <x v="9"/>
    <x v="1"/>
    <x v="3"/>
    <x v="0"/>
    <s v="Asian"/>
    <n v="37"/>
    <d v="2011-12-06T00:00:00"/>
    <n v="225558"/>
    <n v="0.33"/>
    <x v="1"/>
    <s v="Shanghai"/>
    <x v="1"/>
    <n v="74434.14"/>
    <n v="299992.14"/>
    <x v="1"/>
    <n v="14"/>
    <s v="30-40"/>
  </r>
  <r>
    <x v="130"/>
    <x v="129"/>
    <x v="0"/>
    <x v="0"/>
    <x v="1"/>
    <x v="1"/>
    <s v="Caucasian"/>
    <n v="37"/>
    <d v="2014-02-25T00:00:00"/>
    <n v="128984"/>
    <n v="0.12"/>
    <x v="0"/>
    <s v="Miami"/>
    <x v="14"/>
    <n v="15478.08"/>
    <n v="144462.07999999999"/>
    <x v="0"/>
    <n v="7"/>
    <s v="30-40"/>
  </r>
  <r>
    <x v="131"/>
    <x v="130"/>
    <x v="17"/>
    <x v="5"/>
    <x v="2"/>
    <x v="1"/>
    <s v="Latino"/>
    <n v="46"/>
    <d v="1999-06-20T00:00:00"/>
    <n v="96997"/>
    <n v="0"/>
    <x v="2"/>
    <s v="Sao Paulo"/>
    <x v="1"/>
    <n v="0"/>
    <n v="96997"/>
    <x v="1"/>
    <n v="26"/>
    <s v="41-50"/>
  </r>
  <r>
    <x v="132"/>
    <x v="131"/>
    <x v="2"/>
    <x v="4"/>
    <x v="1"/>
    <x v="0"/>
    <s v="Latino"/>
    <n v="54"/>
    <d v="2018-01-22T00:00:00"/>
    <n v="176294"/>
    <n v="0.28000000000000003"/>
    <x v="0"/>
    <s v="Austin"/>
    <x v="1"/>
    <n v="49362.320000000007"/>
    <n v="225656.32000000001"/>
    <x v="1"/>
    <n v="8"/>
    <s v="50+"/>
  </r>
  <r>
    <x v="133"/>
    <x v="132"/>
    <x v="7"/>
    <x v="2"/>
    <x v="0"/>
    <x v="0"/>
    <s v="Asian"/>
    <n v="30"/>
    <d v="2021-02-14T00:00:00"/>
    <n v="48340"/>
    <n v="0"/>
    <x v="1"/>
    <s v="Beijing"/>
    <x v="1"/>
    <n v="0"/>
    <n v="48340"/>
    <x v="1"/>
    <n v="4"/>
    <s v="30-40"/>
  </r>
  <r>
    <x v="134"/>
    <x v="133"/>
    <x v="9"/>
    <x v="5"/>
    <x v="3"/>
    <x v="0"/>
    <s v="Latino"/>
    <n v="28"/>
    <d v="2017-07-06T00:00:00"/>
    <n v="240488"/>
    <n v="0.4"/>
    <x v="2"/>
    <s v="Rio de Janerio"/>
    <x v="1"/>
    <n v="96195.200000000012"/>
    <n v="336683.2"/>
    <x v="1"/>
    <n v="8"/>
    <s v="Under 30"/>
  </r>
  <r>
    <x v="135"/>
    <x v="134"/>
    <x v="14"/>
    <x v="0"/>
    <x v="1"/>
    <x v="1"/>
    <s v="Caucasian"/>
    <n v="40"/>
    <d v="2011-01-22T00:00:00"/>
    <n v="97339"/>
    <n v="0"/>
    <x v="0"/>
    <s v="Austin"/>
    <x v="1"/>
    <n v="0"/>
    <n v="97339"/>
    <x v="1"/>
    <n v="15"/>
    <s v="30-40"/>
  </r>
  <r>
    <x v="136"/>
    <x v="135"/>
    <x v="9"/>
    <x v="4"/>
    <x v="1"/>
    <x v="0"/>
    <s v="Asian"/>
    <n v="49"/>
    <d v="2003-02-28T00:00:00"/>
    <n v="211291"/>
    <n v="0.37"/>
    <x v="1"/>
    <s v="Chongqing"/>
    <x v="1"/>
    <n v="78177.67"/>
    <n v="289468.67"/>
    <x v="1"/>
    <n v="22"/>
    <s v="41-50"/>
  </r>
  <r>
    <x v="137"/>
    <x v="136"/>
    <x v="9"/>
    <x v="2"/>
    <x v="0"/>
    <x v="1"/>
    <s v="Latino"/>
    <n v="39"/>
    <d v="2011-08-23T00:00:00"/>
    <n v="249506"/>
    <n v="0.3"/>
    <x v="2"/>
    <s v="Rio de Janerio"/>
    <x v="1"/>
    <n v="74851.8"/>
    <n v="324357.8"/>
    <x v="1"/>
    <n v="14"/>
    <s v="30-40"/>
  </r>
  <r>
    <x v="138"/>
    <x v="137"/>
    <x v="10"/>
    <x v="5"/>
    <x v="2"/>
    <x v="1"/>
    <s v="Asian"/>
    <n v="61"/>
    <d v="2002-11-22T00:00:00"/>
    <n v="80950"/>
    <n v="0"/>
    <x v="1"/>
    <s v="Chongqing"/>
    <x v="1"/>
    <n v="0"/>
    <n v="80950"/>
    <x v="1"/>
    <n v="23"/>
    <s v="50+"/>
  </r>
  <r>
    <x v="139"/>
    <x v="138"/>
    <x v="18"/>
    <x v="5"/>
    <x v="0"/>
    <x v="0"/>
    <s v="Asian"/>
    <n v="46"/>
    <d v="2021-01-10T00:00:00"/>
    <n v="86538"/>
    <n v="0"/>
    <x v="1"/>
    <s v="Chengdu"/>
    <x v="1"/>
    <n v="0"/>
    <n v="86538"/>
    <x v="1"/>
    <n v="5"/>
    <s v="41-50"/>
  </r>
  <r>
    <x v="140"/>
    <x v="139"/>
    <x v="4"/>
    <x v="6"/>
    <x v="2"/>
    <x v="0"/>
    <s v="Caucasian"/>
    <n v="35"/>
    <d v="2019-09-07T00:00:00"/>
    <n v="70992"/>
    <n v="0"/>
    <x v="0"/>
    <s v="Austin"/>
    <x v="1"/>
    <n v="0"/>
    <n v="70992"/>
    <x v="1"/>
    <n v="6"/>
    <s v="30-40"/>
  </r>
  <r>
    <x v="141"/>
    <x v="140"/>
    <x v="9"/>
    <x v="5"/>
    <x v="3"/>
    <x v="1"/>
    <s v="Caucasian"/>
    <n v="33"/>
    <d v="2015-06-18T00:00:00"/>
    <n v="205314"/>
    <n v="0.3"/>
    <x v="0"/>
    <s v="Columbus"/>
    <x v="1"/>
    <n v="61594.2"/>
    <n v="266908.2"/>
    <x v="1"/>
    <n v="10"/>
    <s v="30-40"/>
  </r>
  <r>
    <x v="142"/>
    <x v="141"/>
    <x v="9"/>
    <x v="4"/>
    <x v="3"/>
    <x v="0"/>
    <s v="Asian"/>
    <n v="61"/>
    <d v="2017-03-10T00:00:00"/>
    <n v="196951"/>
    <n v="0.33"/>
    <x v="1"/>
    <s v="Beijing"/>
    <x v="1"/>
    <n v="64993.83"/>
    <n v="261944.83000000002"/>
    <x v="1"/>
    <n v="8"/>
    <s v="50+"/>
  </r>
  <r>
    <x v="143"/>
    <x v="142"/>
    <x v="24"/>
    <x v="0"/>
    <x v="2"/>
    <x v="1"/>
    <s v="Asian"/>
    <n v="45"/>
    <d v="2005-09-18T00:00:00"/>
    <n v="67686"/>
    <n v="0"/>
    <x v="1"/>
    <s v="Beijing"/>
    <x v="1"/>
    <n v="0"/>
    <n v="67686"/>
    <x v="1"/>
    <n v="20"/>
    <s v="41-50"/>
  </r>
  <r>
    <x v="144"/>
    <x v="143"/>
    <x v="1"/>
    <x v="0"/>
    <x v="0"/>
    <x v="1"/>
    <s v="Latino"/>
    <n v="51"/>
    <d v="2008-04-15T00:00:00"/>
    <n v="86431"/>
    <n v="0"/>
    <x v="0"/>
    <s v="Columbus"/>
    <x v="1"/>
    <n v="0"/>
    <n v="86431"/>
    <x v="1"/>
    <n v="17"/>
    <s v="50+"/>
  </r>
  <r>
    <x v="145"/>
    <x v="144"/>
    <x v="6"/>
    <x v="4"/>
    <x v="1"/>
    <x v="1"/>
    <s v="Asian"/>
    <n v="55"/>
    <d v="1995-11-16T00:00:00"/>
    <n v="125936"/>
    <n v="0.08"/>
    <x v="1"/>
    <s v="Chongqing"/>
    <x v="1"/>
    <n v="10074.880000000001"/>
    <n v="136010.88"/>
    <x v="1"/>
    <n v="30"/>
    <s v="50+"/>
  </r>
  <r>
    <x v="146"/>
    <x v="145"/>
    <x v="0"/>
    <x v="2"/>
    <x v="3"/>
    <x v="0"/>
    <s v="Caucasian"/>
    <n v="46"/>
    <d v="2013-07-18T00:00:00"/>
    <n v="149712"/>
    <n v="0.14000000000000001"/>
    <x v="0"/>
    <s v="Columbus"/>
    <x v="1"/>
    <n v="20959.68"/>
    <n v="170671.68"/>
    <x v="1"/>
    <n v="12"/>
    <s v="41-50"/>
  </r>
  <r>
    <x v="147"/>
    <x v="146"/>
    <x v="17"/>
    <x v="5"/>
    <x v="2"/>
    <x v="1"/>
    <s v="Caucasian"/>
    <n v="30"/>
    <d v="2021-10-02T00:00:00"/>
    <n v="88758"/>
    <n v="0"/>
    <x v="0"/>
    <s v="Seattle"/>
    <x v="1"/>
    <n v="0"/>
    <n v="88758"/>
    <x v="1"/>
    <n v="4"/>
    <s v="30-40"/>
  </r>
  <r>
    <x v="71"/>
    <x v="147"/>
    <x v="29"/>
    <x v="0"/>
    <x v="0"/>
    <x v="1"/>
    <s v="Asian"/>
    <n v="54"/>
    <d v="2013-07-13T00:00:00"/>
    <n v="83639"/>
    <n v="0"/>
    <x v="1"/>
    <s v="Beijing"/>
    <x v="1"/>
    <n v="0"/>
    <n v="83639"/>
    <x v="1"/>
    <n v="12"/>
    <s v="50+"/>
  </r>
  <r>
    <x v="148"/>
    <x v="148"/>
    <x v="23"/>
    <x v="0"/>
    <x v="0"/>
    <x v="0"/>
    <s v="Caucasian"/>
    <n v="54"/>
    <d v="1998-05-18T00:00:00"/>
    <n v="68268"/>
    <n v="0"/>
    <x v="0"/>
    <s v="Phoenix"/>
    <x v="1"/>
    <n v="0"/>
    <n v="68268"/>
    <x v="1"/>
    <n v="27"/>
    <s v="50+"/>
  </r>
  <r>
    <x v="149"/>
    <x v="149"/>
    <x v="17"/>
    <x v="5"/>
    <x v="1"/>
    <x v="1"/>
    <s v="Latino"/>
    <n v="45"/>
    <d v="2002-02-26T00:00:00"/>
    <n v="75819"/>
    <n v="0"/>
    <x v="2"/>
    <s v="Sao Paulo"/>
    <x v="1"/>
    <n v="0"/>
    <n v="75819"/>
    <x v="1"/>
    <n v="23"/>
    <s v="41-50"/>
  </r>
  <r>
    <x v="150"/>
    <x v="150"/>
    <x v="4"/>
    <x v="2"/>
    <x v="2"/>
    <x v="0"/>
    <s v="Caucasian"/>
    <n v="49"/>
    <d v="1996-05-15T00:00:00"/>
    <n v="86658"/>
    <n v="0"/>
    <x v="0"/>
    <s v="Phoenix"/>
    <x v="1"/>
    <n v="0"/>
    <n v="86658"/>
    <x v="1"/>
    <n v="29"/>
    <s v="41-50"/>
  </r>
  <r>
    <x v="151"/>
    <x v="151"/>
    <x v="13"/>
    <x v="1"/>
    <x v="0"/>
    <x v="1"/>
    <s v="Asian"/>
    <n v="55"/>
    <d v="2014-03-16T00:00:00"/>
    <n v="74552"/>
    <n v="0"/>
    <x v="1"/>
    <s v="Chengdu"/>
    <x v="1"/>
    <n v="0"/>
    <n v="74552"/>
    <x v="1"/>
    <n v="11"/>
    <s v="50+"/>
  </r>
  <r>
    <x v="152"/>
    <x v="152"/>
    <x v="14"/>
    <x v="0"/>
    <x v="1"/>
    <x v="0"/>
    <s v="Asian"/>
    <n v="62"/>
    <d v="2009-03-15T00:00:00"/>
    <n v="82839"/>
    <n v="0"/>
    <x v="0"/>
    <s v="Miami"/>
    <x v="1"/>
    <n v="0"/>
    <n v="82839"/>
    <x v="1"/>
    <n v="16"/>
    <s v="50+"/>
  </r>
  <r>
    <x v="153"/>
    <x v="153"/>
    <x v="23"/>
    <x v="0"/>
    <x v="2"/>
    <x v="0"/>
    <s v="Caucasian"/>
    <n v="28"/>
    <d v="2021-10-08T00:00:00"/>
    <n v="64475"/>
    <n v="0"/>
    <x v="0"/>
    <s v="Phoenix"/>
    <x v="1"/>
    <n v="0"/>
    <n v="64475"/>
    <x v="1"/>
    <n v="4"/>
    <s v="Under 30"/>
  </r>
  <r>
    <x v="154"/>
    <x v="154"/>
    <x v="23"/>
    <x v="0"/>
    <x v="1"/>
    <x v="1"/>
    <s v="Asian"/>
    <n v="33"/>
    <d v="2020-07-24T00:00:00"/>
    <n v="69453"/>
    <n v="0"/>
    <x v="1"/>
    <s v="Chengdu"/>
    <x v="1"/>
    <n v="0"/>
    <n v="69453"/>
    <x v="1"/>
    <n v="5"/>
    <s v="30-40"/>
  </r>
  <r>
    <x v="155"/>
    <x v="155"/>
    <x v="6"/>
    <x v="0"/>
    <x v="3"/>
    <x v="1"/>
    <s v="Caucasian"/>
    <n v="32"/>
    <d v="2014-01-03T00:00:00"/>
    <n v="127148"/>
    <n v="0.1"/>
    <x v="0"/>
    <s v="Miami"/>
    <x v="1"/>
    <n v="12714.800000000001"/>
    <n v="139862.79999999999"/>
    <x v="1"/>
    <n v="12"/>
    <s v="30-40"/>
  </r>
  <r>
    <x v="156"/>
    <x v="156"/>
    <x v="9"/>
    <x v="1"/>
    <x v="2"/>
    <x v="0"/>
    <s v="Caucasian"/>
    <n v="32"/>
    <d v="2018-01-02T00:00:00"/>
    <n v="190253"/>
    <n v="0.33"/>
    <x v="0"/>
    <s v="Austin"/>
    <x v="1"/>
    <n v="62783.490000000005"/>
    <n v="253036.49"/>
    <x v="1"/>
    <n v="8"/>
    <s v="30-40"/>
  </r>
  <r>
    <x v="79"/>
    <x v="157"/>
    <x v="6"/>
    <x v="3"/>
    <x v="0"/>
    <x v="1"/>
    <s v="Caucasian"/>
    <n v="55"/>
    <d v="2000-04-28T00:00:00"/>
    <n v="115798"/>
    <n v="0.05"/>
    <x v="0"/>
    <s v="Miami"/>
    <x v="1"/>
    <n v="5789.9000000000005"/>
    <n v="121587.9"/>
    <x v="1"/>
    <n v="25"/>
    <s v="50+"/>
  </r>
  <r>
    <x v="88"/>
    <x v="158"/>
    <x v="15"/>
    <x v="4"/>
    <x v="0"/>
    <x v="0"/>
    <s v="Asian"/>
    <n v="58"/>
    <d v="1994-08-21T00:00:00"/>
    <n v="93102"/>
    <n v="0"/>
    <x v="0"/>
    <s v="Seattle"/>
    <x v="15"/>
    <n v="0"/>
    <n v="93102"/>
    <x v="0"/>
    <n v="19"/>
    <s v="50+"/>
  </r>
  <r>
    <x v="157"/>
    <x v="159"/>
    <x v="11"/>
    <x v="5"/>
    <x v="2"/>
    <x v="1"/>
    <s v="Asian"/>
    <n v="34"/>
    <d v="2017-11-16T00:00:00"/>
    <n v="110054"/>
    <n v="0.15"/>
    <x v="0"/>
    <s v="Miami"/>
    <x v="1"/>
    <n v="16508.099999999999"/>
    <n v="126562.1"/>
    <x v="1"/>
    <n v="8"/>
    <s v="30-40"/>
  </r>
  <r>
    <x v="158"/>
    <x v="160"/>
    <x v="10"/>
    <x v="5"/>
    <x v="0"/>
    <x v="0"/>
    <s v="Black"/>
    <n v="27"/>
    <d v="2021-01-28T00:00:00"/>
    <n v="95786"/>
    <n v="0"/>
    <x v="0"/>
    <s v="Chicago"/>
    <x v="1"/>
    <n v="0"/>
    <n v="95786"/>
    <x v="1"/>
    <n v="5"/>
    <s v="Under 30"/>
  </r>
  <r>
    <x v="159"/>
    <x v="161"/>
    <x v="4"/>
    <x v="2"/>
    <x v="2"/>
    <x v="1"/>
    <s v="Latino"/>
    <n v="61"/>
    <d v="2017-05-03T00:00:00"/>
    <n v="90855"/>
    <n v="0"/>
    <x v="2"/>
    <s v="Sao Paulo"/>
    <x v="1"/>
    <n v="0"/>
    <n v="90855"/>
    <x v="1"/>
    <n v="8"/>
    <s v="50+"/>
  </r>
  <r>
    <x v="160"/>
    <x v="162"/>
    <x v="14"/>
    <x v="0"/>
    <x v="1"/>
    <x v="1"/>
    <s v="Latino"/>
    <n v="47"/>
    <d v="1999-03-14T00:00:00"/>
    <n v="92897"/>
    <n v="0"/>
    <x v="2"/>
    <s v="Sao Paulo"/>
    <x v="1"/>
    <n v="0"/>
    <n v="92897"/>
    <x v="1"/>
    <n v="26"/>
    <s v="41-50"/>
  </r>
  <r>
    <x v="161"/>
    <x v="163"/>
    <x v="9"/>
    <x v="6"/>
    <x v="2"/>
    <x v="1"/>
    <s v="Asian"/>
    <n v="40"/>
    <d v="2009-02-28T00:00:00"/>
    <n v="242919"/>
    <n v="0.31"/>
    <x v="1"/>
    <s v="Chongqing"/>
    <x v="1"/>
    <n v="75304.89"/>
    <n v="318223.89"/>
    <x v="1"/>
    <n v="16"/>
    <s v="30-40"/>
  </r>
  <r>
    <x v="162"/>
    <x v="164"/>
    <x v="2"/>
    <x v="5"/>
    <x v="2"/>
    <x v="1"/>
    <s v="Caucasian"/>
    <n v="30"/>
    <d v="2018-05-20T00:00:00"/>
    <n v="184368"/>
    <n v="0.28999999999999998"/>
    <x v="0"/>
    <s v="Austin"/>
    <x v="1"/>
    <n v="53466.719999999994"/>
    <n v="237834.72"/>
    <x v="1"/>
    <n v="7"/>
    <s v="30-40"/>
  </r>
  <r>
    <x v="163"/>
    <x v="165"/>
    <x v="0"/>
    <x v="1"/>
    <x v="3"/>
    <x v="1"/>
    <s v="Latino"/>
    <n v="45"/>
    <d v="2021-12-24T00:00:00"/>
    <n v="144754"/>
    <n v="0.15"/>
    <x v="0"/>
    <s v="Phoenix"/>
    <x v="1"/>
    <n v="21713.1"/>
    <n v="166467.1"/>
    <x v="1"/>
    <n v="4"/>
    <s v="41-50"/>
  </r>
  <r>
    <x v="164"/>
    <x v="166"/>
    <x v="26"/>
    <x v="2"/>
    <x v="0"/>
    <x v="0"/>
    <s v="Caucasian"/>
    <n v="30"/>
    <d v="2016-12-18T00:00:00"/>
    <n v="89458"/>
    <n v="0"/>
    <x v="0"/>
    <s v="Austin"/>
    <x v="1"/>
    <n v="0"/>
    <n v="89458"/>
    <x v="1"/>
    <n v="9"/>
    <s v="30-40"/>
  </r>
  <r>
    <x v="165"/>
    <x v="167"/>
    <x v="9"/>
    <x v="3"/>
    <x v="3"/>
    <x v="0"/>
    <s v="Asian"/>
    <n v="56"/>
    <d v="2014-03-16T00:00:00"/>
    <n v="190815"/>
    <n v="0.4"/>
    <x v="0"/>
    <s v="Austin"/>
    <x v="1"/>
    <n v="76326"/>
    <n v="267141"/>
    <x v="1"/>
    <n v="11"/>
    <s v="50+"/>
  </r>
  <r>
    <x v="166"/>
    <x v="66"/>
    <x v="0"/>
    <x v="2"/>
    <x v="0"/>
    <x v="0"/>
    <s v="Caucasian"/>
    <n v="62"/>
    <d v="1999-08-02T00:00:00"/>
    <n v="137995"/>
    <n v="0.14000000000000001"/>
    <x v="0"/>
    <s v="Austin"/>
    <x v="1"/>
    <n v="19319.300000000003"/>
    <n v="157314.29999999999"/>
    <x v="1"/>
    <n v="26"/>
    <s v="50+"/>
  </r>
  <r>
    <x v="167"/>
    <x v="168"/>
    <x v="15"/>
    <x v="4"/>
    <x v="1"/>
    <x v="0"/>
    <s v="Latino"/>
    <n v="45"/>
    <d v="2007-12-21T00:00:00"/>
    <n v="93840"/>
    <n v="0"/>
    <x v="2"/>
    <s v="Manaus"/>
    <x v="1"/>
    <n v="0"/>
    <n v="93840"/>
    <x v="1"/>
    <n v="18"/>
    <s v="41-50"/>
  </r>
  <r>
    <x v="168"/>
    <x v="169"/>
    <x v="1"/>
    <x v="0"/>
    <x v="0"/>
    <x v="1"/>
    <s v="Asian"/>
    <n v="46"/>
    <d v="2021-10-26T00:00:00"/>
    <n v="94790"/>
    <n v="0"/>
    <x v="1"/>
    <s v="Chongqing"/>
    <x v="1"/>
    <n v="0"/>
    <n v="94790"/>
    <x v="1"/>
    <n v="4"/>
    <s v="41-50"/>
  </r>
  <r>
    <x v="169"/>
    <x v="170"/>
    <x v="9"/>
    <x v="4"/>
    <x v="0"/>
    <x v="1"/>
    <s v="Asian"/>
    <n v="48"/>
    <d v="2014-03-08T00:00:00"/>
    <n v="197367"/>
    <n v="0.39"/>
    <x v="0"/>
    <s v="Austin"/>
    <x v="1"/>
    <n v="76973.13"/>
    <n v="274340.13"/>
    <x v="1"/>
    <n v="11"/>
    <s v="41-50"/>
  </r>
  <r>
    <x v="170"/>
    <x v="171"/>
    <x v="2"/>
    <x v="3"/>
    <x v="1"/>
    <x v="0"/>
    <s v="Latino"/>
    <n v="27"/>
    <d v="2018-06-25T00:00:00"/>
    <n v="174097"/>
    <n v="0.21"/>
    <x v="0"/>
    <s v="Phoenix"/>
    <x v="1"/>
    <n v="36560.369999999995"/>
    <n v="210657.37"/>
    <x v="1"/>
    <n v="7"/>
    <s v="Under 30"/>
  </r>
  <r>
    <x v="171"/>
    <x v="172"/>
    <x v="6"/>
    <x v="0"/>
    <x v="2"/>
    <x v="1"/>
    <s v="Latino"/>
    <n v="53"/>
    <d v="2006-10-31T00:00:00"/>
    <n v="120128"/>
    <n v="0.1"/>
    <x v="0"/>
    <s v="Austin"/>
    <x v="1"/>
    <n v="12012.800000000001"/>
    <n v="132140.79999999999"/>
    <x v="1"/>
    <n v="19"/>
    <s v="50+"/>
  </r>
  <r>
    <x v="172"/>
    <x v="173"/>
    <x v="6"/>
    <x v="6"/>
    <x v="1"/>
    <x v="0"/>
    <s v="Caucasian"/>
    <n v="59"/>
    <d v="2007-04-25T00:00:00"/>
    <n v="129708"/>
    <n v="0.05"/>
    <x v="0"/>
    <s v="Miami"/>
    <x v="1"/>
    <n v="6485.4000000000005"/>
    <n v="136193.4"/>
    <x v="1"/>
    <n v="18"/>
    <s v="50+"/>
  </r>
  <r>
    <x v="173"/>
    <x v="174"/>
    <x v="6"/>
    <x v="6"/>
    <x v="0"/>
    <x v="1"/>
    <s v="Asian"/>
    <n v="55"/>
    <d v="1994-09-18T00:00:00"/>
    <n v="102270"/>
    <n v="0.1"/>
    <x v="0"/>
    <s v="Chicago"/>
    <x v="1"/>
    <n v="10227"/>
    <n v="112497"/>
    <x v="1"/>
    <n v="31"/>
    <s v="50+"/>
  </r>
  <r>
    <x v="174"/>
    <x v="175"/>
    <x v="9"/>
    <x v="1"/>
    <x v="2"/>
    <x v="0"/>
    <s v="Asian"/>
    <n v="43"/>
    <d v="2005-07-31T00:00:00"/>
    <n v="249686"/>
    <n v="0.31"/>
    <x v="1"/>
    <s v="Chongqing"/>
    <x v="1"/>
    <n v="77402.66"/>
    <n v="327088.66000000003"/>
    <x v="1"/>
    <n v="20"/>
    <s v="41-50"/>
  </r>
  <r>
    <x v="175"/>
    <x v="176"/>
    <x v="7"/>
    <x v="1"/>
    <x v="1"/>
    <x v="0"/>
    <s v="Asian"/>
    <n v="55"/>
    <d v="2002-03-28T00:00:00"/>
    <n v="50475"/>
    <n v="0"/>
    <x v="0"/>
    <s v="Columbus"/>
    <x v="1"/>
    <n v="0"/>
    <n v="50475"/>
    <x v="1"/>
    <n v="23"/>
    <s v="50+"/>
  </r>
  <r>
    <x v="176"/>
    <x v="177"/>
    <x v="6"/>
    <x v="6"/>
    <x v="0"/>
    <x v="1"/>
    <s v="Caucasian"/>
    <n v="51"/>
    <d v="2020-07-02T00:00:00"/>
    <n v="100099"/>
    <n v="0.08"/>
    <x v="0"/>
    <s v="Miami"/>
    <x v="1"/>
    <n v="8007.92"/>
    <n v="108106.92"/>
    <x v="1"/>
    <n v="5"/>
    <s v="50+"/>
  </r>
  <r>
    <x v="177"/>
    <x v="178"/>
    <x v="12"/>
    <x v="0"/>
    <x v="1"/>
    <x v="0"/>
    <s v="Caucasian"/>
    <n v="54"/>
    <d v="2016-12-27T00:00:00"/>
    <n v="41673"/>
    <n v="0"/>
    <x v="0"/>
    <s v="Miami"/>
    <x v="1"/>
    <n v="0"/>
    <n v="41673"/>
    <x v="1"/>
    <n v="9"/>
    <s v="50+"/>
  </r>
  <r>
    <x v="178"/>
    <x v="179"/>
    <x v="4"/>
    <x v="6"/>
    <x v="2"/>
    <x v="0"/>
    <s v="Asian"/>
    <n v="47"/>
    <d v="2017-07-12T00:00:00"/>
    <n v="70996"/>
    <n v="0"/>
    <x v="1"/>
    <s v="Chengdu"/>
    <x v="1"/>
    <n v="0"/>
    <n v="70996"/>
    <x v="1"/>
    <n v="8"/>
    <s v="41-50"/>
  </r>
  <r>
    <x v="179"/>
    <x v="180"/>
    <x v="7"/>
    <x v="6"/>
    <x v="3"/>
    <x v="1"/>
    <s v="Caucasian"/>
    <n v="55"/>
    <d v="2004-12-07T00:00:00"/>
    <n v="40752"/>
    <n v="0"/>
    <x v="0"/>
    <s v="Phoenix"/>
    <x v="1"/>
    <n v="0"/>
    <n v="40752"/>
    <x v="1"/>
    <n v="21"/>
    <s v="50+"/>
  </r>
  <r>
    <x v="180"/>
    <x v="181"/>
    <x v="24"/>
    <x v="0"/>
    <x v="1"/>
    <x v="0"/>
    <s v="Asian"/>
    <n v="50"/>
    <d v="2001-01-23T00:00:00"/>
    <n v="97537"/>
    <n v="0"/>
    <x v="1"/>
    <s v="Chengdu"/>
    <x v="1"/>
    <n v="0"/>
    <n v="97537"/>
    <x v="1"/>
    <n v="25"/>
    <s v="50+"/>
  </r>
  <r>
    <x v="181"/>
    <x v="182"/>
    <x v="30"/>
    <x v="0"/>
    <x v="0"/>
    <x v="1"/>
    <s v="Asian"/>
    <n v="31"/>
    <d v="2020-09-12T00:00:00"/>
    <n v="96567"/>
    <n v="0"/>
    <x v="1"/>
    <s v="Shanghai"/>
    <x v="1"/>
    <n v="0"/>
    <n v="96567"/>
    <x v="1"/>
    <n v="5"/>
    <s v="30-40"/>
  </r>
  <r>
    <x v="23"/>
    <x v="183"/>
    <x v="28"/>
    <x v="0"/>
    <x v="2"/>
    <x v="1"/>
    <s v="Asian"/>
    <n v="47"/>
    <d v="1999-03-10T00:00:00"/>
    <n v="49404"/>
    <n v="0"/>
    <x v="1"/>
    <s v="Beijing"/>
    <x v="1"/>
    <n v="0"/>
    <n v="49404"/>
    <x v="1"/>
    <n v="26"/>
    <s v="41-50"/>
  </r>
  <r>
    <x v="182"/>
    <x v="184"/>
    <x v="30"/>
    <x v="0"/>
    <x v="0"/>
    <x v="1"/>
    <s v="Latino"/>
    <n v="29"/>
    <d v="2019-10-15T00:00:00"/>
    <n v="66819"/>
    <n v="0"/>
    <x v="2"/>
    <s v="Rio de Janerio"/>
    <x v="1"/>
    <n v="0"/>
    <n v="66819"/>
    <x v="1"/>
    <n v="6"/>
    <s v="Under 30"/>
  </r>
  <r>
    <x v="183"/>
    <x v="185"/>
    <x v="7"/>
    <x v="6"/>
    <x v="2"/>
    <x v="1"/>
    <s v="Latino"/>
    <n v="38"/>
    <d v="2016-05-02T00:00:00"/>
    <n v="50784"/>
    <n v="0"/>
    <x v="2"/>
    <s v="Rio de Janerio"/>
    <x v="1"/>
    <n v="0"/>
    <n v="50784"/>
    <x v="1"/>
    <n v="9"/>
    <s v="30-40"/>
  </r>
  <r>
    <x v="184"/>
    <x v="186"/>
    <x v="0"/>
    <x v="4"/>
    <x v="0"/>
    <x v="1"/>
    <s v="Latino"/>
    <n v="29"/>
    <d v="2019-05-09T00:00:00"/>
    <n v="125828"/>
    <n v="0.15"/>
    <x v="2"/>
    <s v="Sao Paulo"/>
    <x v="1"/>
    <n v="18874.2"/>
    <n v="144702.20000000001"/>
    <x v="1"/>
    <n v="6"/>
    <s v="Under 30"/>
  </r>
  <r>
    <x v="185"/>
    <x v="187"/>
    <x v="15"/>
    <x v="4"/>
    <x v="1"/>
    <x v="1"/>
    <s v="Caucasian"/>
    <n v="33"/>
    <d v="2017-08-04T00:00:00"/>
    <n v="92610"/>
    <n v="0"/>
    <x v="0"/>
    <s v="Columbus"/>
    <x v="1"/>
    <n v="0"/>
    <n v="92610"/>
    <x v="1"/>
    <n v="8"/>
    <s v="30-40"/>
  </r>
  <r>
    <x v="186"/>
    <x v="188"/>
    <x v="0"/>
    <x v="2"/>
    <x v="2"/>
    <x v="1"/>
    <s v="Caucasian"/>
    <n v="50"/>
    <d v="2003-03-25T00:00:00"/>
    <n v="123405"/>
    <n v="0.13"/>
    <x v="0"/>
    <s v="Columbus"/>
    <x v="1"/>
    <n v="16042.650000000001"/>
    <n v="139447.65"/>
    <x v="1"/>
    <n v="22"/>
    <s v="50+"/>
  </r>
  <r>
    <x v="187"/>
    <x v="189"/>
    <x v="5"/>
    <x v="2"/>
    <x v="1"/>
    <x v="0"/>
    <s v="Asian"/>
    <n v="46"/>
    <d v="2004-03-20T00:00:00"/>
    <n v="73004"/>
    <n v="0"/>
    <x v="1"/>
    <s v="Beijing"/>
    <x v="1"/>
    <n v="0"/>
    <n v="73004"/>
    <x v="1"/>
    <n v="21"/>
    <s v="41-50"/>
  </r>
  <r>
    <x v="188"/>
    <x v="190"/>
    <x v="11"/>
    <x v="5"/>
    <x v="3"/>
    <x v="1"/>
    <s v="Asian"/>
    <n v="57"/>
    <d v="1999-04-25T00:00:00"/>
    <n v="95061"/>
    <n v="0.1"/>
    <x v="1"/>
    <s v="Shanghai"/>
    <x v="1"/>
    <n v="9506.1"/>
    <n v="104567.1"/>
    <x v="1"/>
    <n v="26"/>
    <s v="50+"/>
  </r>
  <r>
    <x v="189"/>
    <x v="191"/>
    <x v="2"/>
    <x v="2"/>
    <x v="3"/>
    <x v="0"/>
    <s v="Latino"/>
    <n v="49"/>
    <d v="1998-04-02T00:00:00"/>
    <n v="160832"/>
    <n v="0.3"/>
    <x v="0"/>
    <s v="Phoenix"/>
    <x v="1"/>
    <n v="48249.599999999999"/>
    <n v="209081.60000000001"/>
    <x v="1"/>
    <n v="27"/>
    <s v="41-50"/>
  </r>
  <r>
    <x v="190"/>
    <x v="192"/>
    <x v="31"/>
    <x v="0"/>
    <x v="1"/>
    <x v="1"/>
    <s v="Black"/>
    <n v="54"/>
    <d v="2010-12-28T00:00:00"/>
    <n v="64417"/>
    <n v="0"/>
    <x v="0"/>
    <s v="Columbus"/>
    <x v="1"/>
    <n v="0"/>
    <n v="64417"/>
    <x v="1"/>
    <n v="15"/>
    <s v="50+"/>
  </r>
  <r>
    <x v="191"/>
    <x v="193"/>
    <x v="6"/>
    <x v="2"/>
    <x v="3"/>
    <x v="1"/>
    <s v="Asian"/>
    <n v="28"/>
    <d v="2021-03-19T00:00:00"/>
    <n v="127543"/>
    <n v="0.06"/>
    <x v="1"/>
    <s v="Shanghai"/>
    <x v="1"/>
    <n v="7652.58"/>
    <n v="135195.57999999999"/>
    <x v="1"/>
    <n v="4"/>
    <s v="Under 30"/>
  </r>
  <r>
    <x v="192"/>
    <x v="194"/>
    <x v="7"/>
    <x v="6"/>
    <x v="1"/>
    <x v="1"/>
    <s v="Latino"/>
    <n v="30"/>
    <d v="2018-06-21T00:00:00"/>
    <n v="56154"/>
    <n v="0"/>
    <x v="2"/>
    <s v="Sao Paulo"/>
    <x v="1"/>
    <n v="0"/>
    <n v="56154"/>
    <x v="1"/>
    <n v="7"/>
    <s v="30-40"/>
  </r>
  <r>
    <x v="193"/>
    <x v="195"/>
    <x v="9"/>
    <x v="2"/>
    <x v="1"/>
    <x v="0"/>
    <s v="Asian"/>
    <n v="36"/>
    <d v="2014-02-22T00:00:00"/>
    <n v="218530"/>
    <n v="0.3"/>
    <x v="1"/>
    <s v="Shanghai"/>
    <x v="1"/>
    <n v="65559"/>
    <n v="284089"/>
    <x v="1"/>
    <n v="11"/>
    <s v="30-40"/>
  </r>
  <r>
    <x v="194"/>
    <x v="196"/>
    <x v="31"/>
    <x v="0"/>
    <x v="1"/>
    <x v="0"/>
    <s v="Latino"/>
    <n v="36"/>
    <d v="2019-12-19T00:00:00"/>
    <n v="91954"/>
    <n v="0"/>
    <x v="0"/>
    <s v="Columbus"/>
    <x v="1"/>
    <n v="0"/>
    <n v="91954"/>
    <x v="1"/>
    <n v="6"/>
    <s v="30-40"/>
  </r>
  <r>
    <x v="195"/>
    <x v="197"/>
    <x v="9"/>
    <x v="6"/>
    <x v="3"/>
    <x v="0"/>
    <s v="Black"/>
    <n v="30"/>
    <d v="2016-09-21T00:00:00"/>
    <n v="221217"/>
    <n v="0.32"/>
    <x v="0"/>
    <s v="Columbus"/>
    <x v="16"/>
    <n v="70789.440000000002"/>
    <n v="292006.44"/>
    <x v="0"/>
    <n v="1"/>
    <s v="30-40"/>
  </r>
  <r>
    <x v="196"/>
    <x v="198"/>
    <x v="27"/>
    <x v="0"/>
    <x v="1"/>
    <x v="1"/>
    <s v="Latino"/>
    <n v="29"/>
    <d v="2017-05-11T00:00:00"/>
    <n v="87536"/>
    <n v="0"/>
    <x v="0"/>
    <s v="Seattle"/>
    <x v="1"/>
    <n v="0"/>
    <n v="87536"/>
    <x v="1"/>
    <n v="8"/>
    <s v="Under 30"/>
  </r>
  <r>
    <x v="197"/>
    <x v="199"/>
    <x v="7"/>
    <x v="2"/>
    <x v="3"/>
    <x v="0"/>
    <s v="Latino"/>
    <n v="47"/>
    <d v="2015-06-09T00:00:00"/>
    <n v="41429"/>
    <n v="0"/>
    <x v="0"/>
    <s v="Seattle"/>
    <x v="1"/>
    <n v="0"/>
    <n v="41429"/>
    <x v="1"/>
    <n v="10"/>
    <s v="41-50"/>
  </r>
  <r>
    <x v="198"/>
    <x v="200"/>
    <x v="9"/>
    <x v="5"/>
    <x v="1"/>
    <x v="1"/>
    <s v="Asian"/>
    <n v="35"/>
    <d v="2011-10-10T00:00:00"/>
    <n v="245482"/>
    <n v="0.39"/>
    <x v="0"/>
    <s v="Seattle"/>
    <x v="1"/>
    <n v="95737.98000000001"/>
    <n v="341219.98"/>
    <x v="1"/>
    <n v="14"/>
    <s v="30-40"/>
  </r>
  <r>
    <x v="199"/>
    <x v="201"/>
    <x v="25"/>
    <x v="5"/>
    <x v="1"/>
    <x v="0"/>
    <s v="Caucasian"/>
    <n v="25"/>
    <d v="2020-01-20T00:00:00"/>
    <n v="71359"/>
    <n v="0"/>
    <x v="0"/>
    <s v="Phoenix"/>
    <x v="1"/>
    <n v="0"/>
    <n v="71359"/>
    <x v="1"/>
    <n v="6"/>
    <s v="Under 30"/>
  </r>
  <r>
    <x v="200"/>
    <x v="202"/>
    <x v="2"/>
    <x v="5"/>
    <x v="2"/>
    <x v="1"/>
    <s v="Asian"/>
    <n v="45"/>
    <d v="2014-08-28T00:00:00"/>
    <n v="183161"/>
    <n v="0.22"/>
    <x v="0"/>
    <s v="Miami"/>
    <x v="1"/>
    <n v="40295.42"/>
    <n v="223456.41999999998"/>
    <x v="1"/>
    <n v="11"/>
    <s v="41-50"/>
  </r>
  <r>
    <x v="201"/>
    <x v="203"/>
    <x v="32"/>
    <x v="0"/>
    <x v="3"/>
    <x v="1"/>
    <s v="Caucasian"/>
    <n v="58"/>
    <d v="1993-07-26T00:00:00"/>
    <n v="69260"/>
    <n v="0"/>
    <x v="0"/>
    <s v="Phoenix"/>
    <x v="1"/>
    <n v="0"/>
    <n v="69260"/>
    <x v="1"/>
    <n v="32"/>
    <s v="50+"/>
  </r>
  <r>
    <x v="202"/>
    <x v="204"/>
    <x v="19"/>
    <x v="5"/>
    <x v="2"/>
    <x v="1"/>
    <s v="Caucasian"/>
    <n v="51"/>
    <d v="1999-10-09T00:00:00"/>
    <n v="95639"/>
    <n v="0"/>
    <x v="0"/>
    <s v="Austin"/>
    <x v="1"/>
    <n v="0"/>
    <n v="95639"/>
    <x v="1"/>
    <n v="26"/>
    <s v="50+"/>
  </r>
  <r>
    <x v="203"/>
    <x v="205"/>
    <x v="6"/>
    <x v="4"/>
    <x v="0"/>
    <x v="1"/>
    <s v="Asian"/>
    <n v="48"/>
    <d v="2004-06-30T00:00:00"/>
    <n v="120660"/>
    <n v="7.0000000000000007E-2"/>
    <x v="1"/>
    <s v="Chengdu"/>
    <x v="1"/>
    <n v="8446.2000000000007"/>
    <n v="129106.2"/>
    <x v="1"/>
    <n v="21"/>
    <s v="41-50"/>
  </r>
  <r>
    <x v="204"/>
    <x v="206"/>
    <x v="4"/>
    <x v="2"/>
    <x v="3"/>
    <x v="1"/>
    <s v="Black"/>
    <n v="36"/>
    <d v="2021-12-26T00:00:00"/>
    <n v="75119"/>
    <n v="0"/>
    <x v="0"/>
    <s v="Chicago"/>
    <x v="1"/>
    <n v="0"/>
    <n v="75119"/>
    <x v="1"/>
    <n v="4"/>
    <s v="30-40"/>
  </r>
  <r>
    <x v="205"/>
    <x v="207"/>
    <x v="9"/>
    <x v="3"/>
    <x v="0"/>
    <x v="1"/>
    <s v="Asian"/>
    <n v="59"/>
    <d v="2011-05-18T00:00:00"/>
    <n v="192213"/>
    <n v="0.4"/>
    <x v="0"/>
    <s v="Chicago"/>
    <x v="1"/>
    <n v="76885.2"/>
    <n v="269098.2"/>
    <x v="1"/>
    <n v="14"/>
    <s v="50+"/>
  </r>
  <r>
    <x v="206"/>
    <x v="208"/>
    <x v="5"/>
    <x v="2"/>
    <x v="2"/>
    <x v="0"/>
    <s v="Latino"/>
    <n v="45"/>
    <d v="2014-05-10T00:00:00"/>
    <n v="65047"/>
    <n v="0"/>
    <x v="2"/>
    <s v="Sao Paulo"/>
    <x v="1"/>
    <n v="0"/>
    <n v="65047"/>
    <x v="1"/>
    <n v="11"/>
    <s v="41-50"/>
  </r>
  <r>
    <x v="207"/>
    <x v="209"/>
    <x v="0"/>
    <x v="2"/>
    <x v="1"/>
    <x v="1"/>
    <s v="Caucasian"/>
    <n v="29"/>
    <d v="2017-03-16T00:00:00"/>
    <n v="151413"/>
    <n v="0.15"/>
    <x v="0"/>
    <s v="Seattle"/>
    <x v="1"/>
    <n v="22711.95"/>
    <n v="174124.95"/>
    <x v="1"/>
    <n v="8"/>
    <s v="Under 30"/>
  </r>
  <r>
    <x v="208"/>
    <x v="210"/>
    <x v="4"/>
    <x v="3"/>
    <x v="2"/>
    <x v="1"/>
    <s v="Caucasian"/>
    <n v="62"/>
    <d v="2003-04-22T00:00:00"/>
    <n v="76906"/>
    <n v="0"/>
    <x v="0"/>
    <s v="Seattle"/>
    <x v="1"/>
    <n v="0"/>
    <n v="76906"/>
    <x v="1"/>
    <n v="22"/>
    <s v="50+"/>
  </r>
  <r>
    <x v="209"/>
    <x v="211"/>
    <x v="6"/>
    <x v="0"/>
    <x v="3"/>
    <x v="1"/>
    <s v="Asian"/>
    <n v="51"/>
    <d v="1994-02-23T00:00:00"/>
    <n v="122802"/>
    <n v="0.05"/>
    <x v="1"/>
    <s v="Shanghai"/>
    <x v="1"/>
    <n v="6140.1"/>
    <n v="128942.1"/>
    <x v="1"/>
    <n v="31"/>
    <s v="50+"/>
  </r>
  <r>
    <x v="210"/>
    <x v="212"/>
    <x v="25"/>
    <x v="5"/>
    <x v="0"/>
    <x v="1"/>
    <s v="Latino"/>
    <n v="47"/>
    <d v="1998-07-14T00:00:00"/>
    <n v="99091"/>
    <n v="0"/>
    <x v="0"/>
    <s v="Austin"/>
    <x v="1"/>
    <n v="0"/>
    <n v="99091"/>
    <x v="1"/>
    <n v="27"/>
    <s v="41-50"/>
  </r>
  <r>
    <x v="211"/>
    <x v="213"/>
    <x v="8"/>
    <x v="5"/>
    <x v="1"/>
    <x v="1"/>
    <s v="Latino"/>
    <n v="40"/>
    <d v="2008-02-28T00:00:00"/>
    <n v="113987"/>
    <n v="0"/>
    <x v="2"/>
    <s v="Manaus"/>
    <x v="1"/>
    <n v="0"/>
    <n v="113987"/>
    <x v="1"/>
    <n v="17"/>
    <s v="30-40"/>
  </r>
  <r>
    <x v="212"/>
    <x v="214"/>
    <x v="4"/>
    <x v="1"/>
    <x v="3"/>
    <x v="0"/>
    <s v="Caucasian"/>
    <n v="28"/>
    <d v="2020-09-04T00:00:00"/>
    <n v="95045"/>
    <n v="0"/>
    <x v="0"/>
    <s v="Chicago"/>
    <x v="1"/>
    <n v="0"/>
    <n v="95045"/>
    <x v="1"/>
    <n v="5"/>
    <s v="Under 30"/>
  </r>
  <r>
    <x v="213"/>
    <x v="215"/>
    <x v="9"/>
    <x v="6"/>
    <x v="2"/>
    <x v="0"/>
    <s v="Caucasian"/>
    <n v="29"/>
    <d v="2017-01-05T00:00:00"/>
    <n v="190401"/>
    <n v="0.37"/>
    <x v="0"/>
    <s v="Columbus"/>
    <x v="1"/>
    <n v="70448.37"/>
    <n v="260849.37"/>
    <x v="1"/>
    <n v="9"/>
    <s v="Under 30"/>
  </r>
  <r>
    <x v="214"/>
    <x v="216"/>
    <x v="4"/>
    <x v="1"/>
    <x v="3"/>
    <x v="1"/>
    <s v="Latino"/>
    <n v="46"/>
    <d v="2013-01-20T00:00:00"/>
    <n v="86061"/>
    <n v="0"/>
    <x v="2"/>
    <s v="Rio de Janerio"/>
    <x v="1"/>
    <n v="0"/>
    <n v="86061"/>
    <x v="1"/>
    <n v="13"/>
    <s v="41-50"/>
  </r>
  <r>
    <x v="215"/>
    <x v="217"/>
    <x v="26"/>
    <x v="2"/>
    <x v="2"/>
    <x v="1"/>
    <s v="Latino"/>
    <n v="45"/>
    <d v="2021-02-10T00:00:00"/>
    <n v="79882"/>
    <n v="0"/>
    <x v="0"/>
    <s v="Phoenix"/>
    <x v="1"/>
    <n v="0"/>
    <n v="79882"/>
    <x v="1"/>
    <n v="4"/>
    <s v="41-50"/>
  </r>
  <r>
    <x v="216"/>
    <x v="218"/>
    <x v="9"/>
    <x v="5"/>
    <x v="1"/>
    <x v="0"/>
    <s v="Caucasian"/>
    <n v="30"/>
    <d v="2018-03-06T00:00:00"/>
    <n v="255431"/>
    <n v="0.36"/>
    <x v="0"/>
    <s v="Columbus"/>
    <x v="1"/>
    <n v="91955.16"/>
    <n v="347386.16000000003"/>
    <x v="1"/>
    <n v="7"/>
    <s v="30-40"/>
  </r>
  <r>
    <x v="217"/>
    <x v="219"/>
    <x v="31"/>
    <x v="0"/>
    <x v="1"/>
    <x v="0"/>
    <s v="Asian"/>
    <n v="48"/>
    <d v="2003-08-22T00:00:00"/>
    <n v="82017"/>
    <n v="0"/>
    <x v="1"/>
    <s v="Beijing"/>
    <x v="1"/>
    <n v="0"/>
    <n v="82017"/>
    <x v="1"/>
    <n v="22"/>
    <s v="41-50"/>
  </r>
  <r>
    <x v="218"/>
    <x v="220"/>
    <x v="7"/>
    <x v="1"/>
    <x v="1"/>
    <x v="0"/>
    <s v="Caucasian"/>
    <n v="51"/>
    <d v="2017-01-18T00:00:00"/>
    <n v="53799"/>
    <n v="0"/>
    <x v="0"/>
    <s v="Columbus"/>
    <x v="1"/>
    <n v="0"/>
    <n v="53799"/>
    <x v="1"/>
    <n v="9"/>
    <s v="50+"/>
  </r>
  <r>
    <x v="219"/>
    <x v="221"/>
    <x v="4"/>
    <x v="2"/>
    <x v="3"/>
    <x v="0"/>
    <s v="Caucasian"/>
    <n v="28"/>
    <d v="2021-07-03T00:00:00"/>
    <n v="82739"/>
    <n v="0"/>
    <x v="0"/>
    <s v="Phoenix"/>
    <x v="1"/>
    <n v="0"/>
    <n v="82739"/>
    <x v="1"/>
    <n v="4"/>
    <s v="Under 30"/>
  </r>
  <r>
    <x v="220"/>
    <x v="222"/>
    <x v="21"/>
    <x v="0"/>
    <x v="1"/>
    <x v="0"/>
    <s v="Caucasian"/>
    <n v="36"/>
    <d v="2014-05-30T00:00:00"/>
    <n v="99080"/>
    <n v="0"/>
    <x v="0"/>
    <s v="Chicago"/>
    <x v="1"/>
    <n v="0"/>
    <n v="99080"/>
    <x v="1"/>
    <n v="11"/>
    <s v="30-40"/>
  </r>
  <r>
    <x v="221"/>
    <x v="223"/>
    <x v="26"/>
    <x v="2"/>
    <x v="3"/>
    <x v="0"/>
    <s v="Asian"/>
    <n v="40"/>
    <d v="2011-01-20T00:00:00"/>
    <n v="96719"/>
    <n v="0"/>
    <x v="1"/>
    <s v="Chengdu"/>
    <x v="1"/>
    <n v="0"/>
    <n v="96719"/>
    <x v="1"/>
    <n v="15"/>
    <s v="30-40"/>
  </r>
  <r>
    <x v="222"/>
    <x v="224"/>
    <x v="2"/>
    <x v="4"/>
    <x v="0"/>
    <x v="0"/>
    <s v="Caucasian"/>
    <n v="51"/>
    <d v="2021-03-28T00:00:00"/>
    <n v="180687"/>
    <n v="0.19"/>
    <x v="0"/>
    <s v="Phoenix"/>
    <x v="1"/>
    <n v="34330.53"/>
    <n v="215017.53"/>
    <x v="1"/>
    <n v="4"/>
    <s v="50+"/>
  </r>
  <r>
    <x v="223"/>
    <x v="225"/>
    <x v="11"/>
    <x v="5"/>
    <x v="3"/>
    <x v="1"/>
    <s v="Asian"/>
    <n v="45"/>
    <d v="2001-04-12T00:00:00"/>
    <n v="95743"/>
    <n v="0.15"/>
    <x v="0"/>
    <s v="Austin"/>
    <x v="17"/>
    <n v="14361.449999999999"/>
    <n v="110104.45"/>
    <x v="0"/>
    <n v="8"/>
    <s v="41-50"/>
  </r>
  <r>
    <x v="224"/>
    <x v="226"/>
    <x v="25"/>
    <x v="5"/>
    <x v="0"/>
    <x v="0"/>
    <s v="Caucasian"/>
    <n v="44"/>
    <d v="2009-09-04T00:00:00"/>
    <n v="89695"/>
    <n v="0"/>
    <x v="0"/>
    <s v="Austin"/>
    <x v="1"/>
    <n v="0"/>
    <n v="89695"/>
    <x v="1"/>
    <n v="16"/>
    <s v="41-50"/>
  </r>
  <r>
    <x v="225"/>
    <x v="227"/>
    <x v="6"/>
    <x v="1"/>
    <x v="1"/>
    <x v="1"/>
    <s v="Asian"/>
    <n v="64"/>
    <d v="1998-07-20T00:00:00"/>
    <n v="122753"/>
    <n v="0.09"/>
    <x v="1"/>
    <s v="Chongqing"/>
    <x v="1"/>
    <n v="11047.77"/>
    <n v="133800.76999999999"/>
    <x v="1"/>
    <n v="27"/>
    <s v="50+"/>
  </r>
  <r>
    <x v="226"/>
    <x v="228"/>
    <x v="15"/>
    <x v="4"/>
    <x v="0"/>
    <x v="1"/>
    <s v="Caucasian"/>
    <n v="30"/>
    <d v="2015-03-15T00:00:00"/>
    <n v="93734"/>
    <n v="0"/>
    <x v="0"/>
    <s v="Phoenix"/>
    <x v="1"/>
    <n v="0"/>
    <n v="93734"/>
    <x v="1"/>
    <n v="10"/>
    <s v="30-40"/>
  </r>
  <r>
    <x v="227"/>
    <x v="229"/>
    <x v="7"/>
    <x v="3"/>
    <x v="3"/>
    <x v="1"/>
    <s v="Asian"/>
    <n v="28"/>
    <d v="2017-05-12T00:00:00"/>
    <n v="52069"/>
    <n v="0"/>
    <x v="1"/>
    <s v="Chongqing"/>
    <x v="1"/>
    <n v="0"/>
    <n v="52069"/>
    <x v="1"/>
    <n v="8"/>
    <s v="Under 30"/>
  </r>
  <r>
    <x v="228"/>
    <x v="230"/>
    <x v="9"/>
    <x v="3"/>
    <x v="3"/>
    <x v="0"/>
    <s v="Latino"/>
    <n v="33"/>
    <d v="2020-12-16T00:00:00"/>
    <n v="258426"/>
    <n v="0.4"/>
    <x v="2"/>
    <s v="Rio de Janerio"/>
    <x v="1"/>
    <n v="103370.40000000001"/>
    <n v="361796.4"/>
    <x v="1"/>
    <n v="5"/>
    <s v="30-40"/>
  </r>
  <r>
    <x v="229"/>
    <x v="231"/>
    <x v="6"/>
    <x v="1"/>
    <x v="2"/>
    <x v="1"/>
    <s v="Black"/>
    <n v="51"/>
    <d v="1995-02-16T00:00:00"/>
    <n v="125375"/>
    <n v="0.09"/>
    <x v="0"/>
    <s v="Chicago"/>
    <x v="1"/>
    <n v="11283.75"/>
    <n v="136658.75"/>
    <x v="1"/>
    <n v="30"/>
    <s v="50+"/>
  </r>
  <r>
    <x v="230"/>
    <x v="232"/>
    <x v="9"/>
    <x v="3"/>
    <x v="1"/>
    <x v="1"/>
    <s v="Asian"/>
    <n v="25"/>
    <d v="2021-02-08T00:00:00"/>
    <n v="198243"/>
    <n v="0.31"/>
    <x v="0"/>
    <s v="Miami"/>
    <x v="1"/>
    <n v="61455.33"/>
    <n v="259698.33000000002"/>
    <x v="1"/>
    <n v="4"/>
    <s v="Under 30"/>
  </r>
  <r>
    <x v="231"/>
    <x v="233"/>
    <x v="22"/>
    <x v="5"/>
    <x v="0"/>
    <x v="0"/>
    <s v="Latino"/>
    <n v="42"/>
    <d v="2017-11-23T00:00:00"/>
    <n v="96023"/>
    <n v="0"/>
    <x v="0"/>
    <s v="Miami"/>
    <x v="1"/>
    <n v="0"/>
    <n v="96023"/>
    <x v="1"/>
    <n v="8"/>
    <s v="41-50"/>
  </r>
  <r>
    <x v="232"/>
    <x v="234"/>
    <x v="4"/>
    <x v="6"/>
    <x v="0"/>
    <x v="0"/>
    <s v="Caucasian"/>
    <n v="34"/>
    <d v="2012-06-25T00:00:00"/>
    <n v="83066"/>
    <n v="0"/>
    <x v="0"/>
    <s v="Chicago"/>
    <x v="18"/>
    <n v="0"/>
    <n v="83066"/>
    <x v="0"/>
    <n v="0"/>
    <s v="30-40"/>
  </r>
  <r>
    <x v="233"/>
    <x v="235"/>
    <x v="13"/>
    <x v="2"/>
    <x v="0"/>
    <x v="0"/>
    <s v="Latino"/>
    <n v="48"/>
    <d v="2014-05-14T00:00:00"/>
    <n v="61216"/>
    <n v="0"/>
    <x v="0"/>
    <s v="Seattle"/>
    <x v="1"/>
    <n v="0"/>
    <n v="61216"/>
    <x v="1"/>
    <n v="11"/>
    <s v="41-50"/>
  </r>
  <r>
    <x v="234"/>
    <x v="236"/>
    <x v="0"/>
    <x v="3"/>
    <x v="3"/>
    <x v="1"/>
    <s v="Caucasian"/>
    <n v="33"/>
    <d v="2013-02-10T00:00:00"/>
    <n v="144231"/>
    <n v="0.14000000000000001"/>
    <x v="0"/>
    <s v="Columbus"/>
    <x v="19"/>
    <n v="20192.34"/>
    <n v="164423.34"/>
    <x v="0"/>
    <n v="7"/>
    <s v="30-40"/>
  </r>
  <r>
    <x v="235"/>
    <x v="237"/>
    <x v="16"/>
    <x v="4"/>
    <x v="0"/>
    <x v="1"/>
    <s v="Asian"/>
    <n v="41"/>
    <d v="2007-10-24T00:00:00"/>
    <n v="51630"/>
    <n v="0"/>
    <x v="1"/>
    <s v="Beijing"/>
    <x v="1"/>
    <n v="0"/>
    <n v="51630"/>
    <x v="1"/>
    <n v="18"/>
    <s v="41-50"/>
  </r>
  <r>
    <x v="236"/>
    <x v="238"/>
    <x v="0"/>
    <x v="2"/>
    <x v="3"/>
    <x v="1"/>
    <s v="Latino"/>
    <n v="55"/>
    <d v="2013-11-16T00:00:00"/>
    <n v="124129"/>
    <n v="0.15"/>
    <x v="2"/>
    <s v="Sao Paulo"/>
    <x v="1"/>
    <n v="18619.349999999999"/>
    <n v="142748.35"/>
    <x v="1"/>
    <n v="12"/>
    <s v="50+"/>
  </r>
  <r>
    <x v="237"/>
    <x v="239"/>
    <x v="22"/>
    <x v="5"/>
    <x v="1"/>
    <x v="1"/>
    <s v="Latino"/>
    <n v="36"/>
    <d v="2009-04-09T00:00:00"/>
    <n v="60055"/>
    <n v="0"/>
    <x v="0"/>
    <s v="Seattle"/>
    <x v="1"/>
    <n v="0"/>
    <n v="60055"/>
    <x v="1"/>
    <n v="16"/>
    <s v="30-40"/>
  </r>
  <r>
    <x v="238"/>
    <x v="240"/>
    <x v="2"/>
    <x v="5"/>
    <x v="0"/>
    <x v="1"/>
    <s v="Latino"/>
    <n v="31"/>
    <d v="2020-08-26T00:00:00"/>
    <n v="189290"/>
    <n v="0.22"/>
    <x v="2"/>
    <s v="Sao Paulo"/>
    <x v="20"/>
    <n v="41643.800000000003"/>
    <n v="230933.8"/>
    <x v="0"/>
    <n v="0"/>
    <s v="30-40"/>
  </r>
  <r>
    <x v="239"/>
    <x v="241"/>
    <x v="9"/>
    <x v="0"/>
    <x v="3"/>
    <x v="0"/>
    <s v="Asian"/>
    <n v="53"/>
    <d v="2008-04-30T00:00:00"/>
    <n v="182202"/>
    <n v="0.3"/>
    <x v="0"/>
    <s v="Austin"/>
    <x v="1"/>
    <n v="54660.6"/>
    <n v="236862.6"/>
    <x v="1"/>
    <n v="17"/>
    <s v="50+"/>
  </r>
  <r>
    <x v="240"/>
    <x v="242"/>
    <x v="6"/>
    <x v="2"/>
    <x v="2"/>
    <x v="1"/>
    <s v="Caucasian"/>
    <n v="43"/>
    <d v="2006-01-31T00:00:00"/>
    <n v="117518"/>
    <n v="7.0000000000000007E-2"/>
    <x v="0"/>
    <s v="Seattle"/>
    <x v="1"/>
    <n v="8226.26"/>
    <n v="125744.26"/>
    <x v="1"/>
    <n v="20"/>
    <s v="41-50"/>
  </r>
  <r>
    <x v="241"/>
    <x v="243"/>
    <x v="0"/>
    <x v="1"/>
    <x v="1"/>
    <x v="0"/>
    <s v="Latino"/>
    <n v="37"/>
    <d v="2013-02-24T00:00:00"/>
    <n v="157474"/>
    <n v="0.11"/>
    <x v="2"/>
    <s v="Rio de Janerio"/>
    <x v="1"/>
    <n v="17322.14"/>
    <n v="174796.14"/>
    <x v="1"/>
    <n v="12"/>
    <s v="30-40"/>
  </r>
  <r>
    <x v="242"/>
    <x v="244"/>
    <x v="6"/>
    <x v="6"/>
    <x v="1"/>
    <x v="1"/>
    <s v="Caucasian"/>
    <n v="38"/>
    <d v="2008-04-06T00:00:00"/>
    <n v="126856"/>
    <n v="0.06"/>
    <x v="0"/>
    <s v="Columbus"/>
    <x v="1"/>
    <n v="7611.36"/>
    <n v="134467.35999999999"/>
    <x v="1"/>
    <n v="17"/>
    <s v="30-40"/>
  </r>
  <r>
    <x v="243"/>
    <x v="245"/>
    <x v="0"/>
    <x v="3"/>
    <x v="1"/>
    <x v="0"/>
    <s v="Asian"/>
    <n v="49"/>
    <d v="2001-04-02T00:00:00"/>
    <n v="129124"/>
    <n v="0.12"/>
    <x v="1"/>
    <s v="Shanghai"/>
    <x v="1"/>
    <n v="15494.88"/>
    <n v="144618.88"/>
    <x v="1"/>
    <n v="24"/>
    <s v="41-50"/>
  </r>
  <r>
    <x v="244"/>
    <x v="246"/>
    <x v="2"/>
    <x v="2"/>
    <x v="0"/>
    <x v="0"/>
    <s v="Asian"/>
    <n v="45"/>
    <d v="2002-03-01T00:00:00"/>
    <n v="165181"/>
    <n v="0.16"/>
    <x v="0"/>
    <s v="Seattle"/>
    <x v="1"/>
    <n v="26428.959999999999"/>
    <n v="191609.96"/>
    <x v="1"/>
    <n v="23"/>
    <s v="41-50"/>
  </r>
  <r>
    <x v="245"/>
    <x v="247"/>
    <x v="9"/>
    <x v="1"/>
    <x v="3"/>
    <x v="1"/>
    <s v="Latino"/>
    <n v="50"/>
    <d v="2004-01-18T00:00:00"/>
    <n v="247939"/>
    <n v="0.35"/>
    <x v="2"/>
    <s v="Rio de Janerio"/>
    <x v="1"/>
    <n v="86778.65"/>
    <n v="334717.65000000002"/>
    <x v="1"/>
    <n v="22"/>
    <s v="50+"/>
  </r>
  <r>
    <x v="246"/>
    <x v="248"/>
    <x v="2"/>
    <x v="5"/>
    <x v="2"/>
    <x v="1"/>
    <s v="Latino"/>
    <n v="64"/>
    <d v="2017-08-25T00:00:00"/>
    <n v="169509"/>
    <n v="0.18"/>
    <x v="2"/>
    <s v="Manaus"/>
    <x v="1"/>
    <n v="30511.62"/>
    <n v="200020.62"/>
    <x v="1"/>
    <n v="8"/>
    <s v="50+"/>
  </r>
  <r>
    <x v="247"/>
    <x v="249"/>
    <x v="0"/>
    <x v="3"/>
    <x v="1"/>
    <x v="0"/>
    <s v="Caucasian"/>
    <n v="55"/>
    <d v="2011-01-09T00:00:00"/>
    <n v="138521"/>
    <n v="0.1"/>
    <x v="0"/>
    <s v="Miami"/>
    <x v="1"/>
    <n v="13852.1"/>
    <n v="152373.1"/>
    <x v="1"/>
    <n v="15"/>
    <s v="50+"/>
  </r>
  <r>
    <x v="248"/>
    <x v="250"/>
    <x v="11"/>
    <x v="5"/>
    <x v="2"/>
    <x v="0"/>
    <s v="Latino"/>
    <n v="45"/>
    <d v="2014-03-14T00:00:00"/>
    <n v="113873"/>
    <n v="0.11"/>
    <x v="2"/>
    <s v="Rio de Janerio"/>
    <x v="1"/>
    <n v="12526.03"/>
    <n v="126399.03"/>
    <x v="1"/>
    <n v="11"/>
    <s v="41-50"/>
  </r>
  <r>
    <x v="249"/>
    <x v="251"/>
    <x v="14"/>
    <x v="0"/>
    <x v="3"/>
    <x v="0"/>
    <s v="Black"/>
    <n v="39"/>
    <d v="2018-05-09T00:00:00"/>
    <n v="73317"/>
    <n v="0"/>
    <x v="0"/>
    <s v="Miami"/>
    <x v="1"/>
    <n v="0"/>
    <n v="73317"/>
    <x v="1"/>
    <n v="7"/>
    <s v="30-40"/>
  </r>
  <r>
    <x v="250"/>
    <x v="252"/>
    <x v="31"/>
    <x v="0"/>
    <x v="2"/>
    <x v="0"/>
    <s v="Asian"/>
    <n v="40"/>
    <d v="2013-06-26T00:00:00"/>
    <n v="69096"/>
    <n v="0"/>
    <x v="0"/>
    <s v="Seattle"/>
    <x v="1"/>
    <n v="0"/>
    <n v="69096"/>
    <x v="1"/>
    <n v="12"/>
    <s v="30-40"/>
  </r>
  <r>
    <x v="251"/>
    <x v="253"/>
    <x v="15"/>
    <x v="4"/>
    <x v="1"/>
    <x v="1"/>
    <s v="Latino"/>
    <n v="48"/>
    <d v="2005-04-12T00:00:00"/>
    <n v="87158"/>
    <n v="0"/>
    <x v="2"/>
    <s v="Manaus"/>
    <x v="1"/>
    <n v="0"/>
    <n v="87158"/>
    <x v="1"/>
    <n v="20"/>
    <s v="41-50"/>
  </r>
  <r>
    <x v="252"/>
    <x v="254"/>
    <x v="22"/>
    <x v="5"/>
    <x v="3"/>
    <x v="1"/>
    <s v="Latino"/>
    <n v="64"/>
    <d v="1992-09-28T00:00:00"/>
    <n v="70778"/>
    <n v="0"/>
    <x v="0"/>
    <s v="Austin"/>
    <x v="1"/>
    <n v="0"/>
    <n v="70778"/>
    <x v="1"/>
    <n v="33"/>
    <s v="50+"/>
  </r>
  <r>
    <x v="253"/>
    <x v="255"/>
    <x v="2"/>
    <x v="4"/>
    <x v="2"/>
    <x v="0"/>
    <s v="Latino"/>
    <n v="65"/>
    <d v="2004-05-23T00:00:00"/>
    <n v="153938"/>
    <n v="0.2"/>
    <x v="0"/>
    <s v="Phoenix"/>
    <x v="1"/>
    <n v="30787.600000000002"/>
    <n v="184725.6"/>
    <x v="1"/>
    <n v="21"/>
    <s v="50+"/>
  </r>
  <r>
    <x v="254"/>
    <x v="256"/>
    <x v="28"/>
    <x v="0"/>
    <x v="0"/>
    <x v="1"/>
    <s v="Asian"/>
    <n v="43"/>
    <d v="2018-05-04T00:00:00"/>
    <n v="59888"/>
    <n v="0"/>
    <x v="1"/>
    <s v="Beijing"/>
    <x v="1"/>
    <n v="0"/>
    <n v="59888"/>
    <x v="1"/>
    <n v="7"/>
    <s v="41-50"/>
  </r>
  <r>
    <x v="255"/>
    <x v="257"/>
    <x v="22"/>
    <x v="5"/>
    <x v="3"/>
    <x v="1"/>
    <s v="Caucasian"/>
    <n v="50"/>
    <d v="2018-12-13T00:00:00"/>
    <n v="63098"/>
    <n v="0"/>
    <x v="0"/>
    <s v="Columbus"/>
    <x v="1"/>
    <n v="0"/>
    <n v="63098"/>
    <x v="1"/>
    <n v="7"/>
    <s v="50+"/>
  </r>
  <r>
    <x v="256"/>
    <x v="258"/>
    <x v="9"/>
    <x v="1"/>
    <x v="3"/>
    <x v="0"/>
    <s v="Latino"/>
    <n v="27"/>
    <d v="2021-12-15T00:00:00"/>
    <n v="255369"/>
    <n v="0.33"/>
    <x v="2"/>
    <s v="Sao Paulo"/>
    <x v="1"/>
    <n v="84271.77"/>
    <n v="339640.77"/>
    <x v="1"/>
    <n v="4"/>
    <s v="Under 30"/>
  </r>
  <r>
    <x v="257"/>
    <x v="259"/>
    <x v="0"/>
    <x v="4"/>
    <x v="1"/>
    <x v="0"/>
    <s v="Black"/>
    <n v="55"/>
    <d v="2004-11-10T00:00:00"/>
    <n v="142318"/>
    <n v="0.14000000000000001"/>
    <x v="0"/>
    <s v="Chicago"/>
    <x v="1"/>
    <n v="19924.52"/>
    <n v="162242.51999999999"/>
    <x v="1"/>
    <n v="21"/>
    <s v="50+"/>
  </r>
  <r>
    <x v="258"/>
    <x v="260"/>
    <x v="20"/>
    <x v="4"/>
    <x v="1"/>
    <x v="1"/>
    <s v="Black"/>
    <n v="41"/>
    <d v="2004-08-20T00:00:00"/>
    <n v="49186"/>
    <n v="0"/>
    <x v="0"/>
    <s v="Austin"/>
    <x v="21"/>
    <n v="0"/>
    <n v="49186"/>
    <x v="0"/>
    <n v="3"/>
    <s v="41-50"/>
  </r>
  <r>
    <x v="259"/>
    <x v="261"/>
    <x v="9"/>
    <x v="4"/>
    <x v="0"/>
    <x v="0"/>
    <s v="Black"/>
    <n v="34"/>
    <d v="2019-07-27T00:00:00"/>
    <n v="220937"/>
    <n v="0.38"/>
    <x v="0"/>
    <s v="Austin"/>
    <x v="1"/>
    <n v="83956.06"/>
    <n v="304893.06"/>
    <x v="1"/>
    <n v="6"/>
    <s v="30-40"/>
  </r>
  <r>
    <x v="260"/>
    <x v="262"/>
    <x v="2"/>
    <x v="0"/>
    <x v="2"/>
    <x v="0"/>
    <s v="Asian"/>
    <n v="47"/>
    <d v="2012-10-26T00:00:00"/>
    <n v="183156"/>
    <n v="0.3"/>
    <x v="0"/>
    <s v="Seattle"/>
    <x v="1"/>
    <n v="54946.799999999996"/>
    <n v="238102.8"/>
    <x v="1"/>
    <n v="13"/>
    <s v="41-50"/>
  </r>
  <r>
    <x v="261"/>
    <x v="263"/>
    <x v="9"/>
    <x v="0"/>
    <x v="2"/>
    <x v="0"/>
    <s v="Latino"/>
    <n v="32"/>
    <d v="2020-07-22T00:00:00"/>
    <n v="192749"/>
    <n v="0.31"/>
    <x v="0"/>
    <s v="Chicago"/>
    <x v="1"/>
    <n v="59752.19"/>
    <n v="252501.19"/>
    <x v="1"/>
    <n v="5"/>
    <s v="30-40"/>
  </r>
  <r>
    <x v="262"/>
    <x v="264"/>
    <x v="0"/>
    <x v="0"/>
    <x v="1"/>
    <x v="0"/>
    <s v="Asian"/>
    <n v="39"/>
    <d v="2017-03-25T00:00:00"/>
    <n v="135325"/>
    <n v="0.14000000000000001"/>
    <x v="0"/>
    <s v="Phoenix"/>
    <x v="1"/>
    <n v="18945.5"/>
    <n v="154270.5"/>
    <x v="1"/>
    <n v="8"/>
    <s v="30-40"/>
  </r>
  <r>
    <x v="263"/>
    <x v="265"/>
    <x v="4"/>
    <x v="2"/>
    <x v="2"/>
    <x v="0"/>
    <s v="Caucasian"/>
    <n v="26"/>
    <d v="2019-10-14T00:00:00"/>
    <n v="79356"/>
    <n v="0"/>
    <x v="0"/>
    <s v="Phoenix"/>
    <x v="1"/>
    <n v="0"/>
    <n v="79356"/>
    <x v="1"/>
    <n v="6"/>
    <s v="Under 30"/>
  </r>
  <r>
    <x v="264"/>
    <x v="266"/>
    <x v="25"/>
    <x v="5"/>
    <x v="1"/>
    <x v="1"/>
    <s v="Black"/>
    <n v="40"/>
    <d v="2005-07-07T00:00:00"/>
    <n v="74412"/>
    <n v="0"/>
    <x v="0"/>
    <s v="Seattle"/>
    <x v="1"/>
    <n v="0"/>
    <n v="74412"/>
    <x v="1"/>
    <n v="20"/>
    <s v="30-40"/>
  </r>
  <r>
    <x v="81"/>
    <x v="267"/>
    <x v="3"/>
    <x v="0"/>
    <x v="1"/>
    <x v="0"/>
    <s v="Latino"/>
    <n v="32"/>
    <d v="2017-10-02T00:00:00"/>
    <n v="61886"/>
    <n v="0.09"/>
    <x v="2"/>
    <s v="Rio de Janerio"/>
    <x v="1"/>
    <n v="5569.74"/>
    <n v="67455.740000000005"/>
    <x v="1"/>
    <n v="8"/>
    <s v="30-40"/>
  </r>
  <r>
    <x v="265"/>
    <x v="268"/>
    <x v="2"/>
    <x v="3"/>
    <x v="0"/>
    <x v="0"/>
    <s v="Asian"/>
    <n v="58"/>
    <d v="2003-05-14T00:00:00"/>
    <n v="173071"/>
    <n v="0.28999999999999998"/>
    <x v="0"/>
    <s v="Columbus"/>
    <x v="1"/>
    <n v="50190.59"/>
    <n v="223261.59"/>
    <x v="1"/>
    <n v="22"/>
    <s v="50+"/>
  </r>
  <r>
    <x v="266"/>
    <x v="269"/>
    <x v="17"/>
    <x v="5"/>
    <x v="0"/>
    <x v="0"/>
    <s v="Caucasian"/>
    <n v="58"/>
    <d v="1995-10-27T00:00:00"/>
    <n v="70189"/>
    <n v="0"/>
    <x v="0"/>
    <s v="Columbus"/>
    <x v="1"/>
    <n v="0"/>
    <n v="70189"/>
    <x v="1"/>
    <n v="30"/>
    <s v="50+"/>
  </r>
  <r>
    <x v="267"/>
    <x v="270"/>
    <x v="9"/>
    <x v="2"/>
    <x v="0"/>
    <x v="0"/>
    <s v="Latino"/>
    <n v="42"/>
    <d v="2013-09-11T00:00:00"/>
    <n v="181452"/>
    <n v="0.3"/>
    <x v="0"/>
    <s v="Columbus"/>
    <x v="1"/>
    <n v="54435.6"/>
    <n v="235887.6"/>
    <x v="1"/>
    <n v="12"/>
    <s v="41-50"/>
  </r>
  <r>
    <x v="268"/>
    <x v="271"/>
    <x v="16"/>
    <x v="4"/>
    <x v="2"/>
    <x v="1"/>
    <s v="Caucasian"/>
    <n v="26"/>
    <d v="2021-03-12T00:00:00"/>
    <n v="70369"/>
    <n v="0"/>
    <x v="0"/>
    <s v="Seattle"/>
    <x v="1"/>
    <n v="0"/>
    <n v="70369"/>
    <x v="1"/>
    <n v="4"/>
    <s v="Under 30"/>
  </r>
  <r>
    <x v="269"/>
    <x v="272"/>
    <x v="4"/>
    <x v="3"/>
    <x v="1"/>
    <x v="1"/>
    <s v="Latino"/>
    <n v="38"/>
    <d v="2008-07-05T00:00:00"/>
    <n v="78056"/>
    <n v="0"/>
    <x v="2"/>
    <s v="Sao Paulo"/>
    <x v="1"/>
    <n v="0"/>
    <n v="78056"/>
    <x v="1"/>
    <n v="17"/>
    <s v="30-40"/>
  </r>
  <r>
    <x v="270"/>
    <x v="273"/>
    <x v="2"/>
    <x v="1"/>
    <x v="0"/>
    <x v="1"/>
    <s v="Asian"/>
    <n v="64"/>
    <d v="1996-05-02T00:00:00"/>
    <n v="189933"/>
    <n v="0.23"/>
    <x v="0"/>
    <s v="Miami"/>
    <x v="1"/>
    <n v="43684.590000000004"/>
    <n v="233617.59"/>
    <x v="1"/>
    <n v="29"/>
    <s v="50+"/>
  </r>
  <r>
    <x v="7"/>
    <x v="274"/>
    <x v="18"/>
    <x v="5"/>
    <x v="2"/>
    <x v="1"/>
    <s v="Caucasian"/>
    <n v="38"/>
    <d v="2010-07-01T00:00:00"/>
    <n v="78237"/>
    <n v="0"/>
    <x v="0"/>
    <s v="Phoenix"/>
    <x v="1"/>
    <n v="0"/>
    <n v="78237"/>
    <x v="1"/>
    <n v="15"/>
    <s v="30-40"/>
  </r>
  <r>
    <x v="271"/>
    <x v="275"/>
    <x v="7"/>
    <x v="3"/>
    <x v="0"/>
    <x v="0"/>
    <s v="Latino"/>
    <n v="55"/>
    <d v="1996-06-26T00:00:00"/>
    <n v="48687"/>
    <n v="0"/>
    <x v="2"/>
    <s v="Rio de Janerio"/>
    <x v="1"/>
    <n v="0"/>
    <n v="48687"/>
    <x v="1"/>
    <n v="29"/>
    <s v="50+"/>
  </r>
  <r>
    <x v="272"/>
    <x v="276"/>
    <x v="0"/>
    <x v="6"/>
    <x v="1"/>
    <x v="0"/>
    <s v="Latino"/>
    <n v="45"/>
    <d v="2004-08-19T00:00:00"/>
    <n v="121065"/>
    <n v="0.15"/>
    <x v="2"/>
    <s v="Rio de Janerio"/>
    <x v="1"/>
    <n v="18159.75"/>
    <n v="139224.75"/>
    <x v="1"/>
    <n v="21"/>
    <s v="41-50"/>
  </r>
  <r>
    <x v="273"/>
    <x v="277"/>
    <x v="4"/>
    <x v="2"/>
    <x v="3"/>
    <x v="1"/>
    <s v="Black"/>
    <n v="43"/>
    <d v="2004-04-16T00:00:00"/>
    <n v="94246"/>
    <n v="0"/>
    <x v="0"/>
    <s v="Austin"/>
    <x v="1"/>
    <n v="0"/>
    <n v="94246"/>
    <x v="1"/>
    <n v="21"/>
    <s v="41-50"/>
  </r>
  <r>
    <x v="109"/>
    <x v="278"/>
    <x v="28"/>
    <x v="0"/>
    <x v="1"/>
    <x v="0"/>
    <s v="Asian"/>
    <n v="34"/>
    <d v="2016-05-22T00:00:00"/>
    <n v="44614"/>
    <n v="0"/>
    <x v="0"/>
    <s v="Miami"/>
    <x v="1"/>
    <n v="0"/>
    <n v="44614"/>
    <x v="1"/>
    <n v="9"/>
    <s v="30-40"/>
  </r>
  <r>
    <x v="274"/>
    <x v="279"/>
    <x v="9"/>
    <x v="0"/>
    <x v="0"/>
    <x v="1"/>
    <s v="Asian"/>
    <n v="40"/>
    <d v="2020-11-08T00:00:00"/>
    <n v="234469"/>
    <n v="0.31"/>
    <x v="1"/>
    <s v="Chengdu"/>
    <x v="1"/>
    <n v="72685.39"/>
    <n v="307154.39"/>
    <x v="1"/>
    <n v="5"/>
    <s v="30-40"/>
  </r>
  <r>
    <x v="275"/>
    <x v="280"/>
    <x v="18"/>
    <x v="5"/>
    <x v="0"/>
    <x v="1"/>
    <s v="Latino"/>
    <n v="52"/>
    <d v="2020-07-10T00:00:00"/>
    <n v="88272"/>
    <n v="0"/>
    <x v="2"/>
    <s v="Sao Paulo"/>
    <x v="1"/>
    <n v="0"/>
    <n v="88272"/>
    <x v="1"/>
    <n v="5"/>
    <s v="50+"/>
  </r>
  <r>
    <x v="276"/>
    <x v="281"/>
    <x v="13"/>
    <x v="1"/>
    <x v="3"/>
    <x v="1"/>
    <s v="Asian"/>
    <n v="52"/>
    <d v="2017-09-14T00:00:00"/>
    <n v="74449"/>
    <n v="0"/>
    <x v="1"/>
    <s v="Beijing"/>
    <x v="1"/>
    <n v="0"/>
    <n v="74449"/>
    <x v="1"/>
    <n v="8"/>
    <s v="50+"/>
  </r>
  <r>
    <x v="277"/>
    <x v="282"/>
    <x v="9"/>
    <x v="5"/>
    <x v="2"/>
    <x v="1"/>
    <s v="Asian"/>
    <n v="47"/>
    <d v="2012-06-11T00:00:00"/>
    <n v="222941"/>
    <n v="0.39"/>
    <x v="1"/>
    <s v="Beijing"/>
    <x v="1"/>
    <n v="86946.99"/>
    <n v="309887.99"/>
    <x v="1"/>
    <n v="13"/>
    <s v="41-50"/>
  </r>
  <r>
    <x v="278"/>
    <x v="283"/>
    <x v="7"/>
    <x v="6"/>
    <x v="1"/>
    <x v="0"/>
    <s v="Asian"/>
    <n v="65"/>
    <d v="2013-09-26T00:00:00"/>
    <n v="50341"/>
    <n v="0"/>
    <x v="1"/>
    <s v="Beijing"/>
    <x v="1"/>
    <n v="0"/>
    <n v="50341"/>
    <x v="1"/>
    <n v="12"/>
    <s v="50+"/>
  </r>
  <r>
    <x v="279"/>
    <x v="284"/>
    <x v="16"/>
    <x v="4"/>
    <x v="3"/>
    <x v="0"/>
    <s v="Latino"/>
    <n v="31"/>
    <d v="2021-04-11T00:00:00"/>
    <n v="72235"/>
    <n v="0"/>
    <x v="2"/>
    <s v="Manaus"/>
    <x v="1"/>
    <n v="0"/>
    <n v="72235"/>
    <x v="1"/>
    <n v="4"/>
    <s v="30-40"/>
  </r>
  <r>
    <x v="280"/>
    <x v="285"/>
    <x v="4"/>
    <x v="3"/>
    <x v="3"/>
    <x v="0"/>
    <s v="Latino"/>
    <n v="41"/>
    <d v="2016-06-12T00:00:00"/>
    <n v="70165"/>
    <n v="0"/>
    <x v="0"/>
    <s v="Columbus"/>
    <x v="1"/>
    <n v="0"/>
    <n v="70165"/>
    <x v="1"/>
    <n v="9"/>
    <s v="41-50"/>
  </r>
  <r>
    <x v="281"/>
    <x v="286"/>
    <x v="0"/>
    <x v="6"/>
    <x v="2"/>
    <x v="1"/>
    <s v="Caucasian"/>
    <n v="30"/>
    <d v="2020-07-18T00:00:00"/>
    <n v="148485"/>
    <n v="0.15"/>
    <x v="0"/>
    <s v="Miami"/>
    <x v="1"/>
    <n v="22272.75"/>
    <n v="170757.75"/>
    <x v="1"/>
    <n v="5"/>
    <s v="30-40"/>
  </r>
  <r>
    <x v="282"/>
    <x v="287"/>
    <x v="1"/>
    <x v="0"/>
    <x v="1"/>
    <x v="0"/>
    <s v="Asian"/>
    <n v="58"/>
    <d v="2005-06-18T00:00:00"/>
    <n v="86089"/>
    <n v="0"/>
    <x v="0"/>
    <s v="Chicago"/>
    <x v="1"/>
    <n v="0"/>
    <n v="86089"/>
    <x v="1"/>
    <n v="20"/>
    <s v="50+"/>
  </r>
  <r>
    <x v="283"/>
    <x v="288"/>
    <x v="11"/>
    <x v="5"/>
    <x v="0"/>
    <x v="1"/>
    <s v="Latino"/>
    <n v="54"/>
    <d v="2007-10-27T00:00:00"/>
    <n v="106313"/>
    <n v="0.15"/>
    <x v="0"/>
    <s v="Chicago"/>
    <x v="1"/>
    <n v="15946.949999999999"/>
    <n v="122259.95"/>
    <x v="1"/>
    <n v="18"/>
    <s v="50+"/>
  </r>
  <r>
    <x v="284"/>
    <x v="289"/>
    <x v="7"/>
    <x v="6"/>
    <x v="0"/>
    <x v="0"/>
    <s v="Asian"/>
    <n v="40"/>
    <d v="2021-02-24T00:00:00"/>
    <n v="46833"/>
    <n v="0"/>
    <x v="1"/>
    <s v="Chengdu"/>
    <x v="22"/>
    <n v="0"/>
    <n v="46833"/>
    <x v="0"/>
    <n v="0"/>
    <s v="30-40"/>
  </r>
  <r>
    <x v="285"/>
    <x v="290"/>
    <x v="2"/>
    <x v="1"/>
    <x v="0"/>
    <x v="0"/>
    <s v="Asian"/>
    <n v="63"/>
    <d v="2000-10-27T00:00:00"/>
    <n v="155320"/>
    <n v="0.17"/>
    <x v="1"/>
    <s v="Chongqing"/>
    <x v="1"/>
    <n v="26404.400000000001"/>
    <n v="181724.4"/>
    <x v="1"/>
    <n v="25"/>
    <s v="50+"/>
  </r>
  <r>
    <x v="286"/>
    <x v="291"/>
    <x v="4"/>
    <x v="3"/>
    <x v="1"/>
    <x v="1"/>
    <s v="Asian"/>
    <n v="40"/>
    <d v="2016-01-15T00:00:00"/>
    <n v="89984"/>
    <n v="0"/>
    <x v="1"/>
    <s v="Chengdu"/>
    <x v="1"/>
    <n v="0"/>
    <n v="89984"/>
    <x v="1"/>
    <n v="10"/>
    <s v="30-40"/>
  </r>
  <r>
    <x v="287"/>
    <x v="292"/>
    <x v="11"/>
    <x v="5"/>
    <x v="2"/>
    <x v="0"/>
    <s v="Asian"/>
    <n v="65"/>
    <d v="2006-03-16T00:00:00"/>
    <n v="83756"/>
    <n v="0.14000000000000001"/>
    <x v="1"/>
    <s v="Shanghai"/>
    <x v="1"/>
    <n v="11725.840000000002"/>
    <n v="95481.84"/>
    <x v="1"/>
    <n v="19"/>
    <s v="50+"/>
  </r>
  <r>
    <x v="288"/>
    <x v="293"/>
    <x v="2"/>
    <x v="4"/>
    <x v="3"/>
    <x v="0"/>
    <s v="Asian"/>
    <n v="57"/>
    <d v="2016-10-24T00:00:00"/>
    <n v="176324"/>
    <n v="0.23"/>
    <x v="1"/>
    <s v="Shanghai"/>
    <x v="1"/>
    <n v="40554.520000000004"/>
    <n v="216878.52000000002"/>
    <x v="1"/>
    <n v="9"/>
    <s v="50+"/>
  </r>
  <r>
    <x v="289"/>
    <x v="294"/>
    <x v="4"/>
    <x v="3"/>
    <x v="2"/>
    <x v="1"/>
    <s v="Caucasian"/>
    <n v="27"/>
    <d v="2021-10-13T00:00:00"/>
    <n v="74077"/>
    <n v="0"/>
    <x v="0"/>
    <s v="Seattle"/>
    <x v="1"/>
    <n v="0"/>
    <n v="74077"/>
    <x v="1"/>
    <n v="4"/>
    <s v="Under 30"/>
  </r>
  <r>
    <x v="290"/>
    <x v="295"/>
    <x v="6"/>
    <x v="4"/>
    <x v="1"/>
    <x v="0"/>
    <s v="Caucasian"/>
    <n v="31"/>
    <d v="2021-01-18T00:00:00"/>
    <n v="104162"/>
    <n v="7.0000000000000007E-2"/>
    <x v="0"/>
    <s v="Austin"/>
    <x v="1"/>
    <n v="7291.3400000000011"/>
    <n v="111453.34"/>
    <x v="1"/>
    <n v="5"/>
    <s v="30-40"/>
  </r>
  <r>
    <x v="291"/>
    <x v="296"/>
    <x v="30"/>
    <x v="0"/>
    <x v="3"/>
    <x v="0"/>
    <s v="Asian"/>
    <n v="45"/>
    <d v="2010-08-28T00:00:00"/>
    <n v="82162"/>
    <n v="0"/>
    <x v="1"/>
    <s v="Beijing"/>
    <x v="23"/>
    <n v="0"/>
    <n v="82162"/>
    <x v="0"/>
    <n v="10"/>
    <s v="41-50"/>
  </r>
  <r>
    <x v="292"/>
    <x v="297"/>
    <x v="5"/>
    <x v="2"/>
    <x v="2"/>
    <x v="0"/>
    <s v="Asian"/>
    <n v="47"/>
    <d v="2015-07-10T00:00:00"/>
    <n v="63880"/>
    <n v="0"/>
    <x v="1"/>
    <s v="Chongqing"/>
    <x v="1"/>
    <n v="0"/>
    <n v="63880"/>
    <x v="1"/>
    <n v="10"/>
    <s v="41-50"/>
  </r>
  <r>
    <x v="293"/>
    <x v="298"/>
    <x v="22"/>
    <x v="5"/>
    <x v="0"/>
    <x v="0"/>
    <s v="Asian"/>
    <n v="55"/>
    <d v="2013-09-08T00:00:00"/>
    <n v="73248"/>
    <n v="0"/>
    <x v="0"/>
    <s v="Columbus"/>
    <x v="1"/>
    <n v="0"/>
    <n v="73248"/>
    <x v="1"/>
    <n v="12"/>
    <s v="50+"/>
  </r>
  <r>
    <x v="294"/>
    <x v="299"/>
    <x v="4"/>
    <x v="3"/>
    <x v="1"/>
    <x v="1"/>
    <s v="Black"/>
    <n v="51"/>
    <d v="2020-10-09T00:00:00"/>
    <n v="91853"/>
    <n v="0"/>
    <x v="0"/>
    <s v="Chicago"/>
    <x v="1"/>
    <n v="0"/>
    <n v="91853"/>
    <x v="1"/>
    <n v="5"/>
    <s v="50+"/>
  </r>
  <r>
    <x v="295"/>
    <x v="300"/>
    <x v="2"/>
    <x v="1"/>
    <x v="2"/>
    <x v="1"/>
    <s v="Caucasian"/>
    <n v="25"/>
    <d v="2020-01-14T00:00:00"/>
    <n v="168014"/>
    <n v="0.27"/>
    <x v="0"/>
    <s v="Chicago"/>
    <x v="24"/>
    <n v="45363.780000000006"/>
    <n v="213377.78"/>
    <x v="0"/>
    <n v="1"/>
    <s v="Under 30"/>
  </r>
  <r>
    <x v="296"/>
    <x v="301"/>
    <x v="25"/>
    <x v="5"/>
    <x v="3"/>
    <x v="0"/>
    <s v="Caucasian"/>
    <n v="37"/>
    <d v="2017-09-17T00:00:00"/>
    <n v="70770"/>
    <n v="0"/>
    <x v="0"/>
    <s v="Miami"/>
    <x v="1"/>
    <n v="0"/>
    <n v="70770"/>
    <x v="1"/>
    <n v="8"/>
    <s v="30-40"/>
  </r>
  <r>
    <x v="297"/>
    <x v="302"/>
    <x v="16"/>
    <x v="4"/>
    <x v="3"/>
    <x v="1"/>
    <s v="Caucasian"/>
    <n v="62"/>
    <d v="2004-10-11T00:00:00"/>
    <n v="50825"/>
    <n v="0"/>
    <x v="0"/>
    <s v="Seattle"/>
    <x v="1"/>
    <n v="0"/>
    <n v="50825"/>
    <x v="1"/>
    <n v="21"/>
    <s v="50+"/>
  </r>
  <r>
    <x v="298"/>
    <x v="303"/>
    <x v="0"/>
    <x v="1"/>
    <x v="0"/>
    <x v="1"/>
    <s v="Latino"/>
    <n v="31"/>
    <d v="2015-09-19T00:00:00"/>
    <n v="145846"/>
    <n v="0.15"/>
    <x v="2"/>
    <s v="Manaus"/>
    <x v="1"/>
    <n v="21876.899999999998"/>
    <n v="167722.9"/>
    <x v="1"/>
    <n v="10"/>
    <s v="30-40"/>
  </r>
  <r>
    <x v="299"/>
    <x v="304"/>
    <x v="0"/>
    <x v="4"/>
    <x v="0"/>
    <x v="0"/>
    <s v="Asian"/>
    <n v="64"/>
    <d v="2003-12-07T00:00:00"/>
    <n v="125807"/>
    <n v="0.15"/>
    <x v="0"/>
    <s v="Chicago"/>
    <x v="1"/>
    <n v="18871.05"/>
    <n v="144678.04999999999"/>
    <x v="1"/>
    <n v="22"/>
    <s v="50+"/>
  </r>
  <r>
    <x v="300"/>
    <x v="305"/>
    <x v="7"/>
    <x v="2"/>
    <x v="2"/>
    <x v="1"/>
    <s v="Asian"/>
    <n v="25"/>
    <d v="2021-07-28T00:00:00"/>
    <n v="46845"/>
    <n v="0"/>
    <x v="0"/>
    <s v="Miami"/>
    <x v="1"/>
    <n v="0"/>
    <n v="46845"/>
    <x v="1"/>
    <n v="4"/>
    <s v="Under 30"/>
  </r>
  <r>
    <x v="301"/>
    <x v="306"/>
    <x v="0"/>
    <x v="6"/>
    <x v="3"/>
    <x v="0"/>
    <s v="Asian"/>
    <n v="59"/>
    <d v="2008-08-29T00:00:00"/>
    <n v="157969"/>
    <n v="0.1"/>
    <x v="1"/>
    <s v="Chongqing"/>
    <x v="1"/>
    <n v="15796.900000000001"/>
    <n v="173765.9"/>
    <x v="1"/>
    <n v="17"/>
    <s v="50+"/>
  </r>
  <r>
    <x v="302"/>
    <x v="307"/>
    <x v="29"/>
    <x v="0"/>
    <x v="3"/>
    <x v="0"/>
    <s v="Caucasian"/>
    <n v="40"/>
    <d v="2010-12-10T00:00:00"/>
    <n v="97807"/>
    <n v="0"/>
    <x v="0"/>
    <s v="Chicago"/>
    <x v="1"/>
    <n v="0"/>
    <n v="97807"/>
    <x v="1"/>
    <n v="15"/>
    <s v="30-40"/>
  </r>
  <r>
    <x v="303"/>
    <x v="308"/>
    <x v="16"/>
    <x v="4"/>
    <x v="1"/>
    <x v="1"/>
    <s v="Latino"/>
    <n v="31"/>
    <d v="2015-12-09T00:00:00"/>
    <n v="73854"/>
    <n v="0"/>
    <x v="0"/>
    <s v="Seattle"/>
    <x v="1"/>
    <n v="0"/>
    <n v="73854"/>
    <x v="1"/>
    <n v="10"/>
    <s v="30-40"/>
  </r>
  <r>
    <x v="304"/>
    <x v="309"/>
    <x v="0"/>
    <x v="3"/>
    <x v="1"/>
    <x v="1"/>
    <s v="Asian"/>
    <n v="45"/>
    <d v="2006-12-12T00:00:00"/>
    <n v="149537"/>
    <n v="0.14000000000000001"/>
    <x v="0"/>
    <s v="Seattle"/>
    <x v="1"/>
    <n v="20935.18"/>
    <n v="170472.18"/>
    <x v="1"/>
    <n v="19"/>
    <s v="41-50"/>
  </r>
  <r>
    <x v="305"/>
    <x v="310"/>
    <x v="0"/>
    <x v="2"/>
    <x v="1"/>
    <x v="0"/>
    <s v="Caucasian"/>
    <n v="49"/>
    <d v="2013-04-15T00:00:00"/>
    <n v="128303"/>
    <n v="0.15"/>
    <x v="0"/>
    <s v="Phoenix"/>
    <x v="1"/>
    <n v="19245.45"/>
    <n v="147548.45000000001"/>
    <x v="1"/>
    <n v="12"/>
    <s v="41-50"/>
  </r>
  <r>
    <x v="306"/>
    <x v="311"/>
    <x v="23"/>
    <x v="0"/>
    <x v="2"/>
    <x v="1"/>
    <s v="Black"/>
    <n v="46"/>
    <d v="2005-06-10T00:00:00"/>
    <n v="67374"/>
    <n v="0"/>
    <x v="0"/>
    <s v="Austin"/>
    <x v="1"/>
    <n v="0"/>
    <n v="67374"/>
    <x v="1"/>
    <n v="20"/>
    <s v="41-50"/>
  </r>
  <r>
    <x v="307"/>
    <x v="312"/>
    <x v="6"/>
    <x v="4"/>
    <x v="3"/>
    <x v="1"/>
    <s v="Latino"/>
    <n v="46"/>
    <d v="2011-09-24T00:00:00"/>
    <n v="102167"/>
    <n v="0.06"/>
    <x v="2"/>
    <s v="Rio de Janerio"/>
    <x v="1"/>
    <n v="6130.0199999999995"/>
    <n v="108297.02"/>
    <x v="1"/>
    <n v="14"/>
    <s v="41-50"/>
  </r>
  <r>
    <x v="308"/>
    <x v="313"/>
    <x v="0"/>
    <x v="2"/>
    <x v="1"/>
    <x v="1"/>
    <s v="Asian"/>
    <n v="45"/>
    <d v="2007-09-07T00:00:00"/>
    <n v="151027"/>
    <n v="0.1"/>
    <x v="1"/>
    <s v="Shanghai"/>
    <x v="1"/>
    <n v="15102.7"/>
    <n v="166129.70000000001"/>
    <x v="1"/>
    <n v="18"/>
    <s v="41-50"/>
  </r>
  <r>
    <x v="309"/>
    <x v="314"/>
    <x v="6"/>
    <x v="3"/>
    <x v="2"/>
    <x v="1"/>
    <s v="Asian"/>
    <n v="40"/>
    <d v="2018-02-16T00:00:00"/>
    <n v="120905"/>
    <n v="0.05"/>
    <x v="0"/>
    <s v="Seattle"/>
    <x v="1"/>
    <n v="6045.25"/>
    <n v="126950.25"/>
    <x v="1"/>
    <n v="7"/>
    <s v="30-40"/>
  </r>
  <r>
    <x v="310"/>
    <x v="315"/>
    <x v="9"/>
    <x v="1"/>
    <x v="1"/>
    <x v="0"/>
    <s v="Caucasian"/>
    <n v="48"/>
    <d v="2018-06-02T00:00:00"/>
    <n v="231567"/>
    <n v="0.36"/>
    <x v="0"/>
    <s v="Seattle"/>
    <x v="1"/>
    <n v="83364.12"/>
    <n v="314931.12"/>
    <x v="1"/>
    <n v="7"/>
    <s v="41-50"/>
  </r>
  <r>
    <x v="167"/>
    <x v="316"/>
    <x v="9"/>
    <x v="0"/>
    <x v="0"/>
    <x v="1"/>
    <s v="Asian"/>
    <n v="31"/>
    <d v="2015-07-12T00:00:00"/>
    <n v="215388"/>
    <n v="0.33"/>
    <x v="0"/>
    <s v="Miami"/>
    <x v="1"/>
    <n v="71078.040000000008"/>
    <n v="286466.04000000004"/>
    <x v="1"/>
    <n v="10"/>
    <s v="30-40"/>
  </r>
  <r>
    <x v="311"/>
    <x v="317"/>
    <x v="0"/>
    <x v="2"/>
    <x v="2"/>
    <x v="0"/>
    <s v="Asian"/>
    <n v="30"/>
    <d v="2015-06-13T00:00:00"/>
    <n v="127972"/>
    <n v="0.11"/>
    <x v="0"/>
    <s v="Seattle"/>
    <x v="1"/>
    <n v="14076.92"/>
    <n v="142048.92000000001"/>
    <x v="1"/>
    <n v="10"/>
    <s v="30-40"/>
  </r>
  <r>
    <x v="312"/>
    <x v="318"/>
    <x v="19"/>
    <x v="5"/>
    <x v="3"/>
    <x v="0"/>
    <s v="Asian"/>
    <n v="55"/>
    <d v="1995-08-04T00:00:00"/>
    <n v="80701"/>
    <n v="0"/>
    <x v="0"/>
    <s v="Chicago"/>
    <x v="25"/>
    <n v="0"/>
    <n v="80701"/>
    <x v="0"/>
    <n v="9"/>
    <s v="50+"/>
  </r>
  <r>
    <x v="313"/>
    <x v="319"/>
    <x v="6"/>
    <x v="6"/>
    <x v="3"/>
    <x v="1"/>
    <s v="Asian"/>
    <n v="28"/>
    <d v="2020-02-02T00:00:00"/>
    <n v="115417"/>
    <n v="0.06"/>
    <x v="1"/>
    <s v="Shanghai"/>
    <x v="1"/>
    <n v="6925.0199999999995"/>
    <n v="122342.02"/>
    <x v="1"/>
    <n v="5"/>
    <s v="Under 30"/>
  </r>
  <r>
    <x v="135"/>
    <x v="320"/>
    <x v="10"/>
    <x v="5"/>
    <x v="3"/>
    <x v="0"/>
    <s v="Caucasian"/>
    <n v="45"/>
    <d v="2019-06-19T00:00:00"/>
    <n v="88045"/>
    <n v="0"/>
    <x v="0"/>
    <s v="Chicago"/>
    <x v="1"/>
    <n v="0"/>
    <n v="88045"/>
    <x v="1"/>
    <n v="6"/>
    <s v="41-50"/>
  </r>
  <r>
    <x v="314"/>
    <x v="321"/>
    <x v="3"/>
    <x v="0"/>
    <x v="2"/>
    <x v="0"/>
    <s v="Black"/>
    <n v="45"/>
    <d v="2018-03-26T00:00:00"/>
    <n v="86478"/>
    <n v="0.06"/>
    <x v="0"/>
    <s v="Austin"/>
    <x v="1"/>
    <n v="5188.6799999999994"/>
    <n v="91666.68"/>
    <x v="1"/>
    <n v="7"/>
    <s v="41-50"/>
  </r>
  <r>
    <x v="315"/>
    <x v="322"/>
    <x v="9"/>
    <x v="5"/>
    <x v="1"/>
    <x v="1"/>
    <s v="Caucasian"/>
    <n v="63"/>
    <d v="2016-01-18T00:00:00"/>
    <n v="180994"/>
    <n v="0.39"/>
    <x v="0"/>
    <s v="Seattle"/>
    <x v="1"/>
    <n v="70587.66"/>
    <n v="251581.66"/>
    <x v="1"/>
    <n v="10"/>
    <s v="50+"/>
  </r>
  <r>
    <x v="316"/>
    <x v="323"/>
    <x v="13"/>
    <x v="1"/>
    <x v="0"/>
    <x v="0"/>
    <s v="Asian"/>
    <n v="55"/>
    <d v="2007-12-02T00:00:00"/>
    <n v="64494"/>
    <n v="0"/>
    <x v="0"/>
    <s v="Columbus"/>
    <x v="1"/>
    <n v="0"/>
    <n v="64494"/>
    <x v="1"/>
    <n v="18"/>
    <s v="50+"/>
  </r>
  <r>
    <x v="317"/>
    <x v="324"/>
    <x v="5"/>
    <x v="2"/>
    <x v="1"/>
    <x v="1"/>
    <s v="Black"/>
    <n v="47"/>
    <d v="2002-10-21T00:00:00"/>
    <n v="70122"/>
    <n v="0"/>
    <x v="0"/>
    <s v="Columbus"/>
    <x v="1"/>
    <n v="0"/>
    <n v="70122"/>
    <x v="1"/>
    <n v="23"/>
    <s v="41-50"/>
  </r>
  <r>
    <x v="318"/>
    <x v="325"/>
    <x v="2"/>
    <x v="3"/>
    <x v="1"/>
    <x v="1"/>
    <s v="Caucasian"/>
    <n v="29"/>
    <d v="2017-02-19T00:00:00"/>
    <n v="181854"/>
    <n v="0.28999999999999998"/>
    <x v="0"/>
    <s v="Seattle"/>
    <x v="26"/>
    <n v="52737.659999999996"/>
    <n v="234591.66"/>
    <x v="0"/>
    <n v="3"/>
    <s v="Under 30"/>
  </r>
  <r>
    <x v="319"/>
    <x v="326"/>
    <x v="20"/>
    <x v="4"/>
    <x v="2"/>
    <x v="0"/>
    <s v="Latino"/>
    <n v="34"/>
    <d v="2016-10-21T00:00:00"/>
    <n v="52811"/>
    <n v="0"/>
    <x v="0"/>
    <s v="Miami"/>
    <x v="1"/>
    <n v="0"/>
    <n v="52811"/>
    <x v="1"/>
    <n v="9"/>
    <s v="30-40"/>
  </r>
  <r>
    <x v="320"/>
    <x v="327"/>
    <x v="28"/>
    <x v="0"/>
    <x v="0"/>
    <x v="0"/>
    <s v="Asian"/>
    <n v="28"/>
    <d v="2019-10-25T00:00:00"/>
    <n v="50111"/>
    <n v="0"/>
    <x v="1"/>
    <s v="Chengdu"/>
    <x v="1"/>
    <n v="0"/>
    <n v="50111"/>
    <x v="1"/>
    <n v="6"/>
    <s v="Under 30"/>
  </r>
  <r>
    <x v="321"/>
    <x v="274"/>
    <x v="32"/>
    <x v="0"/>
    <x v="1"/>
    <x v="1"/>
    <s v="Black"/>
    <n v="31"/>
    <d v="2016-05-07T00:00:00"/>
    <n v="71192"/>
    <n v="0"/>
    <x v="0"/>
    <s v="Austin"/>
    <x v="1"/>
    <n v="0"/>
    <n v="71192"/>
    <x v="1"/>
    <n v="9"/>
    <s v="30-40"/>
  </r>
  <r>
    <x v="322"/>
    <x v="328"/>
    <x v="2"/>
    <x v="2"/>
    <x v="1"/>
    <x v="0"/>
    <s v="Latino"/>
    <n v="50"/>
    <d v="2018-12-18T00:00:00"/>
    <n v="155351"/>
    <n v="0.2"/>
    <x v="0"/>
    <s v="Seattle"/>
    <x v="1"/>
    <n v="31070.2"/>
    <n v="186421.2"/>
    <x v="1"/>
    <n v="7"/>
    <s v="50+"/>
  </r>
  <r>
    <x v="323"/>
    <x v="329"/>
    <x v="2"/>
    <x v="4"/>
    <x v="2"/>
    <x v="1"/>
    <s v="Asian"/>
    <n v="39"/>
    <d v="2006-11-28T00:00:00"/>
    <n v="161690"/>
    <n v="0.28999999999999998"/>
    <x v="1"/>
    <s v="Beijing"/>
    <x v="1"/>
    <n v="46890.1"/>
    <n v="208580.1"/>
    <x v="1"/>
    <n v="19"/>
    <s v="30-40"/>
  </r>
  <r>
    <x v="324"/>
    <x v="330"/>
    <x v="25"/>
    <x v="5"/>
    <x v="2"/>
    <x v="0"/>
    <s v="Asian"/>
    <n v="35"/>
    <d v="2017-02-10T00:00:00"/>
    <n v="60132"/>
    <n v="0"/>
    <x v="1"/>
    <s v="Chongqing"/>
    <x v="1"/>
    <n v="0"/>
    <n v="60132"/>
    <x v="1"/>
    <n v="8"/>
    <s v="30-40"/>
  </r>
  <r>
    <x v="325"/>
    <x v="331"/>
    <x v="23"/>
    <x v="0"/>
    <x v="1"/>
    <x v="1"/>
    <s v="Caucasian"/>
    <n v="54"/>
    <d v="1994-10-24T00:00:00"/>
    <n v="87216"/>
    <n v="0"/>
    <x v="0"/>
    <s v="Miami"/>
    <x v="1"/>
    <n v="0"/>
    <n v="87216"/>
    <x v="1"/>
    <n v="31"/>
    <s v="50+"/>
  </r>
  <r>
    <x v="326"/>
    <x v="332"/>
    <x v="28"/>
    <x v="0"/>
    <x v="3"/>
    <x v="1"/>
    <s v="Caucasian"/>
    <n v="47"/>
    <d v="2020-04-23T00:00:00"/>
    <n v="50069"/>
    <n v="0"/>
    <x v="0"/>
    <s v="Seattle"/>
    <x v="1"/>
    <n v="0"/>
    <n v="50069"/>
    <x v="1"/>
    <n v="5"/>
    <s v="41-50"/>
  </r>
  <r>
    <x v="327"/>
    <x v="333"/>
    <x v="2"/>
    <x v="0"/>
    <x v="2"/>
    <x v="0"/>
    <s v="Caucasian"/>
    <n v="26"/>
    <d v="2021-07-26T00:00:00"/>
    <n v="151108"/>
    <n v="0.22"/>
    <x v="0"/>
    <s v="Phoenix"/>
    <x v="1"/>
    <n v="33243.760000000002"/>
    <n v="184351.76"/>
    <x v="1"/>
    <n v="4"/>
    <s v="Under 30"/>
  </r>
  <r>
    <x v="328"/>
    <x v="334"/>
    <x v="3"/>
    <x v="0"/>
    <x v="1"/>
    <x v="0"/>
    <s v="Asian"/>
    <n v="42"/>
    <d v="2005-10-15T00:00:00"/>
    <n v="67398"/>
    <n v="7.0000000000000007E-2"/>
    <x v="0"/>
    <s v="Phoenix"/>
    <x v="1"/>
    <n v="4717.8600000000006"/>
    <n v="72115.86"/>
    <x v="1"/>
    <n v="20"/>
    <s v="41-50"/>
  </r>
  <r>
    <x v="329"/>
    <x v="335"/>
    <x v="25"/>
    <x v="5"/>
    <x v="0"/>
    <x v="0"/>
    <s v="Latino"/>
    <n v="47"/>
    <d v="2015-08-29T00:00:00"/>
    <n v="68488"/>
    <n v="0"/>
    <x v="0"/>
    <s v="Seattle"/>
    <x v="1"/>
    <n v="0"/>
    <n v="68488"/>
    <x v="1"/>
    <n v="10"/>
    <s v="41-50"/>
  </r>
  <r>
    <x v="330"/>
    <x v="336"/>
    <x v="10"/>
    <x v="5"/>
    <x v="1"/>
    <x v="0"/>
    <s v="Latino"/>
    <n v="60"/>
    <d v="1998-07-16T00:00:00"/>
    <n v="92932"/>
    <n v="0"/>
    <x v="0"/>
    <s v="Columbus"/>
    <x v="1"/>
    <n v="0"/>
    <n v="92932"/>
    <x v="1"/>
    <n v="27"/>
    <s v="50+"/>
  </r>
  <r>
    <x v="331"/>
    <x v="337"/>
    <x v="7"/>
    <x v="1"/>
    <x v="3"/>
    <x v="0"/>
    <s v="Latino"/>
    <n v="36"/>
    <d v="2009-06-30T00:00:00"/>
    <n v="43363"/>
    <n v="0"/>
    <x v="0"/>
    <s v="Austin"/>
    <x v="1"/>
    <n v="0"/>
    <n v="43363"/>
    <x v="1"/>
    <n v="16"/>
    <s v="30-40"/>
  </r>
  <r>
    <x v="332"/>
    <x v="338"/>
    <x v="31"/>
    <x v="0"/>
    <x v="2"/>
    <x v="1"/>
    <s v="Asian"/>
    <n v="31"/>
    <d v="2017-02-14T00:00:00"/>
    <n v="95963"/>
    <n v="0"/>
    <x v="1"/>
    <s v="Chengdu"/>
    <x v="1"/>
    <n v="0"/>
    <n v="95963"/>
    <x v="1"/>
    <n v="8"/>
    <s v="30-40"/>
  </r>
  <r>
    <x v="333"/>
    <x v="339"/>
    <x v="6"/>
    <x v="1"/>
    <x v="2"/>
    <x v="0"/>
    <s v="Latino"/>
    <n v="55"/>
    <d v="2010-04-29T00:00:00"/>
    <n v="111038"/>
    <n v="0.05"/>
    <x v="2"/>
    <s v="Sao Paulo"/>
    <x v="1"/>
    <n v="5551.9000000000005"/>
    <n v="116589.9"/>
    <x v="1"/>
    <n v="15"/>
    <s v="50+"/>
  </r>
  <r>
    <x v="334"/>
    <x v="340"/>
    <x v="9"/>
    <x v="5"/>
    <x v="0"/>
    <x v="0"/>
    <s v="Caucasian"/>
    <n v="51"/>
    <d v="1996-06-14T00:00:00"/>
    <n v="200246"/>
    <n v="0.34"/>
    <x v="0"/>
    <s v="Columbus"/>
    <x v="1"/>
    <n v="68083.64"/>
    <n v="268329.64"/>
    <x v="1"/>
    <n v="29"/>
    <s v="50+"/>
  </r>
  <r>
    <x v="231"/>
    <x v="341"/>
    <x v="9"/>
    <x v="0"/>
    <x v="3"/>
    <x v="0"/>
    <s v="Caucasian"/>
    <n v="48"/>
    <d v="2015-02-18T00:00:00"/>
    <n v="194871"/>
    <n v="0.35"/>
    <x v="0"/>
    <s v="Columbus"/>
    <x v="1"/>
    <n v="68204.849999999991"/>
    <n v="263075.84999999998"/>
    <x v="1"/>
    <n v="10"/>
    <s v="41-50"/>
  </r>
  <r>
    <x v="335"/>
    <x v="342"/>
    <x v="4"/>
    <x v="3"/>
    <x v="0"/>
    <x v="1"/>
    <s v="Latino"/>
    <n v="58"/>
    <d v="1994-09-15T00:00:00"/>
    <n v="98769"/>
    <n v="0"/>
    <x v="2"/>
    <s v="Rio de Janerio"/>
    <x v="27"/>
    <n v="0"/>
    <n v="98769"/>
    <x v="0"/>
    <n v="22"/>
    <s v="50+"/>
  </r>
  <r>
    <x v="336"/>
    <x v="343"/>
    <x v="5"/>
    <x v="2"/>
    <x v="0"/>
    <x v="0"/>
    <s v="Latino"/>
    <n v="29"/>
    <d v="2018-05-19T00:00:00"/>
    <n v="65334"/>
    <n v="0"/>
    <x v="2"/>
    <s v="Rio de Janerio"/>
    <x v="1"/>
    <n v="0"/>
    <n v="65334"/>
    <x v="1"/>
    <n v="7"/>
    <s v="Under 30"/>
  </r>
  <r>
    <x v="337"/>
    <x v="344"/>
    <x v="1"/>
    <x v="0"/>
    <x v="1"/>
    <x v="0"/>
    <s v="Latino"/>
    <n v="25"/>
    <d v="2021-05-11T00:00:00"/>
    <n v="83934"/>
    <n v="0"/>
    <x v="0"/>
    <s v="Miami"/>
    <x v="1"/>
    <n v="0"/>
    <n v="83934"/>
    <x v="1"/>
    <n v="4"/>
    <s v="Under 30"/>
  </r>
  <r>
    <x v="338"/>
    <x v="345"/>
    <x v="2"/>
    <x v="3"/>
    <x v="0"/>
    <x v="1"/>
    <s v="Caucasian"/>
    <n v="36"/>
    <d v="2016-09-03T00:00:00"/>
    <n v="150399"/>
    <n v="0.28000000000000003"/>
    <x v="0"/>
    <s v="Chicago"/>
    <x v="1"/>
    <n v="42111.72"/>
    <n v="192510.72"/>
    <x v="1"/>
    <n v="9"/>
    <s v="30-40"/>
  </r>
  <r>
    <x v="339"/>
    <x v="346"/>
    <x v="2"/>
    <x v="4"/>
    <x v="0"/>
    <x v="1"/>
    <s v="Asian"/>
    <n v="37"/>
    <d v="2012-05-19T00:00:00"/>
    <n v="160280"/>
    <n v="0.19"/>
    <x v="1"/>
    <s v="Beijing"/>
    <x v="1"/>
    <n v="30453.200000000001"/>
    <n v="190733.2"/>
    <x v="1"/>
    <n v="13"/>
    <s v="30-40"/>
  </r>
  <r>
    <x v="340"/>
    <x v="347"/>
    <x v="20"/>
    <x v="4"/>
    <x v="2"/>
    <x v="1"/>
    <s v="Asian"/>
    <n v="57"/>
    <d v="1997-04-28T00:00:00"/>
    <n v="54051"/>
    <n v="0"/>
    <x v="0"/>
    <s v="Miami"/>
    <x v="28"/>
    <n v="0"/>
    <n v="54051"/>
    <x v="0"/>
    <n v="1"/>
    <s v="50+"/>
  </r>
  <r>
    <x v="341"/>
    <x v="348"/>
    <x v="2"/>
    <x v="5"/>
    <x v="0"/>
    <x v="0"/>
    <s v="Latino"/>
    <n v="59"/>
    <d v="2003-04-15T00:00:00"/>
    <n v="150699"/>
    <n v="0.28999999999999998"/>
    <x v="2"/>
    <s v="Sao Paulo"/>
    <x v="1"/>
    <n v="43702.71"/>
    <n v="194401.71"/>
    <x v="1"/>
    <n v="22"/>
    <s v="50+"/>
  </r>
  <r>
    <x v="342"/>
    <x v="349"/>
    <x v="13"/>
    <x v="6"/>
    <x v="2"/>
    <x v="1"/>
    <s v="Latino"/>
    <n v="37"/>
    <d v="2013-03-30T00:00:00"/>
    <n v="69570"/>
    <n v="0"/>
    <x v="0"/>
    <s v="Miami"/>
    <x v="1"/>
    <n v="0"/>
    <n v="69570"/>
    <x v="1"/>
    <n v="12"/>
    <s v="30-40"/>
  </r>
  <r>
    <x v="343"/>
    <x v="350"/>
    <x v="31"/>
    <x v="0"/>
    <x v="1"/>
    <x v="0"/>
    <s v="Asian"/>
    <n v="30"/>
    <d v="2019-03-29T00:00:00"/>
    <n v="86774"/>
    <n v="0"/>
    <x v="1"/>
    <s v="Chengdu"/>
    <x v="1"/>
    <n v="0"/>
    <n v="86774"/>
    <x v="1"/>
    <n v="6"/>
    <s v="30-40"/>
  </r>
  <r>
    <x v="344"/>
    <x v="351"/>
    <x v="16"/>
    <x v="4"/>
    <x v="1"/>
    <x v="1"/>
    <s v="Caucasian"/>
    <n v="49"/>
    <d v="2001-03-29T00:00:00"/>
    <n v="57606"/>
    <n v="0"/>
    <x v="0"/>
    <s v="Miami"/>
    <x v="1"/>
    <n v="0"/>
    <n v="57606"/>
    <x v="1"/>
    <n v="24"/>
    <s v="41-50"/>
  </r>
  <r>
    <x v="345"/>
    <x v="352"/>
    <x v="0"/>
    <x v="1"/>
    <x v="3"/>
    <x v="0"/>
    <s v="Asian"/>
    <n v="48"/>
    <d v="2001-09-10T00:00:00"/>
    <n v="125730"/>
    <n v="0.11"/>
    <x v="1"/>
    <s v="Chongqing"/>
    <x v="1"/>
    <n v="13830.3"/>
    <n v="139560.29999999999"/>
    <x v="1"/>
    <n v="24"/>
    <s v="41-50"/>
  </r>
  <r>
    <x v="346"/>
    <x v="353"/>
    <x v="27"/>
    <x v="0"/>
    <x v="0"/>
    <x v="0"/>
    <s v="Asian"/>
    <n v="51"/>
    <d v="2012-02-25T00:00:00"/>
    <n v="64170"/>
    <n v="0"/>
    <x v="0"/>
    <s v="Columbus"/>
    <x v="1"/>
    <n v="0"/>
    <n v="64170"/>
    <x v="1"/>
    <n v="13"/>
    <s v="50+"/>
  </r>
  <r>
    <x v="347"/>
    <x v="354"/>
    <x v="15"/>
    <x v="4"/>
    <x v="2"/>
    <x v="1"/>
    <s v="Latino"/>
    <n v="56"/>
    <d v="1998-01-21T00:00:00"/>
    <n v="72303"/>
    <n v="0"/>
    <x v="0"/>
    <s v="Phoenix"/>
    <x v="1"/>
    <n v="0"/>
    <n v="72303"/>
    <x v="1"/>
    <n v="28"/>
    <s v="50+"/>
  </r>
  <r>
    <x v="348"/>
    <x v="355"/>
    <x v="6"/>
    <x v="2"/>
    <x v="0"/>
    <x v="1"/>
    <s v="Latino"/>
    <n v="36"/>
    <d v="2012-07-26T00:00:00"/>
    <n v="105891"/>
    <n v="7.0000000000000007E-2"/>
    <x v="0"/>
    <s v="Seattle"/>
    <x v="1"/>
    <n v="7412.3700000000008"/>
    <n v="113303.37"/>
    <x v="1"/>
    <n v="13"/>
    <s v="30-40"/>
  </r>
  <r>
    <x v="184"/>
    <x v="356"/>
    <x v="9"/>
    <x v="6"/>
    <x v="2"/>
    <x v="1"/>
    <s v="Asian"/>
    <n v="38"/>
    <d v="2021-08-25T00:00:00"/>
    <n v="255230"/>
    <n v="0.36"/>
    <x v="0"/>
    <s v="Austin"/>
    <x v="1"/>
    <n v="91882.8"/>
    <n v="347112.8"/>
    <x v="1"/>
    <n v="4"/>
    <s v="30-40"/>
  </r>
  <r>
    <x v="349"/>
    <x v="357"/>
    <x v="13"/>
    <x v="2"/>
    <x v="1"/>
    <x v="0"/>
    <s v="Latino"/>
    <n v="56"/>
    <d v="1992-06-15T00:00:00"/>
    <n v="59591"/>
    <n v="0"/>
    <x v="2"/>
    <s v="Sao Paulo"/>
    <x v="1"/>
    <n v="0"/>
    <n v="59591"/>
    <x v="1"/>
    <n v="33"/>
    <s v="50+"/>
  </r>
  <r>
    <x v="350"/>
    <x v="358"/>
    <x v="9"/>
    <x v="4"/>
    <x v="1"/>
    <x v="0"/>
    <s v="Asian"/>
    <n v="52"/>
    <d v="2012-07-23T00:00:00"/>
    <n v="187048"/>
    <n v="0.32"/>
    <x v="1"/>
    <s v="Chengdu"/>
    <x v="1"/>
    <n v="59855.360000000001"/>
    <n v="246903.36"/>
    <x v="1"/>
    <n v="13"/>
    <s v="50+"/>
  </r>
  <r>
    <x v="351"/>
    <x v="359"/>
    <x v="13"/>
    <x v="1"/>
    <x v="2"/>
    <x v="0"/>
    <s v="Latino"/>
    <n v="53"/>
    <d v="2002-02-09T00:00:00"/>
    <n v="58605"/>
    <n v="0"/>
    <x v="0"/>
    <s v="Phoenix"/>
    <x v="1"/>
    <n v="0"/>
    <n v="58605"/>
    <x v="1"/>
    <n v="23"/>
    <s v="50+"/>
  </r>
  <r>
    <x v="352"/>
    <x v="360"/>
    <x v="2"/>
    <x v="5"/>
    <x v="3"/>
    <x v="0"/>
    <s v="Latino"/>
    <n v="60"/>
    <d v="2017-01-04T00:00:00"/>
    <n v="178502"/>
    <n v="0.2"/>
    <x v="0"/>
    <s v="Austin"/>
    <x v="1"/>
    <n v="35700.400000000001"/>
    <n v="214202.4"/>
    <x v="1"/>
    <n v="9"/>
    <s v="50+"/>
  </r>
  <r>
    <x v="353"/>
    <x v="361"/>
    <x v="6"/>
    <x v="3"/>
    <x v="2"/>
    <x v="1"/>
    <s v="Asian"/>
    <n v="63"/>
    <d v="2015-07-29T00:00:00"/>
    <n v="103724"/>
    <n v="0.05"/>
    <x v="1"/>
    <s v="Shanghai"/>
    <x v="1"/>
    <n v="5186.2000000000007"/>
    <n v="108910.2"/>
    <x v="1"/>
    <n v="10"/>
    <s v="50+"/>
  </r>
  <r>
    <x v="354"/>
    <x v="362"/>
    <x v="2"/>
    <x v="5"/>
    <x v="0"/>
    <x v="0"/>
    <s v="Latino"/>
    <n v="37"/>
    <d v="2008-03-21T00:00:00"/>
    <n v="156277"/>
    <n v="0.22"/>
    <x v="2"/>
    <s v="Manaus"/>
    <x v="1"/>
    <n v="34380.94"/>
    <n v="190657.94"/>
    <x v="1"/>
    <n v="17"/>
    <s v="30-40"/>
  </r>
  <r>
    <x v="355"/>
    <x v="363"/>
    <x v="17"/>
    <x v="5"/>
    <x v="0"/>
    <x v="0"/>
    <s v="Latino"/>
    <n v="30"/>
    <d v="2017-12-17T00:00:00"/>
    <n v="87744"/>
    <n v="0"/>
    <x v="2"/>
    <s v="Sao Paulo"/>
    <x v="1"/>
    <n v="0"/>
    <n v="87744"/>
    <x v="1"/>
    <n v="8"/>
    <s v="30-40"/>
  </r>
  <r>
    <x v="356"/>
    <x v="364"/>
    <x v="13"/>
    <x v="1"/>
    <x v="1"/>
    <x v="1"/>
    <s v="Caucasian"/>
    <n v="30"/>
    <d v="2019-03-18T00:00:00"/>
    <n v="54714"/>
    <n v="0"/>
    <x v="0"/>
    <s v="Columbus"/>
    <x v="1"/>
    <n v="0"/>
    <n v="54714"/>
    <x v="1"/>
    <n v="6"/>
    <s v="30-40"/>
  </r>
  <r>
    <x v="357"/>
    <x v="365"/>
    <x v="14"/>
    <x v="0"/>
    <x v="3"/>
    <x v="0"/>
    <s v="Asian"/>
    <n v="45"/>
    <d v="2013-08-25T00:00:00"/>
    <n v="99169"/>
    <n v="0"/>
    <x v="1"/>
    <s v="Beijing"/>
    <x v="1"/>
    <n v="0"/>
    <n v="99169"/>
    <x v="1"/>
    <n v="12"/>
    <s v="41-50"/>
  </r>
  <r>
    <x v="358"/>
    <x v="366"/>
    <x v="0"/>
    <x v="3"/>
    <x v="0"/>
    <x v="0"/>
    <s v="Asian"/>
    <n v="55"/>
    <d v="2006-06-20T00:00:00"/>
    <n v="142628"/>
    <n v="0.12"/>
    <x v="1"/>
    <s v="Chongqing"/>
    <x v="1"/>
    <n v="17115.36"/>
    <n v="159743.35999999999"/>
    <x v="1"/>
    <n v="19"/>
    <s v="50+"/>
  </r>
  <r>
    <x v="359"/>
    <x v="367"/>
    <x v="4"/>
    <x v="6"/>
    <x v="1"/>
    <x v="0"/>
    <s v="Latino"/>
    <n v="33"/>
    <d v="2014-04-27T00:00:00"/>
    <n v="75869"/>
    <n v="0"/>
    <x v="2"/>
    <s v="Sao Paulo"/>
    <x v="1"/>
    <n v="0"/>
    <n v="75869"/>
    <x v="1"/>
    <n v="11"/>
    <s v="30-40"/>
  </r>
  <r>
    <x v="360"/>
    <x v="368"/>
    <x v="23"/>
    <x v="0"/>
    <x v="1"/>
    <x v="0"/>
    <s v="Caucasian"/>
    <n v="65"/>
    <d v="2018-05-14T00:00:00"/>
    <n v="60985"/>
    <n v="0"/>
    <x v="0"/>
    <s v="Seattle"/>
    <x v="1"/>
    <n v="0"/>
    <n v="60985"/>
    <x v="1"/>
    <n v="7"/>
    <s v="50+"/>
  </r>
  <r>
    <x v="361"/>
    <x v="369"/>
    <x v="0"/>
    <x v="0"/>
    <x v="0"/>
    <x v="0"/>
    <s v="Asian"/>
    <n v="60"/>
    <d v="2010-07-24T00:00:00"/>
    <n v="126911"/>
    <n v="0.1"/>
    <x v="1"/>
    <s v="Shanghai"/>
    <x v="1"/>
    <n v="12691.1"/>
    <n v="139602.1"/>
    <x v="1"/>
    <n v="15"/>
    <s v="50+"/>
  </r>
  <r>
    <x v="362"/>
    <x v="370"/>
    <x v="9"/>
    <x v="2"/>
    <x v="0"/>
    <x v="1"/>
    <s v="Asian"/>
    <n v="56"/>
    <d v="2004-02-25T00:00:00"/>
    <n v="216949"/>
    <n v="0.32"/>
    <x v="1"/>
    <s v="Shanghai"/>
    <x v="1"/>
    <n v="69423.680000000008"/>
    <n v="286372.68"/>
    <x v="1"/>
    <n v="21"/>
    <s v="50+"/>
  </r>
  <r>
    <x v="363"/>
    <x v="371"/>
    <x v="2"/>
    <x v="5"/>
    <x v="1"/>
    <x v="1"/>
    <s v="Asian"/>
    <n v="53"/>
    <d v="2012-10-22T00:00:00"/>
    <n v="168510"/>
    <n v="0.28999999999999998"/>
    <x v="0"/>
    <s v="Seattle"/>
    <x v="1"/>
    <n v="48867.899999999994"/>
    <n v="217377.9"/>
    <x v="1"/>
    <n v="13"/>
    <s v="50+"/>
  </r>
  <r>
    <x v="364"/>
    <x v="372"/>
    <x v="17"/>
    <x v="5"/>
    <x v="2"/>
    <x v="0"/>
    <s v="Latino"/>
    <n v="36"/>
    <d v="2016-03-14T00:00:00"/>
    <n v="85870"/>
    <n v="0"/>
    <x v="2"/>
    <s v="Sao Paulo"/>
    <x v="1"/>
    <n v="0"/>
    <n v="85870"/>
    <x v="1"/>
    <n v="9"/>
    <s v="30-40"/>
  </r>
  <r>
    <x v="365"/>
    <x v="373"/>
    <x v="4"/>
    <x v="6"/>
    <x v="3"/>
    <x v="0"/>
    <s v="Asian"/>
    <n v="46"/>
    <d v="2002-01-15T00:00:00"/>
    <n v="86510"/>
    <n v="0"/>
    <x v="1"/>
    <s v="Beijing"/>
    <x v="29"/>
    <n v="0"/>
    <n v="86510"/>
    <x v="0"/>
    <n v="0"/>
    <s v="41-50"/>
  </r>
  <r>
    <x v="366"/>
    <x v="374"/>
    <x v="6"/>
    <x v="2"/>
    <x v="2"/>
    <x v="0"/>
    <s v="Latino"/>
    <n v="38"/>
    <d v="2017-09-21T00:00:00"/>
    <n v="119647"/>
    <n v="0.09"/>
    <x v="2"/>
    <s v="Sao Paulo"/>
    <x v="1"/>
    <n v="10768.23"/>
    <n v="130415.23"/>
    <x v="1"/>
    <n v="8"/>
    <s v="30-40"/>
  </r>
  <r>
    <x v="367"/>
    <x v="375"/>
    <x v="14"/>
    <x v="0"/>
    <x v="0"/>
    <x v="1"/>
    <s v="Caucasian"/>
    <n v="62"/>
    <d v="2001-04-15T00:00:00"/>
    <n v="80921"/>
    <n v="0"/>
    <x v="0"/>
    <s v="Columbus"/>
    <x v="1"/>
    <n v="0"/>
    <n v="80921"/>
    <x v="1"/>
    <n v="24"/>
    <s v="50+"/>
  </r>
  <r>
    <x v="368"/>
    <x v="376"/>
    <x v="11"/>
    <x v="5"/>
    <x v="0"/>
    <x v="0"/>
    <s v="Caucasian"/>
    <n v="61"/>
    <d v="2010-01-15T00:00:00"/>
    <n v="98110"/>
    <n v="0.13"/>
    <x v="0"/>
    <s v="Chicago"/>
    <x v="1"/>
    <n v="12754.300000000001"/>
    <n v="110864.3"/>
    <x v="1"/>
    <n v="16"/>
    <s v="50+"/>
  </r>
  <r>
    <x v="369"/>
    <x v="377"/>
    <x v="23"/>
    <x v="0"/>
    <x v="2"/>
    <x v="0"/>
    <s v="Caucasian"/>
    <n v="59"/>
    <d v="2017-10-20T00:00:00"/>
    <n v="86831"/>
    <n v="0"/>
    <x v="0"/>
    <s v="Phoenix"/>
    <x v="1"/>
    <n v="0"/>
    <n v="86831"/>
    <x v="1"/>
    <n v="8"/>
    <s v="50+"/>
  </r>
  <r>
    <x v="370"/>
    <x v="378"/>
    <x v="1"/>
    <x v="0"/>
    <x v="2"/>
    <x v="0"/>
    <s v="Asian"/>
    <n v="49"/>
    <d v="2010-09-10T00:00:00"/>
    <n v="72826"/>
    <n v="0"/>
    <x v="1"/>
    <s v="Beijing"/>
    <x v="1"/>
    <n v="0"/>
    <n v="72826"/>
    <x v="1"/>
    <n v="15"/>
    <s v="41-50"/>
  </r>
  <r>
    <x v="371"/>
    <x v="379"/>
    <x v="2"/>
    <x v="6"/>
    <x v="1"/>
    <x v="0"/>
    <s v="Asian"/>
    <n v="64"/>
    <d v="2011-02-14T00:00:00"/>
    <n v="171217"/>
    <n v="0.19"/>
    <x v="0"/>
    <s v="Seattle"/>
    <x v="1"/>
    <n v="32531.23"/>
    <n v="203748.23"/>
    <x v="1"/>
    <n v="14"/>
    <s v="50+"/>
  </r>
  <r>
    <x v="372"/>
    <x v="380"/>
    <x v="6"/>
    <x v="0"/>
    <x v="0"/>
    <x v="0"/>
    <s v="Caucasian"/>
    <n v="57"/>
    <d v="2020-04-27T00:00:00"/>
    <n v="103058"/>
    <n v="7.0000000000000007E-2"/>
    <x v="0"/>
    <s v="Columbus"/>
    <x v="1"/>
    <n v="7214.06"/>
    <n v="110272.06"/>
    <x v="1"/>
    <n v="5"/>
    <s v="50+"/>
  </r>
  <r>
    <x v="373"/>
    <x v="381"/>
    <x v="6"/>
    <x v="2"/>
    <x v="2"/>
    <x v="1"/>
    <s v="Asian"/>
    <n v="52"/>
    <d v="2014-08-07T00:00:00"/>
    <n v="117062"/>
    <n v="7.0000000000000007E-2"/>
    <x v="0"/>
    <s v="Phoenix"/>
    <x v="1"/>
    <n v="8194.34"/>
    <n v="125256.34"/>
    <x v="1"/>
    <n v="11"/>
    <s v="50+"/>
  </r>
  <r>
    <x v="374"/>
    <x v="382"/>
    <x v="0"/>
    <x v="3"/>
    <x v="2"/>
    <x v="1"/>
    <s v="Latino"/>
    <n v="40"/>
    <d v="2019-01-23T00:00:00"/>
    <n v="159031"/>
    <n v="0.1"/>
    <x v="0"/>
    <s v="Miami"/>
    <x v="1"/>
    <n v="15903.1"/>
    <n v="174934.1"/>
    <x v="1"/>
    <n v="7"/>
    <s v="30-40"/>
  </r>
  <r>
    <x v="375"/>
    <x v="383"/>
    <x v="0"/>
    <x v="0"/>
    <x v="0"/>
    <x v="0"/>
    <s v="Latino"/>
    <n v="49"/>
    <d v="2004-01-14T00:00:00"/>
    <n v="125086"/>
    <n v="0.1"/>
    <x v="2"/>
    <s v="Sao Paulo"/>
    <x v="1"/>
    <n v="12508.6"/>
    <n v="137594.6"/>
    <x v="1"/>
    <n v="22"/>
    <s v="41-50"/>
  </r>
  <r>
    <x v="376"/>
    <x v="384"/>
    <x v="27"/>
    <x v="0"/>
    <x v="2"/>
    <x v="1"/>
    <s v="Caucasian"/>
    <n v="43"/>
    <d v="2016-04-07T00:00:00"/>
    <n v="67976"/>
    <n v="0"/>
    <x v="0"/>
    <s v="Seattle"/>
    <x v="1"/>
    <n v="0"/>
    <n v="67976"/>
    <x v="1"/>
    <n v="9"/>
    <s v="41-50"/>
  </r>
  <r>
    <x v="377"/>
    <x v="385"/>
    <x v="13"/>
    <x v="1"/>
    <x v="2"/>
    <x v="1"/>
    <s v="Caucasian"/>
    <n v="31"/>
    <d v="2021-04-22T00:00:00"/>
    <n v="74215"/>
    <n v="0"/>
    <x v="0"/>
    <s v="Phoenix"/>
    <x v="1"/>
    <n v="0"/>
    <n v="74215"/>
    <x v="1"/>
    <n v="4"/>
    <s v="30-40"/>
  </r>
  <r>
    <x v="378"/>
    <x v="386"/>
    <x v="2"/>
    <x v="3"/>
    <x v="1"/>
    <x v="1"/>
    <s v="Asian"/>
    <n v="55"/>
    <d v="2010-06-11T00:00:00"/>
    <n v="187389"/>
    <n v="0.25"/>
    <x v="1"/>
    <s v="Chengdu"/>
    <x v="1"/>
    <n v="46847.25"/>
    <n v="234236.25"/>
    <x v="1"/>
    <n v="15"/>
    <s v="50+"/>
  </r>
  <r>
    <x v="281"/>
    <x v="387"/>
    <x v="0"/>
    <x v="4"/>
    <x v="2"/>
    <x v="0"/>
    <s v="Caucasian"/>
    <n v="41"/>
    <d v="2008-10-26T00:00:00"/>
    <n v="131841"/>
    <n v="0.13"/>
    <x v="0"/>
    <s v="Columbus"/>
    <x v="1"/>
    <n v="17139.330000000002"/>
    <n v="148980.33000000002"/>
    <x v="1"/>
    <n v="17"/>
    <s v="41-50"/>
  </r>
  <r>
    <x v="379"/>
    <x v="388"/>
    <x v="4"/>
    <x v="3"/>
    <x v="0"/>
    <x v="1"/>
    <s v="Asian"/>
    <n v="34"/>
    <d v="2011-07-26T00:00:00"/>
    <n v="97231"/>
    <n v="0"/>
    <x v="1"/>
    <s v="Beijing"/>
    <x v="1"/>
    <n v="0"/>
    <n v="97231"/>
    <x v="1"/>
    <n v="14"/>
    <s v="30-40"/>
  </r>
  <r>
    <x v="380"/>
    <x v="389"/>
    <x v="0"/>
    <x v="1"/>
    <x v="3"/>
    <x v="0"/>
    <s v="Asian"/>
    <n v="41"/>
    <d v="2004-03-14T00:00:00"/>
    <n v="155004"/>
    <n v="0.12"/>
    <x v="0"/>
    <s v="Austin"/>
    <x v="1"/>
    <n v="18600.48"/>
    <n v="173604.48000000001"/>
    <x v="1"/>
    <n v="21"/>
    <s v="41-50"/>
  </r>
  <r>
    <x v="381"/>
    <x v="390"/>
    <x v="28"/>
    <x v="0"/>
    <x v="1"/>
    <x v="1"/>
    <s v="Asian"/>
    <n v="40"/>
    <d v="2007-07-30T00:00:00"/>
    <n v="41859"/>
    <n v="0"/>
    <x v="0"/>
    <s v="Seattle"/>
    <x v="1"/>
    <n v="0"/>
    <n v="41859"/>
    <x v="1"/>
    <n v="18"/>
    <s v="30-40"/>
  </r>
  <r>
    <x v="382"/>
    <x v="391"/>
    <x v="12"/>
    <x v="0"/>
    <x v="1"/>
    <x v="1"/>
    <s v="Black"/>
    <n v="42"/>
    <d v="2006-09-24T00:00:00"/>
    <n v="52733"/>
    <n v="0"/>
    <x v="0"/>
    <s v="Chicago"/>
    <x v="1"/>
    <n v="0"/>
    <n v="52733"/>
    <x v="1"/>
    <n v="19"/>
    <s v="41-50"/>
  </r>
  <r>
    <x v="383"/>
    <x v="392"/>
    <x v="9"/>
    <x v="4"/>
    <x v="3"/>
    <x v="1"/>
    <s v="Asian"/>
    <n v="31"/>
    <d v="2015-09-03T00:00:00"/>
    <n v="250953"/>
    <n v="0.34"/>
    <x v="0"/>
    <s v="Columbus"/>
    <x v="1"/>
    <n v="85324.02"/>
    <n v="336277.02"/>
    <x v="1"/>
    <n v="10"/>
    <s v="30-40"/>
  </r>
  <r>
    <x v="384"/>
    <x v="393"/>
    <x v="2"/>
    <x v="6"/>
    <x v="0"/>
    <x v="1"/>
    <s v="Asian"/>
    <n v="49"/>
    <d v="1999-02-19T00:00:00"/>
    <n v="191807"/>
    <n v="0.21"/>
    <x v="1"/>
    <s v="Chongqing"/>
    <x v="1"/>
    <n v="40279.47"/>
    <n v="232086.47"/>
    <x v="1"/>
    <n v="26"/>
    <s v="41-50"/>
  </r>
  <r>
    <x v="385"/>
    <x v="394"/>
    <x v="1"/>
    <x v="0"/>
    <x v="2"/>
    <x v="1"/>
    <s v="Asian"/>
    <n v="42"/>
    <d v="2014-06-23T00:00:00"/>
    <n v="64677"/>
    <n v="0"/>
    <x v="1"/>
    <s v="Chongqing"/>
    <x v="1"/>
    <n v="0"/>
    <n v="64677"/>
    <x v="1"/>
    <n v="11"/>
    <s v="41-50"/>
  </r>
  <r>
    <x v="165"/>
    <x v="395"/>
    <x v="0"/>
    <x v="0"/>
    <x v="3"/>
    <x v="1"/>
    <s v="Caucasian"/>
    <n v="46"/>
    <d v="2004-09-14T00:00:00"/>
    <n v="130274"/>
    <n v="0.11"/>
    <x v="0"/>
    <s v="Chicago"/>
    <x v="1"/>
    <n v="14330.14"/>
    <n v="144604.14000000001"/>
    <x v="1"/>
    <n v="21"/>
    <s v="41-50"/>
  </r>
  <r>
    <x v="386"/>
    <x v="396"/>
    <x v="23"/>
    <x v="0"/>
    <x v="0"/>
    <x v="1"/>
    <s v="Asian"/>
    <n v="37"/>
    <d v="2017-07-06T00:00:00"/>
    <n v="96331"/>
    <n v="0"/>
    <x v="1"/>
    <s v="Shanghai"/>
    <x v="1"/>
    <n v="0"/>
    <n v="96331"/>
    <x v="1"/>
    <n v="8"/>
    <s v="30-40"/>
  </r>
  <r>
    <x v="387"/>
    <x v="397"/>
    <x v="0"/>
    <x v="1"/>
    <x v="0"/>
    <x v="0"/>
    <s v="Caucasian"/>
    <n v="51"/>
    <d v="2006-04-28T00:00:00"/>
    <n v="150758"/>
    <n v="0.13"/>
    <x v="0"/>
    <s v="Chicago"/>
    <x v="30"/>
    <n v="19598.54"/>
    <n v="170356.54"/>
    <x v="0"/>
    <n v="1"/>
    <s v="50+"/>
  </r>
  <r>
    <x v="388"/>
    <x v="398"/>
    <x v="2"/>
    <x v="5"/>
    <x v="3"/>
    <x v="1"/>
    <s v="Latino"/>
    <n v="46"/>
    <d v="2014-07-19T00:00:00"/>
    <n v="173629"/>
    <n v="0.21"/>
    <x v="2"/>
    <s v="Sao Paulo"/>
    <x v="1"/>
    <n v="36462.089999999997"/>
    <n v="210091.09"/>
    <x v="1"/>
    <n v="11"/>
    <s v="41-50"/>
  </r>
  <r>
    <x v="389"/>
    <x v="399"/>
    <x v="29"/>
    <x v="0"/>
    <x v="3"/>
    <x v="1"/>
    <s v="Black"/>
    <n v="55"/>
    <d v="1998-05-04T00:00:00"/>
    <n v="62174"/>
    <n v="0"/>
    <x v="0"/>
    <s v="Chicago"/>
    <x v="1"/>
    <n v="0"/>
    <n v="62174"/>
    <x v="1"/>
    <n v="27"/>
    <s v="50+"/>
  </r>
  <r>
    <x v="390"/>
    <x v="400"/>
    <x v="13"/>
    <x v="3"/>
    <x v="1"/>
    <x v="1"/>
    <s v="Caucasian"/>
    <n v="43"/>
    <d v="2017-10-20T00:00:00"/>
    <n v="56555"/>
    <n v="0"/>
    <x v="0"/>
    <s v="Phoenix"/>
    <x v="1"/>
    <n v="0"/>
    <n v="56555"/>
    <x v="1"/>
    <n v="8"/>
    <s v="41-50"/>
  </r>
  <r>
    <x v="391"/>
    <x v="401"/>
    <x v="13"/>
    <x v="6"/>
    <x v="1"/>
    <x v="1"/>
    <s v="Caucasian"/>
    <n v="48"/>
    <d v="2005-09-28T00:00:00"/>
    <n v="74655"/>
    <n v="0"/>
    <x v="0"/>
    <s v="Austin"/>
    <x v="1"/>
    <n v="0"/>
    <n v="74655"/>
    <x v="1"/>
    <n v="20"/>
    <s v="41-50"/>
  </r>
  <r>
    <x v="392"/>
    <x v="402"/>
    <x v="27"/>
    <x v="0"/>
    <x v="3"/>
    <x v="1"/>
    <s v="Caucasian"/>
    <n v="48"/>
    <d v="2003-08-11T00:00:00"/>
    <n v="93017"/>
    <n v="0"/>
    <x v="0"/>
    <s v="Seattle"/>
    <x v="1"/>
    <n v="0"/>
    <n v="93017"/>
    <x v="1"/>
    <n v="22"/>
    <s v="41-50"/>
  </r>
  <r>
    <x v="393"/>
    <x v="403"/>
    <x v="4"/>
    <x v="6"/>
    <x v="1"/>
    <x v="1"/>
    <s v="Asian"/>
    <n v="51"/>
    <d v="2012-04-14T00:00:00"/>
    <n v="82300"/>
    <n v="0"/>
    <x v="1"/>
    <s v="Chengdu"/>
    <x v="1"/>
    <n v="0"/>
    <n v="82300"/>
    <x v="1"/>
    <n v="13"/>
    <s v="50+"/>
  </r>
  <r>
    <x v="394"/>
    <x v="404"/>
    <x v="18"/>
    <x v="5"/>
    <x v="0"/>
    <x v="0"/>
    <s v="Caucasian"/>
    <n v="46"/>
    <d v="2008-01-24T00:00:00"/>
    <n v="91621"/>
    <n v="0"/>
    <x v="0"/>
    <s v="Chicago"/>
    <x v="1"/>
    <n v="0"/>
    <n v="91621"/>
    <x v="1"/>
    <n v="18"/>
    <s v="41-50"/>
  </r>
  <r>
    <x v="395"/>
    <x v="405"/>
    <x v="4"/>
    <x v="6"/>
    <x v="0"/>
    <x v="1"/>
    <s v="Latino"/>
    <n v="33"/>
    <d v="2014-11-30T00:00:00"/>
    <n v="91280"/>
    <n v="0"/>
    <x v="0"/>
    <s v="Miami"/>
    <x v="1"/>
    <n v="0"/>
    <n v="91280"/>
    <x v="1"/>
    <n v="11"/>
    <s v="30-40"/>
  </r>
  <r>
    <x v="396"/>
    <x v="406"/>
    <x v="20"/>
    <x v="4"/>
    <x v="1"/>
    <x v="0"/>
    <s v="Black"/>
    <n v="42"/>
    <d v="2020-09-18T00:00:00"/>
    <n v="47071"/>
    <n v="0"/>
    <x v="0"/>
    <s v="Columbus"/>
    <x v="1"/>
    <n v="0"/>
    <n v="47071"/>
    <x v="1"/>
    <n v="5"/>
    <s v="41-50"/>
  </r>
  <r>
    <x v="397"/>
    <x v="407"/>
    <x v="30"/>
    <x v="0"/>
    <x v="1"/>
    <x v="0"/>
    <s v="Caucasian"/>
    <n v="55"/>
    <d v="2011-11-21T00:00:00"/>
    <n v="81218"/>
    <n v="0"/>
    <x v="0"/>
    <s v="Chicago"/>
    <x v="1"/>
    <n v="0"/>
    <n v="81218"/>
    <x v="1"/>
    <n v="14"/>
    <s v="50+"/>
  </r>
  <r>
    <x v="398"/>
    <x v="408"/>
    <x v="9"/>
    <x v="5"/>
    <x v="1"/>
    <x v="0"/>
    <s v="Asian"/>
    <n v="50"/>
    <d v="2008-10-13T00:00:00"/>
    <n v="181801"/>
    <n v="0.4"/>
    <x v="1"/>
    <s v="Chongqing"/>
    <x v="31"/>
    <n v="72720.400000000009"/>
    <n v="254521.40000000002"/>
    <x v="0"/>
    <n v="11"/>
    <s v="50+"/>
  </r>
  <r>
    <x v="399"/>
    <x v="409"/>
    <x v="5"/>
    <x v="2"/>
    <x v="1"/>
    <x v="0"/>
    <s v="Caucasian"/>
    <n v="26"/>
    <d v="2021-11-21T00:00:00"/>
    <n v="63137"/>
    <n v="0"/>
    <x v="0"/>
    <s v="Chicago"/>
    <x v="1"/>
    <n v="0"/>
    <n v="63137"/>
    <x v="1"/>
    <n v="4"/>
    <s v="Under 30"/>
  </r>
  <r>
    <x v="400"/>
    <x v="410"/>
    <x v="9"/>
    <x v="5"/>
    <x v="1"/>
    <x v="0"/>
    <s v="Asian"/>
    <n v="55"/>
    <d v="2018-09-02T00:00:00"/>
    <n v="221465"/>
    <n v="0.34"/>
    <x v="1"/>
    <s v="Chengdu"/>
    <x v="1"/>
    <n v="75298.100000000006"/>
    <n v="296763.09999999998"/>
    <x v="1"/>
    <n v="7"/>
    <s v="50+"/>
  </r>
  <r>
    <x v="401"/>
    <x v="411"/>
    <x v="10"/>
    <x v="5"/>
    <x v="0"/>
    <x v="0"/>
    <s v="Asian"/>
    <n v="50"/>
    <d v="2013-05-10T00:00:00"/>
    <n v="79388"/>
    <n v="0"/>
    <x v="0"/>
    <s v="Austin"/>
    <x v="32"/>
    <n v="0"/>
    <n v="79388"/>
    <x v="0"/>
    <n v="6"/>
    <s v="50+"/>
  </r>
  <r>
    <x v="402"/>
    <x v="412"/>
    <x v="29"/>
    <x v="0"/>
    <x v="1"/>
    <x v="0"/>
    <s v="Caucasian"/>
    <n v="28"/>
    <d v="2018-01-22T00:00:00"/>
    <n v="68176"/>
    <n v="0"/>
    <x v="0"/>
    <s v="Seattle"/>
    <x v="1"/>
    <n v="0"/>
    <n v="68176"/>
    <x v="1"/>
    <n v="8"/>
    <s v="Under 30"/>
  </r>
  <r>
    <x v="399"/>
    <x v="413"/>
    <x v="0"/>
    <x v="1"/>
    <x v="0"/>
    <x v="0"/>
    <s v="Latino"/>
    <n v="39"/>
    <d v="2019-10-18T00:00:00"/>
    <n v="122829"/>
    <n v="0.11"/>
    <x v="0"/>
    <s v="Chicago"/>
    <x v="1"/>
    <n v="13511.19"/>
    <n v="136340.19"/>
    <x v="1"/>
    <n v="6"/>
    <s v="30-40"/>
  </r>
  <r>
    <x v="403"/>
    <x v="414"/>
    <x v="0"/>
    <x v="6"/>
    <x v="2"/>
    <x v="0"/>
    <s v="Asian"/>
    <n v="31"/>
    <d v="2019-08-18T00:00:00"/>
    <n v="126353"/>
    <n v="0.12"/>
    <x v="1"/>
    <s v="Shanghai"/>
    <x v="1"/>
    <n v="15162.359999999999"/>
    <n v="141515.35999999999"/>
    <x v="1"/>
    <n v="6"/>
    <s v="30-40"/>
  </r>
  <r>
    <x v="404"/>
    <x v="415"/>
    <x v="2"/>
    <x v="3"/>
    <x v="2"/>
    <x v="0"/>
    <s v="Asian"/>
    <n v="55"/>
    <d v="2010-10-17T00:00:00"/>
    <n v="188727"/>
    <n v="0.23"/>
    <x v="1"/>
    <s v="Chengdu"/>
    <x v="1"/>
    <n v="43407.21"/>
    <n v="232134.21"/>
    <x v="1"/>
    <n v="15"/>
    <s v="50+"/>
  </r>
  <r>
    <x v="255"/>
    <x v="416"/>
    <x v="4"/>
    <x v="2"/>
    <x v="0"/>
    <x v="1"/>
    <s v="Asian"/>
    <n v="52"/>
    <d v="1994-02-18T00:00:00"/>
    <n v="99624"/>
    <n v="0"/>
    <x v="0"/>
    <s v="Seattle"/>
    <x v="1"/>
    <n v="0"/>
    <n v="99624"/>
    <x v="1"/>
    <n v="31"/>
    <s v="50+"/>
  </r>
  <r>
    <x v="405"/>
    <x v="417"/>
    <x v="6"/>
    <x v="2"/>
    <x v="2"/>
    <x v="0"/>
    <s v="Asian"/>
    <n v="55"/>
    <d v="2012-10-20T00:00:00"/>
    <n v="108686"/>
    <n v="0.06"/>
    <x v="0"/>
    <s v="Columbus"/>
    <x v="1"/>
    <n v="6521.16"/>
    <n v="115207.16"/>
    <x v="1"/>
    <n v="13"/>
    <s v="50+"/>
  </r>
  <r>
    <x v="406"/>
    <x v="418"/>
    <x v="7"/>
    <x v="3"/>
    <x v="3"/>
    <x v="0"/>
    <s v="Latino"/>
    <n v="56"/>
    <d v="1995-04-13T00:00:00"/>
    <n v="50857"/>
    <n v="0"/>
    <x v="2"/>
    <s v="Manaus"/>
    <x v="1"/>
    <n v="0"/>
    <n v="50857"/>
    <x v="1"/>
    <n v="30"/>
    <s v="50+"/>
  </r>
  <r>
    <x v="407"/>
    <x v="419"/>
    <x v="19"/>
    <x v="5"/>
    <x v="1"/>
    <x v="1"/>
    <s v="Caucasian"/>
    <n v="47"/>
    <d v="2001-01-02T00:00:00"/>
    <n v="120628"/>
    <n v="0"/>
    <x v="0"/>
    <s v="Chicago"/>
    <x v="1"/>
    <n v="0"/>
    <n v="120628"/>
    <x v="1"/>
    <n v="25"/>
    <s v="41-50"/>
  </r>
  <r>
    <x v="408"/>
    <x v="420"/>
    <x v="2"/>
    <x v="2"/>
    <x v="2"/>
    <x v="0"/>
    <s v="Caucasian"/>
    <n v="63"/>
    <d v="2020-06-14T00:00:00"/>
    <n v="181216"/>
    <n v="0.27"/>
    <x v="0"/>
    <s v="Columbus"/>
    <x v="1"/>
    <n v="48928.32"/>
    <n v="230144.32"/>
    <x v="1"/>
    <n v="5"/>
    <s v="50+"/>
  </r>
  <r>
    <x v="409"/>
    <x v="421"/>
    <x v="7"/>
    <x v="1"/>
    <x v="3"/>
    <x v="0"/>
    <s v="Caucasian"/>
    <n v="63"/>
    <d v="2012-03-16T00:00:00"/>
    <n v="46081"/>
    <n v="0"/>
    <x v="0"/>
    <s v="Chicago"/>
    <x v="1"/>
    <n v="0"/>
    <n v="46081"/>
    <x v="1"/>
    <n v="13"/>
    <s v="50+"/>
  </r>
  <r>
    <x v="410"/>
    <x v="422"/>
    <x v="0"/>
    <x v="3"/>
    <x v="3"/>
    <x v="0"/>
    <s v="Caucasian"/>
    <n v="55"/>
    <d v="2004-05-28T00:00:00"/>
    <n v="159885"/>
    <n v="0.12"/>
    <x v="0"/>
    <s v="Columbus"/>
    <x v="1"/>
    <n v="19186.2"/>
    <n v="179071.2"/>
    <x v="1"/>
    <n v="21"/>
    <s v="50+"/>
  </r>
  <r>
    <x v="411"/>
    <x v="423"/>
    <x v="2"/>
    <x v="2"/>
    <x v="1"/>
    <x v="0"/>
    <s v="Caucasian"/>
    <n v="55"/>
    <d v="1995-10-29T00:00:00"/>
    <n v="153271"/>
    <n v="0.15"/>
    <x v="0"/>
    <s v="Austin"/>
    <x v="1"/>
    <n v="22990.649999999998"/>
    <n v="176261.65"/>
    <x v="1"/>
    <n v="30"/>
    <s v="50+"/>
  </r>
  <r>
    <x v="412"/>
    <x v="424"/>
    <x v="6"/>
    <x v="4"/>
    <x v="1"/>
    <x v="1"/>
    <s v="Asian"/>
    <n v="42"/>
    <d v="2009-12-12T00:00:00"/>
    <n v="114242"/>
    <n v="0.08"/>
    <x v="0"/>
    <s v="Phoenix"/>
    <x v="1"/>
    <n v="9139.36"/>
    <n v="123381.36"/>
    <x v="1"/>
    <n v="16"/>
    <s v="41-50"/>
  </r>
  <r>
    <x v="413"/>
    <x v="425"/>
    <x v="12"/>
    <x v="0"/>
    <x v="2"/>
    <x v="0"/>
    <s v="Asian"/>
    <n v="39"/>
    <d v="2020-11-18T00:00:00"/>
    <n v="48415"/>
    <n v="0"/>
    <x v="1"/>
    <s v="Shanghai"/>
    <x v="1"/>
    <n v="0"/>
    <n v="48415"/>
    <x v="1"/>
    <n v="5"/>
    <s v="30-40"/>
  </r>
  <r>
    <x v="414"/>
    <x v="426"/>
    <x v="25"/>
    <x v="5"/>
    <x v="1"/>
    <x v="1"/>
    <s v="Latino"/>
    <n v="35"/>
    <d v="2017-05-23T00:00:00"/>
    <n v="65566"/>
    <n v="0"/>
    <x v="0"/>
    <s v="Seattle"/>
    <x v="1"/>
    <n v="0"/>
    <n v="65566"/>
    <x v="1"/>
    <n v="8"/>
    <s v="30-40"/>
  </r>
  <r>
    <x v="415"/>
    <x v="427"/>
    <x v="0"/>
    <x v="6"/>
    <x v="0"/>
    <x v="1"/>
    <s v="Asian"/>
    <n v="45"/>
    <d v="2001-05-03T00:00:00"/>
    <n v="147752"/>
    <n v="0.12"/>
    <x v="1"/>
    <s v="Shanghai"/>
    <x v="33"/>
    <n v="17730.239999999998"/>
    <n v="165482.23999999999"/>
    <x v="0"/>
    <n v="10"/>
    <s v="41-50"/>
  </r>
  <r>
    <x v="416"/>
    <x v="428"/>
    <x v="0"/>
    <x v="6"/>
    <x v="1"/>
    <x v="0"/>
    <s v="Asian"/>
    <n v="25"/>
    <d v="2021-09-14T00:00:00"/>
    <n v="136810"/>
    <n v="0.14000000000000001"/>
    <x v="1"/>
    <s v="Chongqing"/>
    <x v="1"/>
    <n v="19153.400000000001"/>
    <n v="155963.4"/>
    <x v="1"/>
    <n v="4"/>
    <s v="Under 30"/>
  </r>
  <r>
    <x v="417"/>
    <x v="429"/>
    <x v="7"/>
    <x v="2"/>
    <x v="3"/>
    <x v="1"/>
    <s v="Caucasian"/>
    <n v="47"/>
    <d v="2013-02-28T00:00:00"/>
    <n v="54635"/>
    <n v="0"/>
    <x v="0"/>
    <s v="Chicago"/>
    <x v="1"/>
    <n v="0"/>
    <n v="54635"/>
    <x v="1"/>
    <n v="12"/>
    <s v="41-50"/>
  </r>
  <r>
    <x v="418"/>
    <x v="430"/>
    <x v="21"/>
    <x v="0"/>
    <x v="3"/>
    <x v="0"/>
    <s v="Caucasian"/>
    <n v="42"/>
    <d v="2020-02-05T00:00:00"/>
    <n v="96636"/>
    <n v="0"/>
    <x v="0"/>
    <s v="Columbus"/>
    <x v="1"/>
    <n v="0"/>
    <n v="96636"/>
    <x v="1"/>
    <n v="5"/>
    <s v="41-50"/>
  </r>
  <r>
    <x v="419"/>
    <x v="431"/>
    <x v="27"/>
    <x v="0"/>
    <x v="1"/>
    <x v="0"/>
    <s v="Black"/>
    <n v="35"/>
    <d v="2014-10-29T00:00:00"/>
    <n v="91592"/>
    <n v="0"/>
    <x v="0"/>
    <s v="Chicago"/>
    <x v="1"/>
    <n v="0"/>
    <n v="91592"/>
    <x v="1"/>
    <n v="11"/>
    <s v="30-40"/>
  </r>
  <r>
    <x v="420"/>
    <x v="432"/>
    <x v="20"/>
    <x v="4"/>
    <x v="0"/>
    <x v="0"/>
    <s v="Asian"/>
    <n v="45"/>
    <d v="2000-08-17T00:00:00"/>
    <n v="55563"/>
    <n v="0"/>
    <x v="1"/>
    <s v="Chengdu"/>
    <x v="1"/>
    <n v="0"/>
    <n v="55563"/>
    <x v="1"/>
    <n v="25"/>
    <s v="41-50"/>
  </r>
  <r>
    <x v="421"/>
    <x v="433"/>
    <x v="2"/>
    <x v="0"/>
    <x v="0"/>
    <x v="0"/>
    <s v="Asian"/>
    <n v="52"/>
    <d v="1996-02-14T00:00:00"/>
    <n v="159724"/>
    <n v="0.23"/>
    <x v="1"/>
    <s v="Beijing"/>
    <x v="1"/>
    <n v="36736.520000000004"/>
    <n v="196460.52000000002"/>
    <x v="1"/>
    <n v="29"/>
    <s v="50+"/>
  </r>
  <r>
    <x v="422"/>
    <x v="434"/>
    <x v="9"/>
    <x v="6"/>
    <x v="3"/>
    <x v="1"/>
    <s v="Asian"/>
    <n v="57"/>
    <d v="2017-08-04T00:00:00"/>
    <n v="183190"/>
    <n v="0.36"/>
    <x v="0"/>
    <s v="Chicago"/>
    <x v="1"/>
    <n v="65948.399999999994"/>
    <n v="249138.4"/>
    <x v="1"/>
    <n v="8"/>
    <s v="50+"/>
  </r>
  <r>
    <x v="423"/>
    <x v="435"/>
    <x v="7"/>
    <x v="3"/>
    <x v="2"/>
    <x v="0"/>
    <s v="Caucasian"/>
    <n v="56"/>
    <d v="2019-12-25T00:00:00"/>
    <n v="54829"/>
    <n v="0"/>
    <x v="0"/>
    <s v="Phoenix"/>
    <x v="1"/>
    <n v="0"/>
    <n v="54829"/>
    <x v="1"/>
    <n v="6"/>
    <s v="50+"/>
  </r>
  <r>
    <x v="424"/>
    <x v="436"/>
    <x v="10"/>
    <x v="5"/>
    <x v="3"/>
    <x v="1"/>
    <s v="Latino"/>
    <n v="46"/>
    <d v="2005-04-22T00:00:00"/>
    <n v="96639"/>
    <n v="0"/>
    <x v="2"/>
    <s v="Rio de Janerio"/>
    <x v="1"/>
    <n v="0"/>
    <n v="96639"/>
    <x v="1"/>
    <n v="20"/>
    <s v="41-50"/>
  </r>
  <r>
    <x v="425"/>
    <x v="437"/>
    <x v="6"/>
    <x v="6"/>
    <x v="2"/>
    <x v="0"/>
    <s v="Asian"/>
    <n v="43"/>
    <d v="2006-06-11T00:00:00"/>
    <n v="117278"/>
    <n v="0.09"/>
    <x v="0"/>
    <s v="Miami"/>
    <x v="1"/>
    <n v="10555.02"/>
    <n v="127833.02"/>
    <x v="1"/>
    <n v="19"/>
    <s v="41-50"/>
  </r>
  <r>
    <x v="426"/>
    <x v="438"/>
    <x v="3"/>
    <x v="0"/>
    <x v="2"/>
    <x v="1"/>
    <s v="Asian"/>
    <n v="53"/>
    <d v="2008-02-09T00:00:00"/>
    <n v="84193"/>
    <n v="0.09"/>
    <x v="1"/>
    <s v="Shanghai"/>
    <x v="1"/>
    <n v="7577.37"/>
    <n v="91770.37"/>
    <x v="1"/>
    <n v="17"/>
    <s v="50+"/>
  </r>
  <r>
    <x v="427"/>
    <x v="439"/>
    <x v="32"/>
    <x v="0"/>
    <x v="1"/>
    <x v="0"/>
    <s v="Caucasian"/>
    <n v="47"/>
    <d v="2018-07-28T00:00:00"/>
    <n v="87806"/>
    <n v="0"/>
    <x v="0"/>
    <s v="Seattle"/>
    <x v="1"/>
    <n v="0"/>
    <n v="87806"/>
    <x v="1"/>
    <n v="7"/>
    <s v="41-50"/>
  </r>
  <r>
    <x v="428"/>
    <x v="440"/>
    <x v="22"/>
    <x v="5"/>
    <x v="0"/>
    <x v="1"/>
    <s v="Caucasian"/>
    <n v="62"/>
    <d v="2011-10-04T00:00:00"/>
    <n v="63959"/>
    <n v="0"/>
    <x v="0"/>
    <s v="Seattle"/>
    <x v="1"/>
    <n v="0"/>
    <n v="63959"/>
    <x v="1"/>
    <n v="14"/>
    <s v="50+"/>
  </r>
  <r>
    <x v="429"/>
    <x v="441"/>
    <x v="9"/>
    <x v="0"/>
    <x v="0"/>
    <x v="1"/>
    <s v="Asian"/>
    <n v="35"/>
    <d v="2015-06-11T00:00:00"/>
    <n v="234723"/>
    <n v="0.36"/>
    <x v="1"/>
    <s v="Shanghai"/>
    <x v="1"/>
    <n v="84500.28"/>
    <n v="319223.28000000003"/>
    <x v="1"/>
    <n v="10"/>
    <s v="30-40"/>
  </r>
  <r>
    <x v="430"/>
    <x v="442"/>
    <x v="7"/>
    <x v="3"/>
    <x v="3"/>
    <x v="0"/>
    <s v="Asian"/>
    <n v="27"/>
    <d v="2019-08-24T00:00:00"/>
    <n v="50809"/>
    <n v="0"/>
    <x v="1"/>
    <s v="Chongqing"/>
    <x v="1"/>
    <n v="0"/>
    <n v="50809"/>
    <x v="1"/>
    <n v="6"/>
    <s v="Under 30"/>
  </r>
  <r>
    <x v="431"/>
    <x v="443"/>
    <x v="4"/>
    <x v="1"/>
    <x v="1"/>
    <x v="1"/>
    <s v="Caucasian"/>
    <n v="55"/>
    <d v="2002-07-19T00:00:00"/>
    <n v="77396"/>
    <n v="0"/>
    <x v="0"/>
    <s v="Miami"/>
    <x v="1"/>
    <n v="0"/>
    <n v="77396"/>
    <x v="1"/>
    <n v="23"/>
    <s v="50+"/>
  </r>
  <r>
    <x v="432"/>
    <x v="444"/>
    <x v="4"/>
    <x v="1"/>
    <x v="2"/>
    <x v="0"/>
    <s v="Asian"/>
    <n v="63"/>
    <d v="1999-12-31T00:00:00"/>
    <n v="89523"/>
    <n v="0"/>
    <x v="0"/>
    <s v="Phoenix"/>
    <x v="1"/>
    <n v="0"/>
    <n v="89523"/>
    <x v="1"/>
    <n v="26"/>
    <s v="50+"/>
  </r>
  <r>
    <x v="433"/>
    <x v="445"/>
    <x v="21"/>
    <x v="0"/>
    <x v="3"/>
    <x v="0"/>
    <s v="Asian"/>
    <n v="53"/>
    <d v="2011-07-20T00:00:00"/>
    <n v="86173"/>
    <n v="0"/>
    <x v="1"/>
    <s v="Chongqing"/>
    <x v="1"/>
    <n v="0"/>
    <n v="86173"/>
    <x v="1"/>
    <n v="14"/>
    <s v="50+"/>
  </r>
  <r>
    <x v="434"/>
    <x v="446"/>
    <x v="9"/>
    <x v="2"/>
    <x v="1"/>
    <x v="0"/>
    <s v="Black"/>
    <n v="54"/>
    <d v="2000-08-19T00:00:00"/>
    <n v="222224"/>
    <n v="0.38"/>
    <x v="0"/>
    <s v="Columbus"/>
    <x v="1"/>
    <n v="84445.119999999995"/>
    <n v="306669.12"/>
    <x v="1"/>
    <n v="25"/>
    <s v="50+"/>
  </r>
  <r>
    <x v="435"/>
    <x v="447"/>
    <x v="0"/>
    <x v="1"/>
    <x v="0"/>
    <x v="1"/>
    <s v="Asian"/>
    <n v="43"/>
    <d v="2021-04-17T00:00:00"/>
    <n v="146140"/>
    <n v="0.15"/>
    <x v="0"/>
    <s v="Seattle"/>
    <x v="1"/>
    <n v="21921"/>
    <n v="168061"/>
    <x v="1"/>
    <n v="4"/>
    <s v="41-50"/>
  </r>
  <r>
    <x v="436"/>
    <x v="448"/>
    <x v="11"/>
    <x v="5"/>
    <x v="2"/>
    <x v="0"/>
    <s v="Caucasian"/>
    <n v="64"/>
    <d v="1994-06-20T00:00:00"/>
    <n v="109456"/>
    <n v="0.1"/>
    <x v="0"/>
    <s v="Chicago"/>
    <x v="1"/>
    <n v="10945.6"/>
    <n v="120401.60000000001"/>
    <x v="1"/>
    <n v="31"/>
    <s v="50+"/>
  </r>
  <r>
    <x v="437"/>
    <x v="449"/>
    <x v="2"/>
    <x v="1"/>
    <x v="0"/>
    <x v="0"/>
    <s v="Latino"/>
    <n v="65"/>
    <d v="2008-10-07T00:00:00"/>
    <n v="170221"/>
    <n v="0.15"/>
    <x v="2"/>
    <s v="Manaus"/>
    <x v="1"/>
    <n v="25533.149999999998"/>
    <n v="195754.15"/>
    <x v="1"/>
    <n v="17"/>
    <s v="50+"/>
  </r>
  <r>
    <x v="317"/>
    <x v="450"/>
    <x v="3"/>
    <x v="0"/>
    <x v="0"/>
    <x v="0"/>
    <s v="Caucasian"/>
    <n v="42"/>
    <d v="2006-03-01T00:00:00"/>
    <n v="97433"/>
    <n v="0.05"/>
    <x v="0"/>
    <s v="Seattle"/>
    <x v="34"/>
    <n v="4871.6500000000005"/>
    <n v="102304.65"/>
    <x v="0"/>
    <n v="9"/>
    <s v="41-50"/>
  </r>
  <r>
    <x v="438"/>
    <x v="451"/>
    <x v="5"/>
    <x v="2"/>
    <x v="1"/>
    <x v="1"/>
    <s v="Asian"/>
    <n v="35"/>
    <d v="2013-08-30T00:00:00"/>
    <n v="59646"/>
    <n v="0"/>
    <x v="1"/>
    <s v="Shanghai"/>
    <x v="1"/>
    <n v="0"/>
    <n v="59646"/>
    <x v="1"/>
    <n v="12"/>
    <s v="30-40"/>
  </r>
  <r>
    <x v="439"/>
    <x v="452"/>
    <x v="2"/>
    <x v="5"/>
    <x v="2"/>
    <x v="1"/>
    <s v="Asian"/>
    <n v="64"/>
    <d v="1995-08-29T00:00:00"/>
    <n v="158787"/>
    <n v="0.18"/>
    <x v="1"/>
    <s v="Chengdu"/>
    <x v="1"/>
    <n v="28581.66"/>
    <n v="187368.66"/>
    <x v="1"/>
    <n v="30"/>
    <s v="50+"/>
  </r>
  <r>
    <x v="440"/>
    <x v="453"/>
    <x v="8"/>
    <x v="5"/>
    <x v="0"/>
    <x v="1"/>
    <s v="Asian"/>
    <n v="55"/>
    <d v="2018-04-29T00:00:00"/>
    <n v="83378"/>
    <n v="0"/>
    <x v="1"/>
    <s v="Beijing"/>
    <x v="1"/>
    <n v="0"/>
    <n v="83378"/>
    <x v="1"/>
    <n v="7"/>
    <s v="50+"/>
  </r>
  <r>
    <x v="441"/>
    <x v="454"/>
    <x v="4"/>
    <x v="6"/>
    <x v="3"/>
    <x v="0"/>
    <s v="Latino"/>
    <n v="32"/>
    <d v="2013-11-12T00:00:00"/>
    <n v="88895"/>
    <n v="0"/>
    <x v="0"/>
    <s v="Chicago"/>
    <x v="1"/>
    <n v="0"/>
    <n v="88895"/>
    <x v="1"/>
    <n v="12"/>
    <s v="30-40"/>
  </r>
  <r>
    <x v="442"/>
    <x v="455"/>
    <x v="2"/>
    <x v="6"/>
    <x v="3"/>
    <x v="1"/>
    <s v="Asian"/>
    <n v="45"/>
    <d v="2004-12-11T00:00:00"/>
    <n v="168846"/>
    <n v="0.24"/>
    <x v="1"/>
    <s v="Chongqing"/>
    <x v="1"/>
    <n v="40523.040000000001"/>
    <n v="209369.04"/>
    <x v="1"/>
    <n v="21"/>
    <s v="41-50"/>
  </r>
  <r>
    <x v="443"/>
    <x v="456"/>
    <x v="20"/>
    <x v="4"/>
    <x v="0"/>
    <x v="1"/>
    <s v="Asian"/>
    <n v="35"/>
    <d v="2011-02-22T00:00:00"/>
    <n v="43336"/>
    <n v="0"/>
    <x v="0"/>
    <s v="Austin"/>
    <x v="35"/>
    <n v="0"/>
    <n v="43336"/>
    <x v="0"/>
    <n v="9"/>
    <s v="30-40"/>
  </r>
  <r>
    <x v="444"/>
    <x v="457"/>
    <x v="0"/>
    <x v="4"/>
    <x v="3"/>
    <x v="1"/>
    <s v="Latino"/>
    <n v="38"/>
    <d v="2009-09-27T00:00:00"/>
    <n v="127801"/>
    <n v="0.15"/>
    <x v="0"/>
    <s v="Phoenix"/>
    <x v="1"/>
    <n v="19170.149999999998"/>
    <n v="146971.15"/>
    <x v="1"/>
    <n v="16"/>
    <s v="30-40"/>
  </r>
  <r>
    <x v="445"/>
    <x v="458"/>
    <x v="32"/>
    <x v="0"/>
    <x v="3"/>
    <x v="1"/>
    <s v="Black"/>
    <n v="54"/>
    <d v="2000-04-01T00:00:00"/>
    <n v="76352"/>
    <n v="0"/>
    <x v="0"/>
    <s v="Austin"/>
    <x v="1"/>
    <n v="0"/>
    <n v="76352"/>
    <x v="1"/>
    <n v="25"/>
    <s v="50+"/>
  </r>
  <r>
    <x v="446"/>
    <x v="459"/>
    <x v="9"/>
    <x v="1"/>
    <x v="3"/>
    <x v="1"/>
    <s v="Caucasian"/>
    <n v="28"/>
    <d v="2019-06-22T00:00:00"/>
    <n v="250767"/>
    <n v="0.38"/>
    <x v="0"/>
    <s v="Seattle"/>
    <x v="1"/>
    <n v="95291.46"/>
    <n v="346058.46"/>
    <x v="1"/>
    <n v="6"/>
    <s v="Under 30"/>
  </r>
  <r>
    <x v="447"/>
    <x v="460"/>
    <x v="9"/>
    <x v="6"/>
    <x v="3"/>
    <x v="1"/>
    <s v="Caucasian"/>
    <n v="26"/>
    <d v="2020-09-27T00:00:00"/>
    <n v="223055"/>
    <n v="0.3"/>
    <x v="0"/>
    <s v="Columbus"/>
    <x v="1"/>
    <n v="66916.5"/>
    <n v="289971.5"/>
    <x v="1"/>
    <n v="5"/>
    <s v="Under 30"/>
  </r>
  <r>
    <x v="448"/>
    <x v="461"/>
    <x v="2"/>
    <x v="5"/>
    <x v="3"/>
    <x v="1"/>
    <s v="Latino"/>
    <n v="45"/>
    <d v="2007-04-13T00:00:00"/>
    <n v="189680"/>
    <n v="0.23"/>
    <x v="2"/>
    <s v="Sao Paulo"/>
    <x v="1"/>
    <n v="43626.400000000001"/>
    <n v="233306.4"/>
    <x v="1"/>
    <n v="18"/>
    <s v="41-50"/>
  </r>
  <r>
    <x v="449"/>
    <x v="462"/>
    <x v="22"/>
    <x v="5"/>
    <x v="1"/>
    <x v="1"/>
    <s v="Caucasian"/>
    <n v="57"/>
    <d v="2018-07-18T00:00:00"/>
    <n v="71167"/>
    <n v="0"/>
    <x v="0"/>
    <s v="Columbus"/>
    <x v="1"/>
    <n v="0"/>
    <n v="71167"/>
    <x v="1"/>
    <n v="7"/>
    <s v="50+"/>
  </r>
  <r>
    <x v="450"/>
    <x v="463"/>
    <x v="1"/>
    <x v="0"/>
    <x v="2"/>
    <x v="0"/>
    <s v="Caucasian"/>
    <n v="59"/>
    <d v="2010-04-04T00:00:00"/>
    <n v="76027"/>
    <n v="0"/>
    <x v="0"/>
    <s v="Seattle"/>
    <x v="1"/>
    <n v="0"/>
    <n v="76027"/>
    <x v="1"/>
    <n v="15"/>
    <s v="50+"/>
  </r>
  <r>
    <x v="451"/>
    <x v="464"/>
    <x v="2"/>
    <x v="5"/>
    <x v="3"/>
    <x v="1"/>
    <s v="Latino"/>
    <n v="48"/>
    <d v="2019-12-10T00:00:00"/>
    <n v="183113"/>
    <n v="0.24"/>
    <x v="2"/>
    <s v="Rio de Janerio"/>
    <x v="1"/>
    <n v="43947.119999999995"/>
    <n v="227060.12"/>
    <x v="1"/>
    <n v="6"/>
    <s v="41-50"/>
  </r>
  <r>
    <x v="452"/>
    <x v="465"/>
    <x v="13"/>
    <x v="3"/>
    <x v="1"/>
    <x v="1"/>
    <s v="Black"/>
    <n v="30"/>
    <d v="2020-10-20T00:00:00"/>
    <n v="67753"/>
    <n v="0"/>
    <x v="0"/>
    <s v="Phoenix"/>
    <x v="1"/>
    <n v="0"/>
    <n v="67753"/>
    <x v="1"/>
    <n v="5"/>
    <s v="30-40"/>
  </r>
  <r>
    <x v="453"/>
    <x v="466"/>
    <x v="3"/>
    <x v="0"/>
    <x v="3"/>
    <x v="1"/>
    <s v="Black"/>
    <n v="31"/>
    <d v="2016-10-13T00:00:00"/>
    <n v="63744"/>
    <n v="0.08"/>
    <x v="0"/>
    <s v="Austin"/>
    <x v="1"/>
    <n v="5099.5200000000004"/>
    <n v="68843.520000000004"/>
    <x v="1"/>
    <n v="9"/>
    <s v="30-40"/>
  </r>
  <r>
    <x v="133"/>
    <x v="467"/>
    <x v="10"/>
    <x v="5"/>
    <x v="1"/>
    <x v="0"/>
    <s v="Asian"/>
    <n v="50"/>
    <d v="2002-07-09T00:00:00"/>
    <n v="92209"/>
    <n v="0"/>
    <x v="1"/>
    <s v="Shanghai"/>
    <x v="1"/>
    <n v="0"/>
    <n v="92209"/>
    <x v="1"/>
    <n v="23"/>
    <s v="50+"/>
  </r>
  <r>
    <x v="454"/>
    <x v="468"/>
    <x v="0"/>
    <x v="2"/>
    <x v="3"/>
    <x v="1"/>
    <s v="Black"/>
    <n v="51"/>
    <d v="2000-09-01T00:00:00"/>
    <n v="157487"/>
    <n v="0.12"/>
    <x v="0"/>
    <s v="Phoenix"/>
    <x v="1"/>
    <n v="18898.439999999999"/>
    <n v="176385.44"/>
    <x v="1"/>
    <n v="25"/>
    <s v="50+"/>
  </r>
  <r>
    <x v="455"/>
    <x v="469"/>
    <x v="4"/>
    <x v="6"/>
    <x v="0"/>
    <x v="1"/>
    <s v="Latino"/>
    <n v="42"/>
    <d v="2015-04-07T00:00:00"/>
    <n v="99697"/>
    <n v="0"/>
    <x v="2"/>
    <s v="Rio de Janerio"/>
    <x v="1"/>
    <n v="0"/>
    <n v="99697"/>
    <x v="1"/>
    <n v="10"/>
    <s v="41-50"/>
  </r>
  <r>
    <x v="456"/>
    <x v="470"/>
    <x v="32"/>
    <x v="0"/>
    <x v="0"/>
    <x v="1"/>
    <s v="Asian"/>
    <n v="45"/>
    <d v="2010-02-26T00:00:00"/>
    <n v="90770"/>
    <n v="0"/>
    <x v="0"/>
    <s v="Columbus"/>
    <x v="1"/>
    <n v="0"/>
    <n v="90770"/>
    <x v="1"/>
    <n v="15"/>
    <s v="41-50"/>
  </r>
  <r>
    <x v="457"/>
    <x v="471"/>
    <x v="7"/>
    <x v="2"/>
    <x v="2"/>
    <x v="0"/>
    <s v="Asian"/>
    <n v="64"/>
    <d v="2005-01-28T00:00:00"/>
    <n v="55369"/>
    <n v="0"/>
    <x v="0"/>
    <s v="Phoenix"/>
    <x v="1"/>
    <n v="0"/>
    <n v="55369"/>
    <x v="1"/>
    <n v="21"/>
    <s v="50+"/>
  </r>
  <r>
    <x v="458"/>
    <x v="472"/>
    <x v="17"/>
    <x v="5"/>
    <x v="2"/>
    <x v="0"/>
    <s v="Latino"/>
    <n v="59"/>
    <d v="2014-09-16T00:00:00"/>
    <n v="69578"/>
    <n v="0"/>
    <x v="2"/>
    <s v="Rio de Janerio"/>
    <x v="1"/>
    <n v="0"/>
    <n v="69578"/>
    <x v="1"/>
    <n v="11"/>
    <s v="50+"/>
  </r>
  <r>
    <x v="459"/>
    <x v="473"/>
    <x v="2"/>
    <x v="3"/>
    <x v="2"/>
    <x v="1"/>
    <s v="Caucasian"/>
    <n v="41"/>
    <d v="2013-06-04T00:00:00"/>
    <n v="167526"/>
    <n v="0.26"/>
    <x v="0"/>
    <s v="Miami"/>
    <x v="1"/>
    <n v="43556.76"/>
    <n v="211082.76"/>
    <x v="1"/>
    <n v="12"/>
    <s v="41-50"/>
  </r>
  <r>
    <x v="460"/>
    <x v="474"/>
    <x v="17"/>
    <x v="5"/>
    <x v="2"/>
    <x v="0"/>
    <s v="Latino"/>
    <n v="42"/>
    <d v="2021-02-05T00:00:00"/>
    <n v="65507"/>
    <n v="0"/>
    <x v="2"/>
    <s v="Manaus"/>
    <x v="1"/>
    <n v="0"/>
    <n v="65507"/>
    <x v="1"/>
    <n v="4"/>
    <s v="41-50"/>
  </r>
  <r>
    <x v="461"/>
    <x v="475"/>
    <x v="6"/>
    <x v="1"/>
    <x v="0"/>
    <x v="1"/>
    <s v="Latino"/>
    <n v="54"/>
    <d v="1998-04-28T00:00:00"/>
    <n v="108268"/>
    <n v="0.09"/>
    <x v="2"/>
    <s v="Sao Paulo"/>
    <x v="36"/>
    <n v="9744.119999999999"/>
    <n v="118012.12"/>
    <x v="0"/>
    <n v="6"/>
    <s v="50+"/>
  </r>
  <r>
    <x v="462"/>
    <x v="476"/>
    <x v="1"/>
    <x v="0"/>
    <x v="0"/>
    <x v="1"/>
    <s v="Asian"/>
    <n v="37"/>
    <d v="2016-02-05T00:00:00"/>
    <n v="80055"/>
    <n v="0"/>
    <x v="1"/>
    <s v="Beijing"/>
    <x v="1"/>
    <n v="0"/>
    <n v="80055"/>
    <x v="1"/>
    <n v="9"/>
    <s v="30-40"/>
  </r>
  <r>
    <x v="463"/>
    <x v="477"/>
    <x v="4"/>
    <x v="2"/>
    <x v="0"/>
    <x v="1"/>
    <s v="Latino"/>
    <n v="58"/>
    <d v="2009-04-27T00:00:00"/>
    <n v="76802"/>
    <n v="0"/>
    <x v="2"/>
    <s v="Manaus"/>
    <x v="1"/>
    <n v="0"/>
    <n v="76802"/>
    <x v="1"/>
    <n v="16"/>
    <s v="50+"/>
  </r>
  <r>
    <x v="464"/>
    <x v="478"/>
    <x v="9"/>
    <x v="2"/>
    <x v="2"/>
    <x v="1"/>
    <s v="Asian"/>
    <n v="47"/>
    <d v="2016-11-22T00:00:00"/>
    <n v="253249"/>
    <n v="0.31"/>
    <x v="0"/>
    <s v="Austin"/>
    <x v="1"/>
    <n v="78507.19"/>
    <n v="331756.19"/>
    <x v="1"/>
    <n v="9"/>
    <s v="41-50"/>
  </r>
  <r>
    <x v="46"/>
    <x v="479"/>
    <x v="15"/>
    <x v="4"/>
    <x v="0"/>
    <x v="0"/>
    <s v="Asian"/>
    <n v="60"/>
    <d v="2005-11-11T00:00:00"/>
    <n v="78388"/>
    <n v="0"/>
    <x v="1"/>
    <s v="Chongqing"/>
    <x v="1"/>
    <n v="0"/>
    <n v="78388"/>
    <x v="1"/>
    <n v="20"/>
    <s v="50+"/>
  </r>
  <r>
    <x v="229"/>
    <x v="480"/>
    <x v="9"/>
    <x v="0"/>
    <x v="3"/>
    <x v="1"/>
    <s v="Caucasian"/>
    <n v="38"/>
    <d v="2016-06-22T00:00:00"/>
    <n v="249870"/>
    <n v="0.34"/>
    <x v="0"/>
    <s v="Chicago"/>
    <x v="1"/>
    <n v="84955.8"/>
    <n v="334825.8"/>
    <x v="1"/>
    <n v="9"/>
    <s v="30-40"/>
  </r>
  <r>
    <x v="328"/>
    <x v="481"/>
    <x v="0"/>
    <x v="6"/>
    <x v="1"/>
    <x v="1"/>
    <s v="Asian"/>
    <n v="63"/>
    <d v="2015-03-01T00:00:00"/>
    <n v="148321"/>
    <n v="0.15"/>
    <x v="1"/>
    <s v="Beijing"/>
    <x v="1"/>
    <n v="22248.149999999998"/>
    <n v="170569.15"/>
    <x v="1"/>
    <n v="10"/>
    <s v="50+"/>
  </r>
  <r>
    <x v="465"/>
    <x v="482"/>
    <x v="31"/>
    <x v="0"/>
    <x v="3"/>
    <x v="0"/>
    <s v="Asian"/>
    <n v="60"/>
    <d v="2004-02-10T00:00:00"/>
    <n v="90258"/>
    <n v="0"/>
    <x v="1"/>
    <s v="Chongqing"/>
    <x v="1"/>
    <n v="0"/>
    <n v="90258"/>
    <x v="1"/>
    <n v="21"/>
    <s v="50+"/>
  </r>
  <r>
    <x v="466"/>
    <x v="483"/>
    <x v="27"/>
    <x v="0"/>
    <x v="1"/>
    <x v="0"/>
    <s v="Black"/>
    <n v="42"/>
    <d v="2011-02-19T00:00:00"/>
    <n v="72486"/>
    <n v="0"/>
    <x v="0"/>
    <s v="Seattle"/>
    <x v="1"/>
    <n v="0"/>
    <n v="72486"/>
    <x v="1"/>
    <n v="14"/>
    <s v="41-50"/>
  </r>
  <r>
    <x v="467"/>
    <x v="484"/>
    <x v="4"/>
    <x v="1"/>
    <x v="3"/>
    <x v="1"/>
    <s v="Latino"/>
    <n v="34"/>
    <d v="2014-09-04T00:00:00"/>
    <n v="95499"/>
    <n v="0"/>
    <x v="2"/>
    <s v="Sao Paulo"/>
    <x v="37"/>
    <n v="0"/>
    <n v="95499"/>
    <x v="0"/>
    <n v="2"/>
    <s v="30-40"/>
  </r>
  <r>
    <x v="468"/>
    <x v="485"/>
    <x v="4"/>
    <x v="3"/>
    <x v="0"/>
    <x v="0"/>
    <s v="Latino"/>
    <n v="53"/>
    <d v="2004-12-23T00:00:00"/>
    <n v="90212"/>
    <n v="0"/>
    <x v="2"/>
    <s v="Sao Paulo"/>
    <x v="1"/>
    <n v="0"/>
    <n v="90212"/>
    <x v="1"/>
    <n v="21"/>
    <s v="50+"/>
  </r>
  <r>
    <x v="469"/>
    <x v="486"/>
    <x v="9"/>
    <x v="6"/>
    <x v="0"/>
    <x v="1"/>
    <s v="Asian"/>
    <n v="39"/>
    <d v="2019-12-05T00:00:00"/>
    <n v="254057"/>
    <n v="0.39"/>
    <x v="1"/>
    <s v="Shanghai"/>
    <x v="1"/>
    <n v="99082.23000000001"/>
    <n v="353139.23"/>
    <x v="1"/>
    <n v="6"/>
    <s v="30-40"/>
  </r>
  <r>
    <x v="470"/>
    <x v="487"/>
    <x v="20"/>
    <x v="4"/>
    <x v="1"/>
    <x v="0"/>
    <s v="Latino"/>
    <n v="58"/>
    <d v="2010-10-12T00:00:00"/>
    <n v="43001"/>
    <n v="0"/>
    <x v="0"/>
    <s v="Austin"/>
    <x v="1"/>
    <n v="0"/>
    <n v="43001"/>
    <x v="1"/>
    <n v="15"/>
    <s v="50+"/>
  </r>
  <r>
    <x v="66"/>
    <x v="488"/>
    <x v="3"/>
    <x v="0"/>
    <x v="1"/>
    <x v="1"/>
    <s v="Latino"/>
    <n v="60"/>
    <d v="1998-08-03T00:00:00"/>
    <n v="85120"/>
    <n v="0.09"/>
    <x v="0"/>
    <s v="Seattle"/>
    <x v="1"/>
    <n v="7660.7999999999993"/>
    <n v="92780.800000000003"/>
    <x v="1"/>
    <n v="27"/>
    <s v="50+"/>
  </r>
  <r>
    <x v="471"/>
    <x v="489"/>
    <x v="20"/>
    <x v="4"/>
    <x v="1"/>
    <x v="1"/>
    <s v="Latino"/>
    <n v="34"/>
    <d v="2015-08-03T00:00:00"/>
    <n v="52200"/>
    <n v="0"/>
    <x v="0"/>
    <s v="Columbus"/>
    <x v="1"/>
    <n v="0"/>
    <n v="52200"/>
    <x v="1"/>
    <n v="10"/>
    <s v="30-40"/>
  </r>
  <r>
    <x v="472"/>
    <x v="490"/>
    <x v="0"/>
    <x v="4"/>
    <x v="3"/>
    <x v="0"/>
    <s v="Caucasian"/>
    <n v="60"/>
    <d v="2008-10-18T00:00:00"/>
    <n v="150855"/>
    <n v="0.11"/>
    <x v="0"/>
    <s v="Phoenix"/>
    <x v="1"/>
    <n v="16594.05"/>
    <n v="167449.04999999999"/>
    <x v="1"/>
    <n v="17"/>
    <s v="50+"/>
  </r>
  <r>
    <x v="473"/>
    <x v="491"/>
    <x v="14"/>
    <x v="0"/>
    <x v="1"/>
    <x v="0"/>
    <s v="Latino"/>
    <n v="53"/>
    <d v="2004-07-20T00:00:00"/>
    <n v="65702"/>
    <n v="0"/>
    <x v="0"/>
    <s v="Columbus"/>
    <x v="1"/>
    <n v="0"/>
    <n v="65702"/>
    <x v="1"/>
    <n v="21"/>
    <s v="50+"/>
  </r>
  <r>
    <x v="474"/>
    <x v="492"/>
    <x v="2"/>
    <x v="1"/>
    <x v="3"/>
    <x v="1"/>
    <s v="Asian"/>
    <n v="58"/>
    <d v="2007-10-12T00:00:00"/>
    <n v="162038"/>
    <n v="0.24"/>
    <x v="1"/>
    <s v="Chongqing"/>
    <x v="1"/>
    <n v="38889.119999999995"/>
    <n v="200927.12"/>
    <x v="1"/>
    <n v="18"/>
    <s v="50+"/>
  </r>
  <r>
    <x v="475"/>
    <x v="493"/>
    <x v="0"/>
    <x v="6"/>
    <x v="0"/>
    <x v="0"/>
    <s v="Asian"/>
    <n v="25"/>
    <d v="2020-04-09T00:00:00"/>
    <n v="157057"/>
    <n v="0.1"/>
    <x v="0"/>
    <s v="Columbus"/>
    <x v="1"/>
    <n v="15705.7"/>
    <n v="172762.7"/>
    <x v="1"/>
    <n v="5"/>
    <s v="Under 30"/>
  </r>
  <r>
    <x v="476"/>
    <x v="494"/>
    <x v="6"/>
    <x v="0"/>
    <x v="0"/>
    <x v="1"/>
    <s v="Caucasian"/>
    <n v="46"/>
    <d v="2021-08-11T00:00:00"/>
    <n v="127559"/>
    <n v="0.1"/>
    <x v="0"/>
    <s v="Austin"/>
    <x v="1"/>
    <n v="12755.900000000001"/>
    <n v="140314.9"/>
    <x v="1"/>
    <n v="4"/>
    <s v="41-50"/>
  </r>
  <r>
    <x v="477"/>
    <x v="495"/>
    <x v="17"/>
    <x v="5"/>
    <x v="3"/>
    <x v="0"/>
    <s v="Caucasian"/>
    <n v="39"/>
    <d v="2019-03-12T00:00:00"/>
    <n v="62644"/>
    <n v="0"/>
    <x v="0"/>
    <s v="Seattle"/>
    <x v="1"/>
    <n v="0"/>
    <n v="62644"/>
    <x v="1"/>
    <n v="6"/>
    <s v="30-40"/>
  </r>
  <r>
    <x v="478"/>
    <x v="496"/>
    <x v="23"/>
    <x v="0"/>
    <x v="1"/>
    <x v="1"/>
    <s v="Asian"/>
    <n v="50"/>
    <d v="2001-03-06T00:00:00"/>
    <n v="73907"/>
    <n v="0"/>
    <x v="1"/>
    <s v="Shanghai"/>
    <x v="1"/>
    <n v="0"/>
    <n v="73907"/>
    <x v="1"/>
    <n v="24"/>
    <s v="50+"/>
  </r>
  <r>
    <x v="479"/>
    <x v="497"/>
    <x v="4"/>
    <x v="3"/>
    <x v="1"/>
    <x v="0"/>
    <s v="Caucasian"/>
    <n v="56"/>
    <d v="2018-03-10T00:00:00"/>
    <n v="90040"/>
    <n v="0"/>
    <x v="0"/>
    <s v="Chicago"/>
    <x v="1"/>
    <n v="0"/>
    <n v="90040"/>
    <x v="1"/>
    <n v="7"/>
    <s v="50+"/>
  </r>
  <r>
    <x v="480"/>
    <x v="498"/>
    <x v="25"/>
    <x v="5"/>
    <x v="1"/>
    <x v="0"/>
    <s v="Latino"/>
    <n v="30"/>
    <d v="2016-05-26T00:00:00"/>
    <n v="91134"/>
    <n v="0"/>
    <x v="2"/>
    <s v="Sao Paulo"/>
    <x v="1"/>
    <n v="0"/>
    <n v="91134"/>
    <x v="1"/>
    <n v="9"/>
    <s v="30-40"/>
  </r>
  <r>
    <x v="481"/>
    <x v="499"/>
    <x v="9"/>
    <x v="4"/>
    <x v="2"/>
    <x v="0"/>
    <s v="Asian"/>
    <n v="45"/>
    <d v="2021-09-22T00:00:00"/>
    <n v="201396"/>
    <n v="0.32"/>
    <x v="0"/>
    <s v="Miami"/>
    <x v="1"/>
    <n v="64446.720000000001"/>
    <n v="265842.71999999997"/>
    <x v="1"/>
    <n v="4"/>
    <s v="41-50"/>
  </r>
  <r>
    <x v="482"/>
    <x v="500"/>
    <x v="7"/>
    <x v="3"/>
    <x v="3"/>
    <x v="0"/>
    <s v="Asian"/>
    <n v="55"/>
    <d v="2011-12-22T00:00:00"/>
    <n v="54733"/>
    <n v="0"/>
    <x v="1"/>
    <s v="Chongqing"/>
    <x v="1"/>
    <n v="0"/>
    <n v="54733"/>
    <x v="1"/>
    <n v="14"/>
    <s v="50+"/>
  </r>
  <r>
    <x v="483"/>
    <x v="501"/>
    <x v="27"/>
    <x v="0"/>
    <x v="3"/>
    <x v="1"/>
    <s v="Black"/>
    <n v="28"/>
    <d v="2019-06-17T00:00:00"/>
    <n v="65341"/>
    <n v="0"/>
    <x v="0"/>
    <s v="Miami"/>
    <x v="38"/>
    <n v="0"/>
    <n v="65341"/>
    <x v="0"/>
    <n v="2"/>
    <s v="Under 30"/>
  </r>
  <r>
    <x v="484"/>
    <x v="502"/>
    <x v="0"/>
    <x v="1"/>
    <x v="3"/>
    <x v="0"/>
    <s v="Black"/>
    <n v="59"/>
    <d v="2018-10-27T00:00:00"/>
    <n v="139208"/>
    <n v="0.11"/>
    <x v="0"/>
    <s v="Austin"/>
    <x v="1"/>
    <n v="15312.88"/>
    <n v="154520.88"/>
    <x v="1"/>
    <n v="7"/>
    <s v="50+"/>
  </r>
  <r>
    <x v="485"/>
    <x v="503"/>
    <x v="4"/>
    <x v="2"/>
    <x v="2"/>
    <x v="1"/>
    <s v="Asian"/>
    <n v="63"/>
    <d v="2018-03-12T00:00:00"/>
    <n v="73200"/>
    <n v="0"/>
    <x v="1"/>
    <s v="Shanghai"/>
    <x v="1"/>
    <n v="0"/>
    <n v="73200"/>
    <x v="1"/>
    <n v="7"/>
    <s v="50+"/>
  </r>
  <r>
    <x v="486"/>
    <x v="504"/>
    <x v="6"/>
    <x v="3"/>
    <x v="2"/>
    <x v="0"/>
    <s v="Latino"/>
    <n v="46"/>
    <d v="2010-04-24T00:00:00"/>
    <n v="102636"/>
    <n v="0.06"/>
    <x v="0"/>
    <s v="Seattle"/>
    <x v="1"/>
    <n v="6158.16"/>
    <n v="108794.16"/>
    <x v="1"/>
    <n v="15"/>
    <s v="41-50"/>
  </r>
  <r>
    <x v="487"/>
    <x v="505"/>
    <x v="26"/>
    <x v="2"/>
    <x v="2"/>
    <x v="0"/>
    <s v="Latino"/>
    <n v="26"/>
    <d v="2021-02-09T00:00:00"/>
    <n v="87427"/>
    <n v="0"/>
    <x v="2"/>
    <s v="Sao Paulo"/>
    <x v="1"/>
    <n v="0"/>
    <n v="87427"/>
    <x v="1"/>
    <n v="4"/>
    <s v="Under 30"/>
  </r>
  <r>
    <x v="488"/>
    <x v="506"/>
    <x v="12"/>
    <x v="0"/>
    <x v="0"/>
    <x v="1"/>
    <s v="Caucasian"/>
    <n v="45"/>
    <d v="2018-05-28T00:00:00"/>
    <n v="49219"/>
    <n v="0"/>
    <x v="0"/>
    <s v="Columbus"/>
    <x v="1"/>
    <n v="0"/>
    <n v="49219"/>
    <x v="1"/>
    <n v="7"/>
    <s v="41-50"/>
  </r>
  <r>
    <x v="489"/>
    <x v="273"/>
    <x v="6"/>
    <x v="1"/>
    <x v="1"/>
    <x v="1"/>
    <s v="Asian"/>
    <n v="50"/>
    <d v="2018-05-19T00:00:00"/>
    <n v="106437"/>
    <n v="7.0000000000000007E-2"/>
    <x v="1"/>
    <s v="Chongqing"/>
    <x v="1"/>
    <n v="7450.5900000000011"/>
    <n v="113887.59"/>
    <x v="1"/>
    <n v="7"/>
    <s v="50+"/>
  </r>
  <r>
    <x v="490"/>
    <x v="507"/>
    <x v="13"/>
    <x v="1"/>
    <x v="1"/>
    <x v="1"/>
    <s v="Latino"/>
    <n v="46"/>
    <d v="2015-05-05T00:00:00"/>
    <n v="64364"/>
    <n v="0"/>
    <x v="2"/>
    <s v="Sao Paulo"/>
    <x v="1"/>
    <n v="0"/>
    <n v="64364"/>
    <x v="1"/>
    <n v="10"/>
    <s v="41-50"/>
  </r>
  <r>
    <x v="491"/>
    <x v="508"/>
    <x v="2"/>
    <x v="4"/>
    <x v="1"/>
    <x v="1"/>
    <s v="Caucasian"/>
    <n v="50"/>
    <d v="2021-10-17T00:00:00"/>
    <n v="172180"/>
    <n v="0.3"/>
    <x v="0"/>
    <s v="Columbus"/>
    <x v="1"/>
    <n v="51654"/>
    <n v="223834"/>
    <x v="1"/>
    <n v="4"/>
    <s v="50+"/>
  </r>
  <r>
    <x v="492"/>
    <x v="509"/>
    <x v="4"/>
    <x v="2"/>
    <x v="1"/>
    <x v="0"/>
    <s v="Latino"/>
    <n v="33"/>
    <d v="2012-05-14T00:00:00"/>
    <n v="88343"/>
    <n v="0"/>
    <x v="2"/>
    <s v="Rio de Janerio"/>
    <x v="1"/>
    <n v="0"/>
    <n v="88343"/>
    <x v="1"/>
    <n v="13"/>
    <s v="30-40"/>
  </r>
  <r>
    <x v="493"/>
    <x v="510"/>
    <x v="29"/>
    <x v="0"/>
    <x v="2"/>
    <x v="1"/>
    <s v="Latino"/>
    <n v="57"/>
    <d v="2014-07-10T00:00:00"/>
    <n v="66649"/>
    <n v="0"/>
    <x v="2"/>
    <s v="Rio de Janerio"/>
    <x v="1"/>
    <n v="0"/>
    <n v="66649"/>
    <x v="1"/>
    <n v="11"/>
    <s v="50+"/>
  </r>
  <r>
    <x v="48"/>
    <x v="511"/>
    <x v="6"/>
    <x v="1"/>
    <x v="3"/>
    <x v="0"/>
    <s v="Caucasian"/>
    <n v="48"/>
    <d v="1999-04-22T00:00:00"/>
    <n v="102847"/>
    <n v="0.05"/>
    <x v="0"/>
    <s v="Chicago"/>
    <x v="1"/>
    <n v="5142.3500000000004"/>
    <n v="107989.35"/>
    <x v="1"/>
    <n v="26"/>
    <s v="41-50"/>
  </r>
  <r>
    <x v="494"/>
    <x v="512"/>
    <x v="0"/>
    <x v="1"/>
    <x v="1"/>
    <x v="1"/>
    <s v="Latino"/>
    <n v="46"/>
    <d v="2010-07-19T00:00:00"/>
    <n v="134881"/>
    <n v="0.15"/>
    <x v="2"/>
    <s v="Manaus"/>
    <x v="1"/>
    <n v="20232.149999999998"/>
    <n v="155113.15"/>
    <x v="1"/>
    <n v="15"/>
    <s v="41-50"/>
  </r>
  <r>
    <x v="495"/>
    <x v="513"/>
    <x v="13"/>
    <x v="6"/>
    <x v="1"/>
    <x v="1"/>
    <s v="Asian"/>
    <n v="52"/>
    <d v="1999-05-23T00:00:00"/>
    <n v="68807"/>
    <n v="0"/>
    <x v="1"/>
    <s v="Chengdu"/>
    <x v="39"/>
    <n v="0"/>
    <n v="68807"/>
    <x v="0"/>
    <n v="16"/>
    <s v="50+"/>
  </r>
  <r>
    <x v="496"/>
    <x v="514"/>
    <x v="9"/>
    <x v="0"/>
    <x v="1"/>
    <x v="1"/>
    <s v="Caucasian"/>
    <n v="56"/>
    <d v="2006-05-29T00:00:00"/>
    <n v="228822"/>
    <n v="0.36"/>
    <x v="0"/>
    <s v="Miami"/>
    <x v="1"/>
    <n v="82375.92"/>
    <n v="311197.92"/>
    <x v="1"/>
    <n v="19"/>
    <s v="50+"/>
  </r>
  <r>
    <x v="497"/>
    <x v="515"/>
    <x v="7"/>
    <x v="6"/>
    <x v="1"/>
    <x v="1"/>
    <s v="Caucasian"/>
    <n v="28"/>
    <d v="2021-07-18T00:00:00"/>
    <n v="43391"/>
    <n v="0"/>
    <x v="0"/>
    <s v="Columbus"/>
    <x v="1"/>
    <n v="0"/>
    <n v="43391"/>
    <x v="1"/>
    <n v="4"/>
    <s v="Under 30"/>
  </r>
  <r>
    <x v="498"/>
    <x v="516"/>
    <x v="10"/>
    <x v="5"/>
    <x v="2"/>
    <x v="1"/>
    <s v="Asian"/>
    <n v="29"/>
    <d v="2021-11-15T00:00:00"/>
    <n v="91782"/>
    <n v="0"/>
    <x v="1"/>
    <s v="Chongqing"/>
    <x v="1"/>
    <n v="0"/>
    <n v="91782"/>
    <x v="1"/>
    <n v="4"/>
    <s v="Under 30"/>
  </r>
  <r>
    <x v="499"/>
    <x v="517"/>
    <x v="9"/>
    <x v="6"/>
    <x v="3"/>
    <x v="0"/>
    <s v="Asian"/>
    <n v="45"/>
    <d v="2016-02-28T00:00:00"/>
    <n v="211637"/>
    <n v="0.31"/>
    <x v="0"/>
    <s v="Chicago"/>
    <x v="1"/>
    <n v="65607.47"/>
    <n v="277244.46999999997"/>
    <x v="1"/>
    <n v="9"/>
    <s v="41-50"/>
  </r>
  <r>
    <x v="71"/>
    <x v="518"/>
    <x v="3"/>
    <x v="0"/>
    <x v="1"/>
    <x v="1"/>
    <s v="Caucasian"/>
    <n v="28"/>
    <d v="2020-08-08T00:00:00"/>
    <n v="73255"/>
    <n v="0.09"/>
    <x v="0"/>
    <s v="Phoenix"/>
    <x v="1"/>
    <n v="6592.95"/>
    <n v="79847.95"/>
    <x v="1"/>
    <n v="5"/>
    <s v="Under 30"/>
  </r>
  <r>
    <x v="500"/>
    <x v="519"/>
    <x v="6"/>
    <x v="2"/>
    <x v="3"/>
    <x v="1"/>
    <s v="Caucasian"/>
    <n v="28"/>
    <d v="2021-01-08T00:00:00"/>
    <n v="108826"/>
    <n v="0.1"/>
    <x v="0"/>
    <s v="Miami"/>
    <x v="1"/>
    <n v="10882.6"/>
    <n v="119708.6"/>
    <x v="1"/>
    <n v="5"/>
    <s v="Under 30"/>
  </r>
  <r>
    <x v="501"/>
    <x v="520"/>
    <x v="29"/>
    <x v="0"/>
    <x v="2"/>
    <x v="1"/>
    <s v="Caucasian"/>
    <n v="34"/>
    <d v="2016-05-24T00:00:00"/>
    <n v="94352"/>
    <n v="0"/>
    <x v="0"/>
    <s v="Miami"/>
    <x v="1"/>
    <n v="0"/>
    <n v="94352"/>
    <x v="1"/>
    <n v="9"/>
    <s v="30-40"/>
  </r>
  <r>
    <x v="502"/>
    <x v="521"/>
    <x v="30"/>
    <x v="0"/>
    <x v="0"/>
    <x v="0"/>
    <s v="Latino"/>
    <n v="55"/>
    <d v="1994-08-30T00:00:00"/>
    <n v="73955"/>
    <n v="0"/>
    <x v="0"/>
    <s v="Phoenix"/>
    <x v="1"/>
    <n v="0"/>
    <n v="73955"/>
    <x v="1"/>
    <n v="31"/>
    <s v="50+"/>
  </r>
  <r>
    <x v="503"/>
    <x v="522"/>
    <x v="6"/>
    <x v="4"/>
    <x v="1"/>
    <x v="1"/>
    <s v="Latino"/>
    <n v="34"/>
    <d v="2013-08-13T00:00:00"/>
    <n v="113909"/>
    <n v="0.06"/>
    <x v="2"/>
    <s v="Rio de Janerio"/>
    <x v="1"/>
    <n v="6834.54"/>
    <n v="120743.54"/>
    <x v="1"/>
    <n v="12"/>
    <s v="30-40"/>
  </r>
  <r>
    <x v="504"/>
    <x v="523"/>
    <x v="32"/>
    <x v="0"/>
    <x v="1"/>
    <x v="1"/>
    <s v="Asian"/>
    <n v="27"/>
    <d v="2020-12-24T00:00:00"/>
    <n v="92321"/>
    <n v="0"/>
    <x v="0"/>
    <s v="Chicago"/>
    <x v="1"/>
    <n v="0"/>
    <n v="92321"/>
    <x v="1"/>
    <n v="5"/>
    <s v="Under 30"/>
  </r>
  <r>
    <x v="474"/>
    <x v="524"/>
    <x v="3"/>
    <x v="0"/>
    <x v="0"/>
    <x v="1"/>
    <s v="Caucasian"/>
    <n v="52"/>
    <d v="2013-05-23T00:00:00"/>
    <n v="99557"/>
    <n v="0.09"/>
    <x v="0"/>
    <s v="Seattle"/>
    <x v="1"/>
    <n v="8960.1299999999992"/>
    <n v="108517.13"/>
    <x v="1"/>
    <n v="12"/>
    <s v="50+"/>
  </r>
  <r>
    <x v="505"/>
    <x v="525"/>
    <x v="18"/>
    <x v="5"/>
    <x v="2"/>
    <x v="0"/>
    <s v="Caucasian"/>
    <n v="28"/>
    <d v="2018-11-14T00:00:00"/>
    <n v="115854"/>
    <n v="0"/>
    <x v="0"/>
    <s v="Phoenix"/>
    <x v="1"/>
    <n v="0"/>
    <n v="115854"/>
    <x v="1"/>
    <n v="7"/>
    <s v="Under 30"/>
  </r>
  <r>
    <x v="506"/>
    <x v="526"/>
    <x v="30"/>
    <x v="0"/>
    <x v="1"/>
    <x v="0"/>
    <s v="Latino"/>
    <n v="44"/>
    <d v="2011-03-01T00:00:00"/>
    <n v="82462"/>
    <n v="0"/>
    <x v="0"/>
    <s v="Austin"/>
    <x v="1"/>
    <n v="0"/>
    <n v="82462"/>
    <x v="1"/>
    <n v="14"/>
    <s v="41-50"/>
  </r>
  <r>
    <x v="507"/>
    <x v="527"/>
    <x v="9"/>
    <x v="0"/>
    <x v="0"/>
    <x v="0"/>
    <s v="Caucasian"/>
    <n v="53"/>
    <d v="2011-11-09T00:00:00"/>
    <n v="198473"/>
    <n v="0.32"/>
    <x v="0"/>
    <s v="Miami"/>
    <x v="1"/>
    <n v="63511.360000000001"/>
    <n v="261984.36"/>
    <x v="1"/>
    <n v="14"/>
    <s v="50+"/>
  </r>
  <r>
    <x v="508"/>
    <x v="528"/>
    <x v="0"/>
    <x v="1"/>
    <x v="3"/>
    <x v="0"/>
    <s v="Asian"/>
    <n v="43"/>
    <d v="2006-10-15T00:00:00"/>
    <n v="153492"/>
    <n v="0.11"/>
    <x v="0"/>
    <s v="Chicago"/>
    <x v="1"/>
    <n v="16884.12"/>
    <n v="170376.12"/>
    <x v="1"/>
    <n v="19"/>
    <s v="41-50"/>
  </r>
  <r>
    <x v="509"/>
    <x v="529"/>
    <x v="9"/>
    <x v="4"/>
    <x v="3"/>
    <x v="0"/>
    <s v="Black"/>
    <n v="28"/>
    <d v="2018-01-21T00:00:00"/>
    <n v="208210"/>
    <n v="0.3"/>
    <x v="0"/>
    <s v="Seattle"/>
    <x v="1"/>
    <n v="62463"/>
    <n v="270673"/>
    <x v="1"/>
    <n v="8"/>
    <s v="Under 30"/>
  </r>
  <r>
    <x v="510"/>
    <x v="530"/>
    <x v="4"/>
    <x v="6"/>
    <x v="3"/>
    <x v="1"/>
    <s v="Caucasian"/>
    <n v="33"/>
    <d v="2015-11-17T00:00:00"/>
    <n v="91632"/>
    <n v="0"/>
    <x v="0"/>
    <s v="Phoenix"/>
    <x v="1"/>
    <n v="0"/>
    <n v="91632"/>
    <x v="1"/>
    <n v="10"/>
    <s v="30-40"/>
  </r>
  <r>
    <x v="511"/>
    <x v="531"/>
    <x v="16"/>
    <x v="4"/>
    <x v="3"/>
    <x v="1"/>
    <s v="Asian"/>
    <n v="31"/>
    <d v="2017-09-24T00:00:00"/>
    <n v="71755"/>
    <n v="0"/>
    <x v="1"/>
    <s v="Chongqing"/>
    <x v="1"/>
    <n v="0"/>
    <n v="71755"/>
    <x v="1"/>
    <n v="8"/>
    <s v="30-40"/>
  </r>
  <r>
    <x v="512"/>
    <x v="532"/>
    <x v="6"/>
    <x v="3"/>
    <x v="3"/>
    <x v="0"/>
    <s v="Asian"/>
    <n v="52"/>
    <d v="2021-11-19T00:00:00"/>
    <n v="111006"/>
    <n v="0.08"/>
    <x v="1"/>
    <s v="Chongqing"/>
    <x v="1"/>
    <n v="8880.48"/>
    <n v="119886.48"/>
    <x v="1"/>
    <n v="4"/>
    <s v="50+"/>
  </r>
  <r>
    <x v="513"/>
    <x v="533"/>
    <x v="21"/>
    <x v="0"/>
    <x v="3"/>
    <x v="1"/>
    <s v="Asian"/>
    <n v="55"/>
    <d v="1994-12-24T00:00:00"/>
    <n v="99774"/>
    <n v="0"/>
    <x v="0"/>
    <s v="Austin"/>
    <x v="1"/>
    <n v="0"/>
    <n v="99774"/>
    <x v="1"/>
    <n v="31"/>
    <s v="50+"/>
  </r>
  <r>
    <x v="514"/>
    <x v="534"/>
    <x v="2"/>
    <x v="0"/>
    <x v="0"/>
    <x v="1"/>
    <s v="Asian"/>
    <n v="55"/>
    <d v="2007-03-13T00:00:00"/>
    <n v="184648"/>
    <n v="0.24"/>
    <x v="1"/>
    <s v="Shanghai"/>
    <x v="1"/>
    <n v="44315.519999999997"/>
    <n v="228963.52"/>
    <x v="1"/>
    <n v="18"/>
    <s v="50+"/>
  </r>
  <r>
    <x v="515"/>
    <x v="535"/>
    <x v="9"/>
    <x v="0"/>
    <x v="1"/>
    <x v="1"/>
    <s v="Latino"/>
    <n v="51"/>
    <d v="2001-07-19T00:00:00"/>
    <n v="247874"/>
    <n v="0.33"/>
    <x v="2"/>
    <s v="Manaus"/>
    <x v="1"/>
    <n v="81798.42"/>
    <n v="329672.42"/>
    <x v="1"/>
    <n v="24"/>
    <s v="50+"/>
  </r>
  <r>
    <x v="516"/>
    <x v="536"/>
    <x v="25"/>
    <x v="5"/>
    <x v="1"/>
    <x v="1"/>
    <s v="Asian"/>
    <n v="60"/>
    <d v="2009-05-11T00:00:00"/>
    <n v="62239"/>
    <n v="0"/>
    <x v="1"/>
    <s v="Beijing"/>
    <x v="1"/>
    <n v="0"/>
    <n v="62239"/>
    <x v="1"/>
    <n v="16"/>
    <s v="50+"/>
  </r>
  <r>
    <x v="517"/>
    <x v="537"/>
    <x v="6"/>
    <x v="3"/>
    <x v="2"/>
    <x v="0"/>
    <s v="Caucasian"/>
    <n v="31"/>
    <d v="2014-10-07T00:00:00"/>
    <n v="114911"/>
    <n v="7.0000000000000007E-2"/>
    <x v="0"/>
    <s v="Chicago"/>
    <x v="1"/>
    <n v="8043.77"/>
    <n v="122954.77"/>
    <x v="1"/>
    <n v="11"/>
    <s v="30-40"/>
  </r>
  <r>
    <x v="518"/>
    <x v="538"/>
    <x v="11"/>
    <x v="5"/>
    <x v="3"/>
    <x v="1"/>
    <s v="Latino"/>
    <n v="45"/>
    <d v="2018-04-27T00:00:00"/>
    <n v="115490"/>
    <n v="0.12"/>
    <x v="0"/>
    <s v="Chicago"/>
    <x v="1"/>
    <n v="13858.8"/>
    <n v="129348.8"/>
    <x v="1"/>
    <n v="7"/>
    <s v="41-50"/>
  </r>
  <r>
    <x v="519"/>
    <x v="539"/>
    <x v="6"/>
    <x v="3"/>
    <x v="2"/>
    <x v="1"/>
    <s v="Asian"/>
    <n v="34"/>
    <d v="2012-02-13T00:00:00"/>
    <n v="118708"/>
    <n v="7.0000000000000007E-2"/>
    <x v="1"/>
    <s v="Shanghai"/>
    <x v="1"/>
    <n v="8309.5600000000013"/>
    <n v="127017.56"/>
    <x v="1"/>
    <n v="13"/>
    <s v="30-40"/>
  </r>
  <r>
    <x v="520"/>
    <x v="540"/>
    <x v="2"/>
    <x v="3"/>
    <x v="2"/>
    <x v="0"/>
    <s v="Asian"/>
    <n v="29"/>
    <d v="2017-06-28T00:00:00"/>
    <n v="197649"/>
    <n v="0.2"/>
    <x v="0"/>
    <s v="Columbus"/>
    <x v="1"/>
    <n v="39529.800000000003"/>
    <n v="237178.8"/>
    <x v="1"/>
    <n v="8"/>
    <s v="Under 30"/>
  </r>
  <r>
    <x v="521"/>
    <x v="541"/>
    <x v="4"/>
    <x v="3"/>
    <x v="2"/>
    <x v="0"/>
    <s v="Asian"/>
    <n v="45"/>
    <d v="2020-06-17T00:00:00"/>
    <n v="89841"/>
    <n v="0"/>
    <x v="1"/>
    <s v="Beijing"/>
    <x v="1"/>
    <n v="0"/>
    <n v="89841"/>
    <x v="1"/>
    <n v="5"/>
    <s v="41-50"/>
  </r>
  <r>
    <x v="100"/>
    <x v="542"/>
    <x v="13"/>
    <x v="1"/>
    <x v="2"/>
    <x v="0"/>
    <s v="Caucasian"/>
    <n v="52"/>
    <d v="2019-12-20T00:00:00"/>
    <n v="61026"/>
    <n v="0"/>
    <x v="0"/>
    <s v="Phoenix"/>
    <x v="1"/>
    <n v="0"/>
    <n v="61026"/>
    <x v="1"/>
    <n v="6"/>
    <s v="50+"/>
  </r>
  <r>
    <x v="522"/>
    <x v="543"/>
    <x v="8"/>
    <x v="5"/>
    <x v="2"/>
    <x v="0"/>
    <s v="Caucasian"/>
    <n v="48"/>
    <d v="2014-09-25T00:00:00"/>
    <n v="96693"/>
    <n v="0"/>
    <x v="0"/>
    <s v="Chicago"/>
    <x v="1"/>
    <n v="0"/>
    <n v="96693"/>
    <x v="1"/>
    <n v="11"/>
    <s v="41-50"/>
  </r>
  <r>
    <x v="523"/>
    <x v="544"/>
    <x v="22"/>
    <x v="5"/>
    <x v="2"/>
    <x v="0"/>
    <s v="Latino"/>
    <n v="48"/>
    <d v="2009-06-27T00:00:00"/>
    <n v="82907"/>
    <n v="0"/>
    <x v="0"/>
    <s v="Seattle"/>
    <x v="1"/>
    <n v="0"/>
    <n v="82907"/>
    <x v="1"/>
    <n v="16"/>
    <s v="41-50"/>
  </r>
  <r>
    <x v="524"/>
    <x v="545"/>
    <x v="9"/>
    <x v="6"/>
    <x v="3"/>
    <x v="1"/>
    <s v="Asian"/>
    <n v="41"/>
    <d v="2014-10-04T00:00:00"/>
    <n v="257194"/>
    <n v="0.35"/>
    <x v="1"/>
    <s v="Chongqing"/>
    <x v="1"/>
    <n v="90017.9"/>
    <n v="347211.9"/>
    <x v="1"/>
    <n v="11"/>
    <s v="41-50"/>
  </r>
  <r>
    <x v="525"/>
    <x v="546"/>
    <x v="10"/>
    <x v="5"/>
    <x v="0"/>
    <x v="1"/>
    <s v="Latino"/>
    <n v="41"/>
    <d v="2012-01-21T00:00:00"/>
    <n v="94658"/>
    <n v="0"/>
    <x v="0"/>
    <s v="Miami"/>
    <x v="1"/>
    <n v="0"/>
    <n v="94658"/>
    <x v="1"/>
    <n v="14"/>
    <s v="41-50"/>
  </r>
  <r>
    <x v="526"/>
    <x v="547"/>
    <x v="10"/>
    <x v="5"/>
    <x v="0"/>
    <x v="1"/>
    <s v="Asian"/>
    <n v="55"/>
    <d v="2011-04-30T00:00:00"/>
    <n v="89419"/>
    <n v="0"/>
    <x v="1"/>
    <s v="Shanghai"/>
    <x v="1"/>
    <n v="0"/>
    <n v="89419"/>
    <x v="1"/>
    <n v="14"/>
    <s v="50+"/>
  </r>
  <r>
    <x v="527"/>
    <x v="548"/>
    <x v="16"/>
    <x v="4"/>
    <x v="1"/>
    <x v="1"/>
    <s v="Black"/>
    <n v="45"/>
    <d v="2015-12-19T00:00:00"/>
    <n v="51983"/>
    <n v="0"/>
    <x v="0"/>
    <s v="Columbus"/>
    <x v="1"/>
    <n v="0"/>
    <n v="51983"/>
    <x v="1"/>
    <n v="10"/>
    <s v="41-50"/>
  </r>
  <r>
    <x v="528"/>
    <x v="549"/>
    <x v="2"/>
    <x v="1"/>
    <x v="3"/>
    <x v="0"/>
    <s v="Asian"/>
    <n v="53"/>
    <d v="2002-02-17T00:00:00"/>
    <n v="179494"/>
    <n v="0.2"/>
    <x v="1"/>
    <s v="Chongqing"/>
    <x v="1"/>
    <n v="35898.800000000003"/>
    <n v="215392.8"/>
    <x v="1"/>
    <n v="23"/>
    <s v="50+"/>
  </r>
  <r>
    <x v="529"/>
    <x v="550"/>
    <x v="30"/>
    <x v="0"/>
    <x v="3"/>
    <x v="1"/>
    <s v="Latino"/>
    <n v="49"/>
    <d v="2016-06-24T00:00:00"/>
    <n v="68426"/>
    <n v="0"/>
    <x v="2"/>
    <s v="Rio de Janerio"/>
    <x v="1"/>
    <n v="0"/>
    <n v="68426"/>
    <x v="1"/>
    <n v="9"/>
    <s v="41-50"/>
  </r>
  <r>
    <x v="530"/>
    <x v="551"/>
    <x v="0"/>
    <x v="1"/>
    <x v="3"/>
    <x v="0"/>
    <s v="Latino"/>
    <n v="55"/>
    <d v="2017-02-06T00:00:00"/>
    <n v="144986"/>
    <n v="0.12"/>
    <x v="0"/>
    <s v="Phoenix"/>
    <x v="1"/>
    <n v="17398.32"/>
    <n v="162384.32000000001"/>
    <x v="1"/>
    <n v="8"/>
    <s v="50+"/>
  </r>
  <r>
    <x v="531"/>
    <x v="552"/>
    <x v="5"/>
    <x v="2"/>
    <x v="2"/>
    <x v="0"/>
    <s v="Asian"/>
    <n v="45"/>
    <d v="2000-08-16T00:00:00"/>
    <n v="60113"/>
    <n v="0"/>
    <x v="0"/>
    <s v="Chicago"/>
    <x v="1"/>
    <n v="0"/>
    <n v="60113"/>
    <x v="1"/>
    <n v="25"/>
    <s v="41-50"/>
  </r>
  <r>
    <x v="92"/>
    <x v="553"/>
    <x v="16"/>
    <x v="4"/>
    <x v="0"/>
    <x v="0"/>
    <s v="Latino"/>
    <n v="52"/>
    <d v="2021-04-18T00:00:00"/>
    <n v="50548"/>
    <n v="0"/>
    <x v="2"/>
    <s v="Sao Paulo"/>
    <x v="1"/>
    <n v="0"/>
    <n v="50548"/>
    <x v="1"/>
    <n v="4"/>
    <s v="50+"/>
  </r>
  <r>
    <x v="532"/>
    <x v="554"/>
    <x v="13"/>
    <x v="6"/>
    <x v="1"/>
    <x v="0"/>
    <s v="Caucasian"/>
    <n v="33"/>
    <d v="2020-03-14T00:00:00"/>
    <n v="68846"/>
    <n v="0"/>
    <x v="0"/>
    <s v="Chicago"/>
    <x v="1"/>
    <n v="0"/>
    <n v="68846"/>
    <x v="1"/>
    <n v="5"/>
    <s v="30-40"/>
  </r>
  <r>
    <x v="230"/>
    <x v="555"/>
    <x v="29"/>
    <x v="0"/>
    <x v="3"/>
    <x v="0"/>
    <s v="Latino"/>
    <n v="59"/>
    <d v="2014-03-19T00:00:00"/>
    <n v="90901"/>
    <n v="0"/>
    <x v="0"/>
    <s v="Seattle"/>
    <x v="1"/>
    <n v="0"/>
    <n v="90901"/>
    <x v="1"/>
    <n v="11"/>
    <s v="50+"/>
  </r>
  <r>
    <x v="533"/>
    <x v="556"/>
    <x v="6"/>
    <x v="3"/>
    <x v="3"/>
    <x v="0"/>
    <s v="Asian"/>
    <n v="50"/>
    <d v="2012-09-03T00:00:00"/>
    <n v="102033"/>
    <n v="0.08"/>
    <x v="0"/>
    <s v="Austin"/>
    <x v="1"/>
    <n v="8162.64"/>
    <n v="110195.64"/>
    <x v="1"/>
    <n v="13"/>
    <s v="50+"/>
  </r>
  <r>
    <x v="534"/>
    <x v="557"/>
    <x v="2"/>
    <x v="2"/>
    <x v="1"/>
    <x v="0"/>
    <s v="Caucasian"/>
    <n v="61"/>
    <d v="2021-01-23T00:00:00"/>
    <n v="151783"/>
    <n v="0.26"/>
    <x v="0"/>
    <s v="Seattle"/>
    <x v="1"/>
    <n v="39463.58"/>
    <n v="191246.58000000002"/>
    <x v="1"/>
    <n v="5"/>
    <s v="50+"/>
  </r>
  <r>
    <x v="535"/>
    <x v="558"/>
    <x v="2"/>
    <x v="5"/>
    <x v="3"/>
    <x v="0"/>
    <s v="Latino"/>
    <n v="27"/>
    <d v="2018-12-07T00:00:00"/>
    <n v="170164"/>
    <n v="0.17"/>
    <x v="0"/>
    <s v="Austin"/>
    <x v="1"/>
    <n v="28927.88"/>
    <n v="199091.88"/>
    <x v="1"/>
    <n v="7"/>
    <s v="Under 30"/>
  </r>
  <r>
    <x v="536"/>
    <x v="559"/>
    <x v="0"/>
    <x v="6"/>
    <x v="2"/>
    <x v="0"/>
    <s v="Asian"/>
    <n v="35"/>
    <d v="2014-02-20T00:00:00"/>
    <n v="155905"/>
    <n v="0.14000000000000001"/>
    <x v="0"/>
    <s v="Phoenix"/>
    <x v="1"/>
    <n v="21826.7"/>
    <n v="177731.7"/>
    <x v="1"/>
    <n v="11"/>
    <s v="30-40"/>
  </r>
  <r>
    <x v="415"/>
    <x v="560"/>
    <x v="7"/>
    <x v="2"/>
    <x v="3"/>
    <x v="1"/>
    <s v="Asian"/>
    <n v="40"/>
    <d v="2016-12-17T00:00:00"/>
    <n v="50733"/>
    <n v="0"/>
    <x v="0"/>
    <s v="Miami"/>
    <x v="1"/>
    <n v="0"/>
    <n v="50733"/>
    <x v="1"/>
    <n v="9"/>
    <s v="30-40"/>
  </r>
  <r>
    <x v="537"/>
    <x v="561"/>
    <x v="15"/>
    <x v="4"/>
    <x v="3"/>
    <x v="0"/>
    <s v="Caucasian"/>
    <n v="30"/>
    <d v="2017-01-26T00:00:00"/>
    <n v="88663"/>
    <n v="0"/>
    <x v="0"/>
    <s v="Phoenix"/>
    <x v="1"/>
    <n v="0"/>
    <n v="88663"/>
    <x v="1"/>
    <n v="9"/>
    <s v="30-40"/>
  </r>
  <r>
    <x v="538"/>
    <x v="562"/>
    <x v="17"/>
    <x v="5"/>
    <x v="1"/>
    <x v="1"/>
    <s v="Asian"/>
    <n v="60"/>
    <d v="1992-10-13T00:00:00"/>
    <n v="88213"/>
    <n v="0"/>
    <x v="1"/>
    <s v="Chongqing"/>
    <x v="1"/>
    <n v="0"/>
    <n v="88213"/>
    <x v="1"/>
    <n v="33"/>
    <s v="50+"/>
  </r>
  <r>
    <x v="539"/>
    <x v="563"/>
    <x v="13"/>
    <x v="2"/>
    <x v="2"/>
    <x v="1"/>
    <s v="Asian"/>
    <n v="55"/>
    <d v="2021-08-02T00:00:00"/>
    <n v="67130"/>
    <n v="0"/>
    <x v="0"/>
    <s v="Miami"/>
    <x v="1"/>
    <n v="0"/>
    <n v="67130"/>
    <x v="1"/>
    <n v="4"/>
    <s v="50+"/>
  </r>
  <r>
    <x v="124"/>
    <x v="564"/>
    <x v="4"/>
    <x v="1"/>
    <x v="2"/>
    <x v="0"/>
    <s v="Asian"/>
    <n v="33"/>
    <d v="2015-10-08T00:00:00"/>
    <n v="94876"/>
    <n v="0"/>
    <x v="0"/>
    <s v="Miami"/>
    <x v="1"/>
    <n v="0"/>
    <n v="94876"/>
    <x v="1"/>
    <n v="10"/>
    <s v="30-40"/>
  </r>
  <r>
    <x v="540"/>
    <x v="565"/>
    <x v="25"/>
    <x v="5"/>
    <x v="2"/>
    <x v="1"/>
    <s v="Latino"/>
    <n v="62"/>
    <d v="1994-10-09T00:00:00"/>
    <n v="98230"/>
    <n v="0"/>
    <x v="0"/>
    <s v="Miami"/>
    <x v="1"/>
    <n v="0"/>
    <n v="98230"/>
    <x v="1"/>
    <n v="31"/>
    <s v="50+"/>
  </r>
  <r>
    <x v="541"/>
    <x v="566"/>
    <x v="22"/>
    <x v="5"/>
    <x v="0"/>
    <x v="0"/>
    <s v="Asian"/>
    <n v="36"/>
    <d v="2018-12-14T00:00:00"/>
    <n v="96757"/>
    <n v="0"/>
    <x v="0"/>
    <s v="Columbus"/>
    <x v="1"/>
    <n v="0"/>
    <n v="96757"/>
    <x v="1"/>
    <n v="7"/>
    <s v="30-40"/>
  </r>
  <r>
    <x v="542"/>
    <x v="567"/>
    <x v="13"/>
    <x v="6"/>
    <x v="1"/>
    <x v="1"/>
    <s v="Black"/>
    <n v="35"/>
    <d v="2020-07-03T00:00:00"/>
    <n v="51513"/>
    <n v="0"/>
    <x v="0"/>
    <s v="Columbus"/>
    <x v="1"/>
    <n v="0"/>
    <n v="51513"/>
    <x v="1"/>
    <n v="5"/>
    <s v="30-40"/>
  </r>
  <r>
    <x v="543"/>
    <x v="568"/>
    <x v="9"/>
    <x v="6"/>
    <x v="3"/>
    <x v="1"/>
    <s v="Asian"/>
    <n v="60"/>
    <d v="2007-01-27T00:00:00"/>
    <n v="234311"/>
    <n v="0.37"/>
    <x v="0"/>
    <s v="Miami"/>
    <x v="1"/>
    <n v="86695.069999999992"/>
    <n v="321006.07"/>
    <x v="1"/>
    <n v="19"/>
    <s v="50+"/>
  </r>
  <r>
    <x v="544"/>
    <x v="569"/>
    <x v="0"/>
    <x v="4"/>
    <x v="2"/>
    <x v="0"/>
    <s v="Latino"/>
    <n v="45"/>
    <d v="2011-05-22T00:00:00"/>
    <n v="152353"/>
    <n v="0.14000000000000001"/>
    <x v="0"/>
    <s v="Seattle"/>
    <x v="1"/>
    <n v="21329.420000000002"/>
    <n v="173682.42"/>
    <x v="1"/>
    <n v="14"/>
    <s v="41-50"/>
  </r>
  <r>
    <x v="545"/>
    <x v="570"/>
    <x v="0"/>
    <x v="3"/>
    <x v="2"/>
    <x v="0"/>
    <s v="Caucasian"/>
    <n v="48"/>
    <d v="2010-07-30T00:00:00"/>
    <n v="124774"/>
    <n v="0.12"/>
    <x v="0"/>
    <s v="Phoenix"/>
    <x v="1"/>
    <n v="14972.88"/>
    <n v="139746.88"/>
    <x v="1"/>
    <n v="15"/>
    <s v="41-50"/>
  </r>
  <r>
    <x v="410"/>
    <x v="571"/>
    <x v="2"/>
    <x v="6"/>
    <x v="3"/>
    <x v="0"/>
    <s v="Asian"/>
    <n v="36"/>
    <d v="2010-09-13T00:00:00"/>
    <n v="157070"/>
    <n v="0.28000000000000003"/>
    <x v="1"/>
    <s v="Chongqing"/>
    <x v="1"/>
    <n v="43979.600000000006"/>
    <n v="201049.60000000001"/>
    <x v="1"/>
    <n v="15"/>
    <s v="30-40"/>
  </r>
  <r>
    <x v="546"/>
    <x v="572"/>
    <x v="0"/>
    <x v="1"/>
    <x v="2"/>
    <x v="1"/>
    <s v="Latino"/>
    <n v="44"/>
    <d v="2019-08-08T00:00:00"/>
    <n v="130133"/>
    <n v="0.15"/>
    <x v="0"/>
    <s v="Austin"/>
    <x v="40"/>
    <n v="19519.95"/>
    <n v="149652.95000000001"/>
    <x v="0"/>
    <n v="2"/>
    <s v="41-50"/>
  </r>
  <r>
    <x v="547"/>
    <x v="573"/>
    <x v="6"/>
    <x v="6"/>
    <x v="1"/>
    <x v="0"/>
    <s v="Asian"/>
    <n v="64"/>
    <d v="2019-09-21T00:00:00"/>
    <n v="108780"/>
    <n v="0.06"/>
    <x v="1"/>
    <s v="Shanghai"/>
    <x v="1"/>
    <n v="6526.8"/>
    <n v="115306.8"/>
    <x v="1"/>
    <n v="6"/>
    <s v="50+"/>
  </r>
  <r>
    <x v="548"/>
    <x v="574"/>
    <x v="2"/>
    <x v="5"/>
    <x v="2"/>
    <x v="0"/>
    <s v="Asian"/>
    <n v="46"/>
    <d v="2020-10-21T00:00:00"/>
    <n v="151853"/>
    <n v="0.16"/>
    <x v="1"/>
    <s v="Chengdu"/>
    <x v="1"/>
    <n v="24296.48"/>
    <n v="176149.48"/>
    <x v="1"/>
    <n v="5"/>
    <s v="41-50"/>
  </r>
  <r>
    <x v="549"/>
    <x v="575"/>
    <x v="5"/>
    <x v="2"/>
    <x v="1"/>
    <x v="0"/>
    <s v="Asian"/>
    <n v="62"/>
    <d v="2006-09-17T00:00:00"/>
    <n v="64669"/>
    <n v="0"/>
    <x v="1"/>
    <s v="Chongqing"/>
    <x v="1"/>
    <n v="0"/>
    <n v="64669"/>
    <x v="1"/>
    <n v="19"/>
    <s v="50+"/>
  </r>
  <r>
    <x v="550"/>
    <x v="576"/>
    <x v="13"/>
    <x v="6"/>
    <x v="0"/>
    <x v="1"/>
    <s v="Latino"/>
    <n v="61"/>
    <d v="2008-04-30T00:00:00"/>
    <n v="69352"/>
    <n v="0"/>
    <x v="2"/>
    <s v="Rio de Janerio"/>
    <x v="1"/>
    <n v="0"/>
    <n v="69352"/>
    <x v="1"/>
    <n v="17"/>
    <s v="50+"/>
  </r>
  <r>
    <x v="551"/>
    <x v="577"/>
    <x v="13"/>
    <x v="6"/>
    <x v="0"/>
    <x v="1"/>
    <s v="Asian"/>
    <n v="65"/>
    <d v="2001-10-17T00:00:00"/>
    <n v="74631"/>
    <n v="0"/>
    <x v="1"/>
    <s v="Chongqing"/>
    <x v="1"/>
    <n v="0"/>
    <n v="74631"/>
    <x v="1"/>
    <n v="24"/>
    <s v="50+"/>
  </r>
  <r>
    <x v="552"/>
    <x v="578"/>
    <x v="10"/>
    <x v="5"/>
    <x v="2"/>
    <x v="1"/>
    <s v="Latino"/>
    <n v="54"/>
    <d v="2012-04-29T00:00:00"/>
    <n v="96441"/>
    <n v="0"/>
    <x v="2"/>
    <s v="Sao Paulo"/>
    <x v="1"/>
    <n v="0"/>
    <n v="96441"/>
    <x v="1"/>
    <n v="13"/>
    <s v="50+"/>
  </r>
  <r>
    <x v="553"/>
    <x v="579"/>
    <x v="11"/>
    <x v="5"/>
    <x v="2"/>
    <x v="1"/>
    <s v="Asian"/>
    <n v="46"/>
    <d v="2011-10-20T00:00:00"/>
    <n v="114250"/>
    <n v="0.14000000000000001"/>
    <x v="1"/>
    <s v="Chengdu"/>
    <x v="1"/>
    <n v="15995.000000000002"/>
    <n v="130245"/>
    <x v="1"/>
    <n v="14"/>
    <s v="41-50"/>
  </r>
  <r>
    <x v="554"/>
    <x v="580"/>
    <x v="3"/>
    <x v="0"/>
    <x v="3"/>
    <x v="1"/>
    <s v="Latino"/>
    <n v="36"/>
    <d v="2020-12-27T00:00:00"/>
    <n v="70165"/>
    <n v="7.0000000000000007E-2"/>
    <x v="2"/>
    <s v="Manaus"/>
    <x v="1"/>
    <n v="4911.55"/>
    <n v="75076.55"/>
    <x v="1"/>
    <n v="5"/>
    <s v="30-40"/>
  </r>
  <r>
    <x v="555"/>
    <x v="581"/>
    <x v="6"/>
    <x v="0"/>
    <x v="3"/>
    <x v="1"/>
    <s v="Asian"/>
    <n v="60"/>
    <d v="2000-01-29T00:00:00"/>
    <n v="109059"/>
    <n v="7.0000000000000007E-2"/>
    <x v="1"/>
    <s v="Chengdu"/>
    <x v="1"/>
    <n v="7634.130000000001"/>
    <n v="116693.13"/>
    <x v="1"/>
    <n v="26"/>
    <s v="50+"/>
  </r>
  <r>
    <x v="556"/>
    <x v="582"/>
    <x v="19"/>
    <x v="5"/>
    <x v="0"/>
    <x v="0"/>
    <s v="Asian"/>
    <n v="30"/>
    <d v="2015-11-14T00:00:00"/>
    <n v="77442"/>
    <n v="0"/>
    <x v="0"/>
    <s v="Columbus"/>
    <x v="1"/>
    <n v="0"/>
    <n v="77442"/>
    <x v="1"/>
    <n v="10"/>
    <s v="30-40"/>
  </r>
  <r>
    <x v="557"/>
    <x v="583"/>
    <x v="13"/>
    <x v="2"/>
    <x v="3"/>
    <x v="0"/>
    <s v="Latino"/>
    <n v="34"/>
    <d v="2012-06-06T00:00:00"/>
    <n v="72126"/>
    <n v="0"/>
    <x v="2"/>
    <s v="Manaus"/>
    <x v="1"/>
    <n v="0"/>
    <n v="72126"/>
    <x v="1"/>
    <n v="13"/>
    <s v="30-40"/>
  </r>
  <r>
    <x v="558"/>
    <x v="584"/>
    <x v="31"/>
    <x v="0"/>
    <x v="1"/>
    <x v="1"/>
    <s v="Caucasian"/>
    <n v="55"/>
    <d v="2013-10-18T00:00:00"/>
    <n v="70334"/>
    <n v="0"/>
    <x v="0"/>
    <s v="Miami"/>
    <x v="1"/>
    <n v="0"/>
    <n v="70334"/>
    <x v="1"/>
    <n v="12"/>
    <s v="50+"/>
  </r>
  <r>
    <x v="559"/>
    <x v="585"/>
    <x v="10"/>
    <x v="5"/>
    <x v="0"/>
    <x v="1"/>
    <s v="Asian"/>
    <n v="59"/>
    <d v="2009-12-23T00:00:00"/>
    <n v="78006"/>
    <n v="0"/>
    <x v="0"/>
    <s v="Miami"/>
    <x v="1"/>
    <n v="0"/>
    <n v="78006"/>
    <x v="1"/>
    <n v="16"/>
    <s v="50+"/>
  </r>
  <r>
    <x v="560"/>
    <x v="586"/>
    <x v="2"/>
    <x v="0"/>
    <x v="1"/>
    <x v="0"/>
    <s v="Latino"/>
    <n v="28"/>
    <d v="2021-01-25T00:00:00"/>
    <n v="160385"/>
    <n v="0.23"/>
    <x v="0"/>
    <s v="Miami"/>
    <x v="41"/>
    <n v="36888.550000000003"/>
    <n v="197273.55"/>
    <x v="0"/>
    <n v="0"/>
    <s v="Under 30"/>
  </r>
  <r>
    <x v="561"/>
    <x v="587"/>
    <x v="9"/>
    <x v="1"/>
    <x v="3"/>
    <x v="0"/>
    <s v="Caucasian"/>
    <n v="36"/>
    <d v="2014-01-11T00:00:00"/>
    <n v="202323"/>
    <n v="0.39"/>
    <x v="0"/>
    <s v="Chicago"/>
    <x v="1"/>
    <n v="78905.97"/>
    <n v="281228.96999999997"/>
    <x v="1"/>
    <n v="12"/>
    <s v="30-40"/>
  </r>
  <r>
    <x v="562"/>
    <x v="588"/>
    <x v="0"/>
    <x v="4"/>
    <x v="3"/>
    <x v="0"/>
    <s v="Latino"/>
    <n v="29"/>
    <d v="2020-07-13T00:00:00"/>
    <n v="141555"/>
    <n v="0.11"/>
    <x v="2"/>
    <s v="Manaus"/>
    <x v="1"/>
    <n v="15571.05"/>
    <n v="157126.04999999999"/>
    <x v="1"/>
    <n v="5"/>
    <s v="Under 30"/>
  </r>
  <r>
    <x v="563"/>
    <x v="589"/>
    <x v="2"/>
    <x v="1"/>
    <x v="2"/>
    <x v="0"/>
    <s v="Asian"/>
    <n v="34"/>
    <d v="2020-07-20T00:00:00"/>
    <n v="184960"/>
    <n v="0.18"/>
    <x v="0"/>
    <s v="Seattle"/>
    <x v="1"/>
    <n v="33292.799999999996"/>
    <n v="218252.79999999999"/>
    <x v="1"/>
    <n v="5"/>
    <s v="30-40"/>
  </r>
  <r>
    <x v="564"/>
    <x v="590"/>
    <x v="9"/>
    <x v="0"/>
    <x v="1"/>
    <x v="1"/>
    <s v="Asian"/>
    <n v="37"/>
    <d v="2011-06-25T00:00:00"/>
    <n v="221592"/>
    <n v="0.31"/>
    <x v="0"/>
    <s v="Columbus"/>
    <x v="1"/>
    <n v="68693.52"/>
    <n v="290285.52"/>
    <x v="1"/>
    <n v="14"/>
    <s v="30-40"/>
  </r>
  <r>
    <x v="565"/>
    <x v="591"/>
    <x v="16"/>
    <x v="4"/>
    <x v="1"/>
    <x v="0"/>
    <s v="Asian"/>
    <n v="44"/>
    <d v="2009-01-28T00:00:00"/>
    <n v="53301"/>
    <n v="0"/>
    <x v="0"/>
    <s v="Seattle"/>
    <x v="1"/>
    <n v="0"/>
    <n v="53301"/>
    <x v="1"/>
    <n v="17"/>
    <s v="41-50"/>
  </r>
  <r>
    <x v="566"/>
    <x v="592"/>
    <x v="21"/>
    <x v="0"/>
    <x v="3"/>
    <x v="1"/>
    <s v="Asian"/>
    <n v="45"/>
    <d v="2000-03-02T00:00:00"/>
    <n v="91276"/>
    <n v="0"/>
    <x v="0"/>
    <s v="Seattle"/>
    <x v="1"/>
    <n v="0"/>
    <n v="91276"/>
    <x v="1"/>
    <n v="25"/>
    <s v="41-50"/>
  </r>
  <r>
    <x v="567"/>
    <x v="593"/>
    <x v="0"/>
    <x v="4"/>
    <x v="0"/>
    <x v="0"/>
    <s v="Asian"/>
    <n v="52"/>
    <d v="2017-09-05T00:00:00"/>
    <n v="140042"/>
    <n v="0.13"/>
    <x v="0"/>
    <s v="Austin"/>
    <x v="1"/>
    <n v="18205.46"/>
    <n v="158247.46"/>
    <x v="1"/>
    <n v="8"/>
    <s v="50+"/>
  </r>
  <r>
    <x v="118"/>
    <x v="594"/>
    <x v="7"/>
    <x v="3"/>
    <x v="1"/>
    <x v="0"/>
    <s v="Asian"/>
    <n v="40"/>
    <d v="2018-12-06T00:00:00"/>
    <n v="57225"/>
    <n v="0"/>
    <x v="0"/>
    <s v="Columbus"/>
    <x v="1"/>
    <n v="0"/>
    <n v="57225"/>
    <x v="1"/>
    <n v="7"/>
    <s v="30-40"/>
  </r>
  <r>
    <x v="568"/>
    <x v="595"/>
    <x v="6"/>
    <x v="4"/>
    <x v="2"/>
    <x v="0"/>
    <s v="Latino"/>
    <n v="55"/>
    <d v="2010-02-24T00:00:00"/>
    <n v="102839"/>
    <n v="0.05"/>
    <x v="0"/>
    <s v="Miami"/>
    <x v="1"/>
    <n v="5141.9500000000007"/>
    <n v="107980.95"/>
    <x v="1"/>
    <n v="15"/>
    <s v="50+"/>
  </r>
  <r>
    <x v="569"/>
    <x v="596"/>
    <x v="2"/>
    <x v="6"/>
    <x v="0"/>
    <x v="1"/>
    <s v="Asian"/>
    <n v="29"/>
    <d v="2021-09-15T00:00:00"/>
    <n v="199783"/>
    <n v="0.21"/>
    <x v="0"/>
    <s v="Chicago"/>
    <x v="42"/>
    <n v="41954.43"/>
    <n v="241737.43"/>
    <x v="0"/>
    <n v="0"/>
    <s v="Under 30"/>
  </r>
  <r>
    <x v="570"/>
    <x v="597"/>
    <x v="15"/>
    <x v="4"/>
    <x v="0"/>
    <x v="1"/>
    <s v="Latino"/>
    <n v="32"/>
    <d v="2021-04-09T00:00:00"/>
    <n v="70980"/>
    <n v="0"/>
    <x v="2"/>
    <s v="Rio de Janerio"/>
    <x v="1"/>
    <n v="0"/>
    <n v="70980"/>
    <x v="1"/>
    <n v="4"/>
    <s v="30-40"/>
  </r>
  <r>
    <x v="571"/>
    <x v="598"/>
    <x v="6"/>
    <x v="6"/>
    <x v="3"/>
    <x v="1"/>
    <s v="Caucasian"/>
    <n v="51"/>
    <d v="1997-01-26T00:00:00"/>
    <n v="104431"/>
    <n v="7.0000000000000007E-2"/>
    <x v="0"/>
    <s v="Phoenix"/>
    <x v="1"/>
    <n v="7310.170000000001"/>
    <n v="111741.17"/>
    <x v="1"/>
    <n v="29"/>
    <s v="50+"/>
  </r>
  <r>
    <x v="572"/>
    <x v="599"/>
    <x v="20"/>
    <x v="4"/>
    <x v="2"/>
    <x v="1"/>
    <s v="Caucasian"/>
    <n v="28"/>
    <d v="2021-06-27T00:00:00"/>
    <n v="48510"/>
    <n v="0"/>
    <x v="0"/>
    <s v="Chicago"/>
    <x v="1"/>
    <n v="0"/>
    <n v="48510"/>
    <x v="1"/>
    <n v="4"/>
    <s v="Under 30"/>
  </r>
  <r>
    <x v="573"/>
    <x v="600"/>
    <x v="10"/>
    <x v="5"/>
    <x v="2"/>
    <x v="1"/>
    <s v="Black"/>
    <n v="27"/>
    <d v="2019-05-28T00:00:00"/>
    <n v="70110"/>
    <n v="0"/>
    <x v="0"/>
    <s v="Miami"/>
    <x v="43"/>
    <n v="0"/>
    <n v="70110"/>
    <x v="0"/>
    <n v="1"/>
    <s v="Under 30"/>
  </r>
  <r>
    <x v="574"/>
    <x v="601"/>
    <x v="2"/>
    <x v="6"/>
    <x v="3"/>
    <x v="1"/>
    <s v="Asian"/>
    <n v="45"/>
    <d v="2008-03-12T00:00:00"/>
    <n v="186138"/>
    <n v="0.28000000000000003"/>
    <x v="1"/>
    <s v="Chongqing"/>
    <x v="1"/>
    <n v="52118.640000000007"/>
    <n v="238256.64000000001"/>
    <x v="1"/>
    <n v="17"/>
    <s v="41-50"/>
  </r>
  <r>
    <x v="575"/>
    <x v="602"/>
    <x v="7"/>
    <x v="3"/>
    <x v="1"/>
    <x v="1"/>
    <s v="Latino"/>
    <n v="58"/>
    <d v="2010-04-19T00:00:00"/>
    <n v="56350"/>
    <n v="0"/>
    <x v="2"/>
    <s v="Rio de Janerio"/>
    <x v="1"/>
    <n v="0"/>
    <n v="56350"/>
    <x v="1"/>
    <n v="15"/>
    <s v="50+"/>
  </r>
  <r>
    <x v="139"/>
    <x v="603"/>
    <x v="0"/>
    <x v="1"/>
    <x v="0"/>
    <x v="0"/>
    <s v="Latino"/>
    <n v="45"/>
    <d v="2016-01-10T00:00:00"/>
    <n v="149761"/>
    <n v="0.12"/>
    <x v="0"/>
    <s v="Columbus"/>
    <x v="1"/>
    <n v="17971.32"/>
    <n v="167732.32"/>
    <x v="1"/>
    <n v="10"/>
    <s v="41-50"/>
  </r>
  <r>
    <x v="576"/>
    <x v="604"/>
    <x v="0"/>
    <x v="1"/>
    <x v="3"/>
    <x v="1"/>
    <s v="Latino"/>
    <n v="44"/>
    <d v="2007-08-11T00:00:00"/>
    <n v="126277"/>
    <n v="0.13"/>
    <x v="2"/>
    <s v="Manaus"/>
    <x v="1"/>
    <n v="16416.010000000002"/>
    <n v="142693.01"/>
    <x v="1"/>
    <n v="18"/>
    <s v="41-50"/>
  </r>
  <r>
    <x v="577"/>
    <x v="605"/>
    <x v="6"/>
    <x v="2"/>
    <x v="2"/>
    <x v="1"/>
    <s v="Caucasian"/>
    <n v="33"/>
    <d v="2013-06-21T00:00:00"/>
    <n v="119631"/>
    <n v="0.06"/>
    <x v="0"/>
    <s v="Phoenix"/>
    <x v="1"/>
    <n v="7177.86"/>
    <n v="126808.86"/>
    <x v="1"/>
    <n v="12"/>
    <s v="30-40"/>
  </r>
  <r>
    <x v="578"/>
    <x v="606"/>
    <x v="9"/>
    <x v="0"/>
    <x v="0"/>
    <x v="1"/>
    <s v="Asian"/>
    <n v="26"/>
    <d v="2020-05-09T00:00:00"/>
    <n v="256561"/>
    <n v="0.39"/>
    <x v="0"/>
    <s v="Austin"/>
    <x v="1"/>
    <n v="100058.79000000001"/>
    <n v="356619.79000000004"/>
    <x v="1"/>
    <n v="5"/>
    <s v="Under 30"/>
  </r>
  <r>
    <x v="579"/>
    <x v="607"/>
    <x v="29"/>
    <x v="0"/>
    <x v="2"/>
    <x v="0"/>
    <s v="Latino"/>
    <n v="45"/>
    <d v="2020-04-16T00:00:00"/>
    <n v="66958"/>
    <n v="0"/>
    <x v="0"/>
    <s v="Miami"/>
    <x v="1"/>
    <n v="0"/>
    <n v="66958"/>
    <x v="1"/>
    <n v="5"/>
    <s v="41-50"/>
  </r>
  <r>
    <x v="12"/>
    <x v="608"/>
    <x v="0"/>
    <x v="2"/>
    <x v="1"/>
    <x v="0"/>
    <s v="Asian"/>
    <n v="46"/>
    <d v="2004-02-29T00:00:00"/>
    <n v="158897"/>
    <n v="0.1"/>
    <x v="1"/>
    <s v="Chongqing"/>
    <x v="1"/>
    <n v="15889.7"/>
    <n v="174786.7"/>
    <x v="1"/>
    <n v="21"/>
    <s v="41-50"/>
  </r>
  <r>
    <x v="64"/>
    <x v="609"/>
    <x v="1"/>
    <x v="0"/>
    <x v="3"/>
    <x v="1"/>
    <s v="Caucasian"/>
    <n v="37"/>
    <d v="2008-02-15T00:00:00"/>
    <n v="71695"/>
    <n v="0"/>
    <x v="0"/>
    <s v="Phoenix"/>
    <x v="1"/>
    <n v="0"/>
    <n v="71695"/>
    <x v="1"/>
    <n v="17"/>
    <s v="30-40"/>
  </r>
  <r>
    <x v="580"/>
    <x v="610"/>
    <x v="4"/>
    <x v="6"/>
    <x v="3"/>
    <x v="1"/>
    <s v="Asian"/>
    <n v="40"/>
    <d v="2014-09-22T00:00:00"/>
    <n v="73779"/>
    <n v="0"/>
    <x v="1"/>
    <s v="Chongqing"/>
    <x v="44"/>
    <n v="0"/>
    <n v="73779"/>
    <x v="0"/>
    <n v="4"/>
    <s v="30-40"/>
  </r>
  <r>
    <x v="581"/>
    <x v="611"/>
    <x v="6"/>
    <x v="2"/>
    <x v="2"/>
    <x v="0"/>
    <s v="Asian"/>
    <n v="45"/>
    <d v="2011-10-20T00:00:00"/>
    <n v="123640"/>
    <n v="7.0000000000000007E-2"/>
    <x v="1"/>
    <s v="Shanghai"/>
    <x v="1"/>
    <n v="8654.8000000000011"/>
    <n v="132294.79999999999"/>
    <x v="1"/>
    <n v="14"/>
    <s v="41-50"/>
  </r>
  <r>
    <x v="546"/>
    <x v="612"/>
    <x v="7"/>
    <x v="2"/>
    <x v="2"/>
    <x v="0"/>
    <s v="Caucasian"/>
    <n v="33"/>
    <d v="2014-04-13T00:00:00"/>
    <n v="46878"/>
    <n v="0"/>
    <x v="0"/>
    <s v="Miami"/>
    <x v="1"/>
    <n v="0"/>
    <n v="46878"/>
    <x v="1"/>
    <n v="11"/>
    <s v="30-40"/>
  </r>
  <r>
    <x v="582"/>
    <x v="613"/>
    <x v="7"/>
    <x v="6"/>
    <x v="2"/>
    <x v="0"/>
    <s v="Caucasian"/>
    <n v="64"/>
    <d v="2003-02-10T00:00:00"/>
    <n v="57032"/>
    <n v="0"/>
    <x v="0"/>
    <s v="Miami"/>
    <x v="1"/>
    <n v="0"/>
    <n v="57032"/>
    <x v="1"/>
    <n v="22"/>
    <s v="50+"/>
  </r>
  <r>
    <x v="583"/>
    <x v="614"/>
    <x v="4"/>
    <x v="2"/>
    <x v="1"/>
    <x v="0"/>
    <s v="Latino"/>
    <n v="57"/>
    <d v="2007-10-02T00:00:00"/>
    <n v="98150"/>
    <n v="0"/>
    <x v="2"/>
    <s v="Rio de Janerio"/>
    <x v="1"/>
    <n v="0"/>
    <n v="98150"/>
    <x v="1"/>
    <n v="18"/>
    <s v="50+"/>
  </r>
  <r>
    <x v="584"/>
    <x v="615"/>
    <x v="2"/>
    <x v="6"/>
    <x v="1"/>
    <x v="0"/>
    <s v="Asian"/>
    <n v="35"/>
    <d v="2017-03-06T00:00:00"/>
    <n v="171426"/>
    <n v="0.15"/>
    <x v="1"/>
    <s v="Beijing"/>
    <x v="45"/>
    <n v="25713.899999999998"/>
    <n v="197139.9"/>
    <x v="0"/>
    <n v="0"/>
    <s v="30-40"/>
  </r>
  <r>
    <x v="4"/>
    <x v="616"/>
    <x v="7"/>
    <x v="1"/>
    <x v="1"/>
    <x v="0"/>
    <s v="Caucasian"/>
    <n v="55"/>
    <d v="2021-04-16T00:00:00"/>
    <n v="48266"/>
    <n v="0"/>
    <x v="0"/>
    <s v="Chicago"/>
    <x v="1"/>
    <n v="0"/>
    <n v="48266"/>
    <x v="1"/>
    <n v="4"/>
    <s v="50+"/>
  </r>
  <r>
    <x v="585"/>
    <x v="617"/>
    <x v="9"/>
    <x v="1"/>
    <x v="0"/>
    <x v="1"/>
    <s v="Latino"/>
    <n v="36"/>
    <d v="2018-08-18T00:00:00"/>
    <n v="223404"/>
    <n v="0.32"/>
    <x v="0"/>
    <s v="Columbus"/>
    <x v="1"/>
    <n v="71489.279999999999"/>
    <n v="294893.28000000003"/>
    <x v="1"/>
    <n v="7"/>
    <s v="30-40"/>
  </r>
  <r>
    <x v="586"/>
    <x v="618"/>
    <x v="27"/>
    <x v="0"/>
    <x v="2"/>
    <x v="0"/>
    <s v="Asian"/>
    <n v="57"/>
    <d v="2014-01-10T00:00:00"/>
    <n v="74854"/>
    <n v="0"/>
    <x v="0"/>
    <s v="Seattle"/>
    <x v="1"/>
    <n v="0"/>
    <n v="74854"/>
    <x v="1"/>
    <n v="12"/>
    <s v="50+"/>
  </r>
  <r>
    <x v="587"/>
    <x v="619"/>
    <x v="9"/>
    <x v="3"/>
    <x v="2"/>
    <x v="0"/>
    <s v="Caucasian"/>
    <n v="48"/>
    <d v="2007-04-25T00:00:00"/>
    <n v="217783"/>
    <n v="0.36"/>
    <x v="0"/>
    <s v="Seattle"/>
    <x v="1"/>
    <n v="78401.87999999999"/>
    <n v="296184.88"/>
    <x v="1"/>
    <n v="18"/>
    <s v="41-50"/>
  </r>
  <r>
    <x v="588"/>
    <x v="620"/>
    <x v="28"/>
    <x v="0"/>
    <x v="1"/>
    <x v="0"/>
    <s v="Latino"/>
    <n v="53"/>
    <d v="2004-08-15T00:00:00"/>
    <n v="44735"/>
    <n v="0"/>
    <x v="2"/>
    <s v="Manaus"/>
    <x v="1"/>
    <n v="0"/>
    <n v="44735"/>
    <x v="1"/>
    <n v="21"/>
    <s v="50+"/>
  </r>
  <r>
    <x v="589"/>
    <x v="621"/>
    <x v="13"/>
    <x v="1"/>
    <x v="1"/>
    <x v="0"/>
    <s v="Caucasian"/>
    <n v="41"/>
    <d v="2007-01-09T00:00:00"/>
    <n v="50685"/>
    <n v="0"/>
    <x v="0"/>
    <s v="Columbus"/>
    <x v="1"/>
    <n v="0"/>
    <n v="50685"/>
    <x v="1"/>
    <n v="19"/>
    <s v="41-50"/>
  </r>
  <r>
    <x v="590"/>
    <x v="622"/>
    <x v="13"/>
    <x v="2"/>
    <x v="0"/>
    <x v="1"/>
    <s v="Asian"/>
    <n v="34"/>
    <d v="2018-03-10T00:00:00"/>
    <n v="58993"/>
    <n v="0"/>
    <x v="0"/>
    <s v="Austin"/>
    <x v="1"/>
    <n v="0"/>
    <n v="58993"/>
    <x v="1"/>
    <n v="7"/>
    <s v="30-40"/>
  </r>
  <r>
    <x v="591"/>
    <x v="623"/>
    <x v="19"/>
    <x v="5"/>
    <x v="3"/>
    <x v="1"/>
    <s v="Caucasian"/>
    <n v="47"/>
    <d v="2020-06-08T00:00:00"/>
    <n v="115765"/>
    <n v="0"/>
    <x v="0"/>
    <s v="Miami"/>
    <x v="46"/>
    <n v="0"/>
    <n v="115765"/>
    <x v="0"/>
    <n v="0"/>
    <s v="41-50"/>
  </r>
  <r>
    <x v="592"/>
    <x v="624"/>
    <x v="2"/>
    <x v="3"/>
    <x v="1"/>
    <x v="0"/>
    <s v="Asian"/>
    <n v="63"/>
    <d v="2007-03-06T00:00:00"/>
    <n v="193044"/>
    <n v="0.15"/>
    <x v="0"/>
    <s v="Miami"/>
    <x v="1"/>
    <n v="28956.6"/>
    <n v="222000.6"/>
    <x v="1"/>
    <n v="18"/>
    <s v="50+"/>
  </r>
  <r>
    <x v="593"/>
    <x v="625"/>
    <x v="7"/>
    <x v="6"/>
    <x v="0"/>
    <x v="0"/>
    <s v="Black"/>
    <n v="65"/>
    <d v="2011-06-17T00:00:00"/>
    <n v="56686"/>
    <n v="0"/>
    <x v="0"/>
    <s v="Seattle"/>
    <x v="47"/>
    <n v="0"/>
    <n v="56686"/>
    <x v="0"/>
    <n v="3"/>
    <s v="50+"/>
  </r>
  <r>
    <x v="594"/>
    <x v="626"/>
    <x v="0"/>
    <x v="1"/>
    <x v="1"/>
    <x v="0"/>
    <s v="Black"/>
    <n v="33"/>
    <d v="2019-10-25T00:00:00"/>
    <n v="131652"/>
    <n v="0.11"/>
    <x v="0"/>
    <s v="Seattle"/>
    <x v="1"/>
    <n v="14481.72"/>
    <n v="146133.72"/>
    <x v="1"/>
    <n v="6"/>
    <s v="30-40"/>
  </r>
  <r>
    <x v="595"/>
    <x v="627"/>
    <x v="2"/>
    <x v="6"/>
    <x v="1"/>
    <x v="0"/>
    <s v="Black"/>
    <n v="45"/>
    <d v="2008-02-29T00:00:00"/>
    <n v="150577"/>
    <n v="0.25"/>
    <x v="0"/>
    <s v="Miami"/>
    <x v="1"/>
    <n v="37644.25"/>
    <n v="188221.25"/>
    <x v="1"/>
    <n v="17"/>
    <s v="41-50"/>
  </r>
  <r>
    <x v="234"/>
    <x v="628"/>
    <x v="11"/>
    <x v="5"/>
    <x v="0"/>
    <x v="0"/>
    <s v="Latino"/>
    <n v="37"/>
    <d v="2018-12-27T00:00:00"/>
    <n v="87359"/>
    <n v="0.11"/>
    <x v="2"/>
    <s v="Rio de Janerio"/>
    <x v="1"/>
    <n v="9609.49"/>
    <n v="96968.49"/>
    <x v="1"/>
    <n v="7"/>
    <s v="30-40"/>
  </r>
  <r>
    <x v="596"/>
    <x v="629"/>
    <x v="13"/>
    <x v="2"/>
    <x v="2"/>
    <x v="0"/>
    <s v="Asian"/>
    <n v="60"/>
    <d v="2014-01-08T00:00:00"/>
    <n v="51877"/>
    <n v="0"/>
    <x v="1"/>
    <s v="Beijing"/>
    <x v="1"/>
    <n v="0"/>
    <n v="51877"/>
    <x v="1"/>
    <n v="12"/>
    <s v="50+"/>
  </r>
  <r>
    <x v="99"/>
    <x v="630"/>
    <x v="29"/>
    <x v="0"/>
    <x v="1"/>
    <x v="1"/>
    <s v="Asian"/>
    <n v="43"/>
    <d v="2017-01-18T00:00:00"/>
    <n v="86417"/>
    <n v="0"/>
    <x v="0"/>
    <s v="Chicago"/>
    <x v="1"/>
    <n v="0"/>
    <n v="86417"/>
    <x v="1"/>
    <n v="9"/>
    <s v="41-50"/>
  </r>
  <r>
    <x v="597"/>
    <x v="631"/>
    <x v="27"/>
    <x v="0"/>
    <x v="0"/>
    <x v="0"/>
    <s v="Asian"/>
    <n v="65"/>
    <d v="2003-05-08T00:00:00"/>
    <n v="96548"/>
    <n v="0"/>
    <x v="0"/>
    <s v="Austin"/>
    <x v="1"/>
    <n v="0"/>
    <n v="96548"/>
    <x v="1"/>
    <n v="22"/>
    <s v="50+"/>
  </r>
  <r>
    <x v="598"/>
    <x v="632"/>
    <x v="4"/>
    <x v="3"/>
    <x v="1"/>
    <x v="0"/>
    <s v="Asian"/>
    <n v="43"/>
    <d v="2014-01-23T00:00:00"/>
    <n v="92940"/>
    <n v="0"/>
    <x v="1"/>
    <s v="Chengdu"/>
    <x v="1"/>
    <n v="0"/>
    <n v="92940"/>
    <x v="1"/>
    <n v="12"/>
    <s v="41-50"/>
  </r>
  <r>
    <x v="439"/>
    <x v="633"/>
    <x v="13"/>
    <x v="3"/>
    <x v="2"/>
    <x v="1"/>
    <s v="Asian"/>
    <n v="28"/>
    <d v="2018-08-24T00:00:00"/>
    <n v="61410"/>
    <n v="0"/>
    <x v="0"/>
    <s v="Phoenix"/>
    <x v="1"/>
    <n v="0"/>
    <n v="61410"/>
    <x v="1"/>
    <n v="7"/>
    <s v="Under 30"/>
  </r>
  <r>
    <x v="599"/>
    <x v="634"/>
    <x v="6"/>
    <x v="1"/>
    <x v="2"/>
    <x v="0"/>
    <s v="Black"/>
    <n v="61"/>
    <d v="2010-04-25T00:00:00"/>
    <n v="110302"/>
    <n v="0.06"/>
    <x v="0"/>
    <s v="Miami"/>
    <x v="1"/>
    <n v="6618.12"/>
    <n v="116920.12"/>
    <x v="1"/>
    <n v="15"/>
    <s v="50+"/>
  </r>
  <r>
    <x v="600"/>
    <x v="635"/>
    <x v="2"/>
    <x v="5"/>
    <x v="2"/>
    <x v="0"/>
    <s v="Black"/>
    <n v="45"/>
    <d v="2018-04-22T00:00:00"/>
    <n v="187205"/>
    <n v="0.24"/>
    <x v="0"/>
    <s v="Columbus"/>
    <x v="48"/>
    <n v="44929.2"/>
    <n v="232134.2"/>
    <x v="0"/>
    <n v="4"/>
    <s v="41-50"/>
  </r>
  <r>
    <x v="601"/>
    <x v="636"/>
    <x v="4"/>
    <x v="2"/>
    <x v="3"/>
    <x v="1"/>
    <s v="Caucasian"/>
    <n v="45"/>
    <d v="2011-03-16T00:00:00"/>
    <n v="81687"/>
    <n v="0"/>
    <x v="0"/>
    <s v="Phoenix"/>
    <x v="1"/>
    <n v="0"/>
    <n v="81687"/>
    <x v="1"/>
    <n v="14"/>
    <s v="41-50"/>
  </r>
  <r>
    <x v="602"/>
    <x v="637"/>
    <x v="9"/>
    <x v="0"/>
    <x v="2"/>
    <x v="1"/>
    <s v="Latino"/>
    <n v="54"/>
    <d v="2009-08-15T00:00:00"/>
    <n v="241083"/>
    <n v="0.39"/>
    <x v="0"/>
    <s v="Columbus"/>
    <x v="1"/>
    <n v="94022.37000000001"/>
    <n v="335105.37"/>
    <x v="1"/>
    <n v="16"/>
    <s v="50+"/>
  </r>
  <r>
    <x v="603"/>
    <x v="638"/>
    <x v="9"/>
    <x v="1"/>
    <x v="2"/>
    <x v="0"/>
    <s v="Black"/>
    <n v="38"/>
    <d v="2018-11-09T00:00:00"/>
    <n v="223805"/>
    <n v="0.36"/>
    <x v="0"/>
    <s v="Chicago"/>
    <x v="1"/>
    <n v="80569.8"/>
    <n v="304374.8"/>
    <x v="1"/>
    <n v="7"/>
    <s v="30-40"/>
  </r>
  <r>
    <x v="604"/>
    <x v="639"/>
    <x v="2"/>
    <x v="3"/>
    <x v="3"/>
    <x v="0"/>
    <s v="Caucasian"/>
    <n v="27"/>
    <d v="2021-07-16T00:00:00"/>
    <n v="161759"/>
    <n v="0.16"/>
    <x v="0"/>
    <s v="Miami"/>
    <x v="1"/>
    <n v="25881.440000000002"/>
    <n v="187640.44"/>
    <x v="1"/>
    <n v="4"/>
    <s v="Under 30"/>
  </r>
  <r>
    <x v="605"/>
    <x v="640"/>
    <x v="3"/>
    <x v="0"/>
    <x v="0"/>
    <x v="1"/>
    <s v="Black"/>
    <n v="40"/>
    <d v="2019-02-24T00:00:00"/>
    <n v="95899"/>
    <n v="0.1"/>
    <x v="0"/>
    <s v="Columbus"/>
    <x v="49"/>
    <n v="9589.9"/>
    <n v="105488.9"/>
    <x v="0"/>
    <n v="2"/>
    <s v="30-40"/>
  </r>
  <r>
    <x v="606"/>
    <x v="641"/>
    <x v="4"/>
    <x v="1"/>
    <x v="3"/>
    <x v="1"/>
    <s v="Asian"/>
    <n v="49"/>
    <d v="2019-06-07T00:00:00"/>
    <n v="80700"/>
    <n v="0"/>
    <x v="0"/>
    <s v="Columbus"/>
    <x v="1"/>
    <n v="0"/>
    <n v="80700"/>
    <x v="1"/>
    <n v="6"/>
    <s v="41-50"/>
  </r>
  <r>
    <x v="343"/>
    <x v="642"/>
    <x v="6"/>
    <x v="4"/>
    <x v="2"/>
    <x v="1"/>
    <s v="Asian"/>
    <n v="54"/>
    <d v="1997-03-11T00:00:00"/>
    <n v="128136"/>
    <n v="0.05"/>
    <x v="1"/>
    <s v="Beijing"/>
    <x v="1"/>
    <n v="6406.8"/>
    <n v="134542.79999999999"/>
    <x v="1"/>
    <n v="28"/>
    <s v="50+"/>
  </r>
  <r>
    <x v="607"/>
    <x v="643"/>
    <x v="13"/>
    <x v="6"/>
    <x v="3"/>
    <x v="0"/>
    <s v="Caucasian"/>
    <n v="39"/>
    <d v="2017-04-18T00:00:00"/>
    <n v="58745"/>
    <n v="0"/>
    <x v="0"/>
    <s v="Austin"/>
    <x v="1"/>
    <n v="0"/>
    <n v="58745"/>
    <x v="1"/>
    <n v="8"/>
    <s v="30-40"/>
  </r>
  <r>
    <x v="608"/>
    <x v="644"/>
    <x v="1"/>
    <x v="0"/>
    <x v="3"/>
    <x v="0"/>
    <s v="Asian"/>
    <n v="57"/>
    <d v="1992-05-04T00:00:00"/>
    <n v="76202"/>
    <n v="0"/>
    <x v="0"/>
    <s v="Austin"/>
    <x v="50"/>
    <n v="0"/>
    <n v="76202"/>
    <x v="0"/>
    <n v="2"/>
    <s v="50+"/>
  </r>
  <r>
    <x v="609"/>
    <x v="645"/>
    <x v="9"/>
    <x v="2"/>
    <x v="2"/>
    <x v="1"/>
    <s v="Black"/>
    <n v="36"/>
    <d v="2018-03-19T00:00:00"/>
    <n v="195200"/>
    <n v="0.36"/>
    <x v="0"/>
    <s v="Austin"/>
    <x v="1"/>
    <n v="70272"/>
    <n v="265472"/>
    <x v="1"/>
    <n v="7"/>
    <s v="30-40"/>
  </r>
  <r>
    <x v="610"/>
    <x v="646"/>
    <x v="13"/>
    <x v="1"/>
    <x v="1"/>
    <x v="0"/>
    <s v="Asian"/>
    <n v="45"/>
    <d v="2016-12-07T00:00:00"/>
    <n v="71454"/>
    <n v="0"/>
    <x v="1"/>
    <s v="Shanghai"/>
    <x v="1"/>
    <n v="0"/>
    <n v="71454"/>
    <x v="1"/>
    <n v="9"/>
    <s v="41-50"/>
  </r>
  <r>
    <x v="611"/>
    <x v="647"/>
    <x v="21"/>
    <x v="0"/>
    <x v="1"/>
    <x v="0"/>
    <s v="Caucasian"/>
    <n v="30"/>
    <d v="2020-02-03T00:00:00"/>
    <n v="94652"/>
    <n v="0"/>
    <x v="0"/>
    <s v="Seattle"/>
    <x v="1"/>
    <n v="0"/>
    <n v="94652"/>
    <x v="1"/>
    <n v="5"/>
    <s v="30-40"/>
  </r>
  <r>
    <x v="612"/>
    <x v="648"/>
    <x v="1"/>
    <x v="0"/>
    <x v="1"/>
    <x v="1"/>
    <s v="Black"/>
    <n v="34"/>
    <d v="2016-02-16T00:00:00"/>
    <n v="63411"/>
    <n v="0"/>
    <x v="0"/>
    <s v="Miami"/>
    <x v="1"/>
    <n v="0"/>
    <n v="63411"/>
    <x v="1"/>
    <n v="9"/>
    <s v="30-40"/>
  </r>
  <r>
    <x v="613"/>
    <x v="649"/>
    <x v="13"/>
    <x v="2"/>
    <x v="2"/>
    <x v="1"/>
    <s v="Asian"/>
    <n v="31"/>
    <d v="2020-02-17T00:00:00"/>
    <n v="67171"/>
    <n v="0"/>
    <x v="1"/>
    <s v="Chongqing"/>
    <x v="14"/>
    <n v="0"/>
    <n v="67171"/>
    <x v="0"/>
    <n v="1"/>
    <s v="30-40"/>
  </r>
  <r>
    <x v="614"/>
    <x v="650"/>
    <x v="0"/>
    <x v="3"/>
    <x v="2"/>
    <x v="0"/>
    <s v="Latino"/>
    <n v="28"/>
    <d v="2019-07-06T00:00:00"/>
    <n v="152036"/>
    <n v="0.15"/>
    <x v="2"/>
    <s v="Rio de Janerio"/>
    <x v="1"/>
    <n v="22805.399999999998"/>
    <n v="174841.4"/>
    <x v="1"/>
    <n v="6"/>
    <s v="Under 30"/>
  </r>
  <r>
    <x v="615"/>
    <x v="651"/>
    <x v="8"/>
    <x v="5"/>
    <x v="1"/>
    <x v="0"/>
    <s v="Black"/>
    <n v="55"/>
    <d v="2021-03-21T00:00:00"/>
    <n v="95562"/>
    <n v="0"/>
    <x v="0"/>
    <s v="Chicago"/>
    <x v="1"/>
    <n v="0"/>
    <n v="95562"/>
    <x v="1"/>
    <n v="4"/>
    <s v="50+"/>
  </r>
  <r>
    <x v="616"/>
    <x v="652"/>
    <x v="4"/>
    <x v="2"/>
    <x v="0"/>
    <x v="1"/>
    <s v="Caucasian"/>
    <n v="30"/>
    <d v="2019-11-04T00:00:00"/>
    <n v="96092"/>
    <n v="0"/>
    <x v="0"/>
    <s v="Austin"/>
    <x v="1"/>
    <n v="0"/>
    <n v="96092"/>
    <x v="1"/>
    <n v="6"/>
    <s v="30-40"/>
  </r>
  <r>
    <x v="617"/>
    <x v="653"/>
    <x v="9"/>
    <x v="5"/>
    <x v="1"/>
    <x v="1"/>
    <s v="Asian"/>
    <n v="63"/>
    <d v="2013-06-03T00:00:00"/>
    <n v="254289"/>
    <n v="0.39"/>
    <x v="0"/>
    <s v="Chicago"/>
    <x v="1"/>
    <n v="99172.71"/>
    <n v="353461.71"/>
    <x v="1"/>
    <n v="12"/>
    <s v="50+"/>
  </r>
  <r>
    <x v="618"/>
    <x v="654"/>
    <x v="3"/>
    <x v="0"/>
    <x v="0"/>
    <x v="1"/>
    <s v="Caucasian"/>
    <n v="26"/>
    <d v="2019-07-10T00:00:00"/>
    <n v="69110"/>
    <n v="0.05"/>
    <x v="0"/>
    <s v="Chicago"/>
    <x v="1"/>
    <n v="3455.5"/>
    <n v="72565.5"/>
    <x v="1"/>
    <n v="6"/>
    <s v="Under 30"/>
  </r>
  <r>
    <x v="619"/>
    <x v="655"/>
    <x v="9"/>
    <x v="6"/>
    <x v="2"/>
    <x v="1"/>
    <s v="Caucasian"/>
    <n v="52"/>
    <d v="2002-06-11T00:00:00"/>
    <n v="236314"/>
    <n v="0.34"/>
    <x v="0"/>
    <s v="Miami"/>
    <x v="1"/>
    <n v="80346.760000000009"/>
    <n v="316660.76"/>
    <x v="1"/>
    <n v="23"/>
    <s v="50+"/>
  </r>
  <r>
    <x v="620"/>
    <x v="656"/>
    <x v="7"/>
    <x v="6"/>
    <x v="3"/>
    <x v="1"/>
    <s v="Latino"/>
    <n v="51"/>
    <d v="2007-06-19T00:00:00"/>
    <n v="45206"/>
    <n v="0"/>
    <x v="0"/>
    <s v="Columbus"/>
    <x v="1"/>
    <n v="0"/>
    <n v="45206"/>
    <x v="1"/>
    <n v="18"/>
    <s v="50+"/>
  </r>
  <r>
    <x v="621"/>
    <x v="657"/>
    <x v="9"/>
    <x v="1"/>
    <x v="0"/>
    <x v="0"/>
    <s v="Asian"/>
    <n v="25"/>
    <d v="2021-11-15T00:00:00"/>
    <n v="210708"/>
    <n v="0.33"/>
    <x v="0"/>
    <s v="Chicago"/>
    <x v="1"/>
    <n v="69533.64"/>
    <n v="280241.64"/>
    <x v="1"/>
    <n v="4"/>
    <s v="Under 30"/>
  </r>
  <r>
    <x v="622"/>
    <x v="658"/>
    <x v="27"/>
    <x v="0"/>
    <x v="3"/>
    <x v="1"/>
    <s v="Latino"/>
    <n v="40"/>
    <d v="2021-09-26T00:00:00"/>
    <n v="87770"/>
    <n v="0"/>
    <x v="0"/>
    <s v="Austin"/>
    <x v="1"/>
    <n v="0"/>
    <n v="87770"/>
    <x v="1"/>
    <n v="4"/>
    <s v="30-40"/>
  </r>
  <r>
    <x v="623"/>
    <x v="659"/>
    <x v="6"/>
    <x v="3"/>
    <x v="3"/>
    <x v="0"/>
    <s v="Caucasian"/>
    <n v="38"/>
    <d v="2015-08-12T00:00:00"/>
    <n v="106858"/>
    <n v="0.05"/>
    <x v="0"/>
    <s v="Seattle"/>
    <x v="1"/>
    <n v="5342.9000000000005"/>
    <n v="112200.9"/>
    <x v="1"/>
    <n v="10"/>
    <s v="30-40"/>
  </r>
  <r>
    <x v="624"/>
    <x v="660"/>
    <x v="2"/>
    <x v="4"/>
    <x v="3"/>
    <x v="1"/>
    <s v="Caucasian"/>
    <n v="60"/>
    <d v="2015-04-14T00:00:00"/>
    <n v="155788"/>
    <n v="0.17"/>
    <x v="0"/>
    <s v="Seattle"/>
    <x v="1"/>
    <n v="26483.960000000003"/>
    <n v="182271.96"/>
    <x v="1"/>
    <n v="10"/>
    <s v="50+"/>
  </r>
  <r>
    <x v="625"/>
    <x v="661"/>
    <x v="15"/>
    <x v="4"/>
    <x v="2"/>
    <x v="0"/>
    <s v="Latino"/>
    <n v="45"/>
    <d v="2019-04-26T00:00:00"/>
    <n v="74891"/>
    <n v="0"/>
    <x v="2"/>
    <s v="Rio de Janerio"/>
    <x v="1"/>
    <n v="0"/>
    <n v="74891"/>
    <x v="1"/>
    <n v="6"/>
    <s v="41-50"/>
  </r>
  <r>
    <x v="626"/>
    <x v="662"/>
    <x v="8"/>
    <x v="5"/>
    <x v="3"/>
    <x v="1"/>
    <s v="Asian"/>
    <n v="28"/>
    <d v="2021-12-18T00:00:00"/>
    <n v="95670"/>
    <n v="0"/>
    <x v="0"/>
    <s v="Phoenix"/>
    <x v="1"/>
    <n v="0"/>
    <n v="95670"/>
    <x v="1"/>
    <n v="4"/>
    <s v="Under 30"/>
  </r>
  <r>
    <x v="627"/>
    <x v="663"/>
    <x v="5"/>
    <x v="2"/>
    <x v="0"/>
    <x v="0"/>
    <s v="Black"/>
    <n v="65"/>
    <d v="2000-09-29T00:00:00"/>
    <n v="67837"/>
    <n v="0"/>
    <x v="0"/>
    <s v="Austin"/>
    <x v="1"/>
    <n v="0"/>
    <n v="67837"/>
    <x v="1"/>
    <n v="25"/>
    <s v="50+"/>
  </r>
  <r>
    <x v="628"/>
    <x v="664"/>
    <x v="13"/>
    <x v="2"/>
    <x v="0"/>
    <x v="1"/>
    <s v="Asian"/>
    <n v="41"/>
    <d v="2010-06-04T00:00:00"/>
    <n v="72425"/>
    <n v="0"/>
    <x v="1"/>
    <s v="Beijing"/>
    <x v="1"/>
    <n v="0"/>
    <n v="72425"/>
    <x v="1"/>
    <n v="15"/>
    <s v="41-50"/>
  </r>
  <r>
    <x v="629"/>
    <x v="665"/>
    <x v="4"/>
    <x v="2"/>
    <x v="3"/>
    <x v="0"/>
    <s v="Latino"/>
    <n v="52"/>
    <d v="1994-10-16T00:00:00"/>
    <n v="93103"/>
    <n v="0"/>
    <x v="0"/>
    <s v="Phoenix"/>
    <x v="1"/>
    <n v="0"/>
    <n v="93103"/>
    <x v="1"/>
    <n v="31"/>
    <s v="50+"/>
  </r>
  <r>
    <x v="630"/>
    <x v="666"/>
    <x v="8"/>
    <x v="5"/>
    <x v="3"/>
    <x v="0"/>
    <s v="Caucasian"/>
    <n v="56"/>
    <d v="2015-10-14T00:00:00"/>
    <n v="76272"/>
    <n v="0"/>
    <x v="0"/>
    <s v="Miami"/>
    <x v="51"/>
    <n v="0"/>
    <n v="76272"/>
    <x v="0"/>
    <n v="6"/>
    <s v="50+"/>
  </r>
  <r>
    <x v="631"/>
    <x v="667"/>
    <x v="13"/>
    <x v="1"/>
    <x v="1"/>
    <x v="0"/>
    <s v="Asian"/>
    <n v="48"/>
    <d v="2003-06-24T00:00:00"/>
    <n v="55760"/>
    <n v="0"/>
    <x v="0"/>
    <s v="Austin"/>
    <x v="1"/>
    <n v="0"/>
    <n v="55760"/>
    <x v="1"/>
    <n v="22"/>
    <s v="41-50"/>
  </r>
  <r>
    <x v="632"/>
    <x v="668"/>
    <x v="9"/>
    <x v="3"/>
    <x v="3"/>
    <x v="0"/>
    <s v="Caucasian"/>
    <n v="36"/>
    <d v="2020-01-13T00:00:00"/>
    <n v="253294"/>
    <n v="0.4"/>
    <x v="0"/>
    <s v="Miami"/>
    <x v="1"/>
    <n v="101317.6"/>
    <n v="354611.6"/>
    <x v="1"/>
    <n v="6"/>
    <s v="30-40"/>
  </r>
  <r>
    <x v="633"/>
    <x v="669"/>
    <x v="13"/>
    <x v="1"/>
    <x v="3"/>
    <x v="1"/>
    <s v="Caucasian"/>
    <n v="60"/>
    <d v="2007-08-16T00:00:00"/>
    <n v="58671"/>
    <n v="0"/>
    <x v="0"/>
    <s v="Columbus"/>
    <x v="1"/>
    <n v="0"/>
    <n v="58671"/>
    <x v="1"/>
    <n v="18"/>
    <s v="50+"/>
  </r>
  <r>
    <x v="634"/>
    <x v="670"/>
    <x v="5"/>
    <x v="2"/>
    <x v="0"/>
    <x v="0"/>
    <s v="Asian"/>
    <n v="40"/>
    <d v="2018-03-16T00:00:00"/>
    <n v="55457"/>
    <n v="0"/>
    <x v="0"/>
    <s v="Columbus"/>
    <x v="1"/>
    <n v="0"/>
    <n v="55457"/>
    <x v="1"/>
    <n v="7"/>
    <s v="30-40"/>
  </r>
  <r>
    <x v="635"/>
    <x v="671"/>
    <x v="5"/>
    <x v="2"/>
    <x v="1"/>
    <x v="0"/>
    <s v="Asian"/>
    <n v="63"/>
    <d v="2017-09-26T00:00:00"/>
    <n v="72340"/>
    <n v="0"/>
    <x v="0"/>
    <s v="Phoenix"/>
    <x v="52"/>
    <n v="0"/>
    <n v="72340"/>
    <x v="0"/>
    <n v="1"/>
    <s v="50+"/>
  </r>
  <r>
    <x v="636"/>
    <x v="672"/>
    <x v="6"/>
    <x v="6"/>
    <x v="3"/>
    <x v="0"/>
    <s v="Caucasian"/>
    <n v="29"/>
    <d v="2016-11-02T00:00:00"/>
    <n v="122054"/>
    <n v="0.06"/>
    <x v="0"/>
    <s v="Phoenix"/>
    <x v="1"/>
    <n v="7323.24"/>
    <n v="129377.24"/>
    <x v="1"/>
    <n v="9"/>
    <s v="Under 30"/>
  </r>
  <r>
    <x v="637"/>
    <x v="673"/>
    <x v="2"/>
    <x v="0"/>
    <x v="1"/>
    <x v="0"/>
    <s v="Asian"/>
    <n v="27"/>
    <d v="2018-01-03T00:00:00"/>
    <n v="167100"/>
    <n v="0.2"/>
    <x v="1"/>
    <s v="Chengdu"/>
    <x v="1"/>
    <n v="33420"/>
    <n v="200520"/>
    <x v="1"/>
    <n v="8"/>
    <s v="Under 30"/>
  </r>
  <r>
    <x v="638"/>
    <x v="674"/>
    <x v="1"/>
    <x v="0"/>
    <x v="3"/>
    <x v="0"/>
    <s v="Caucasian"/>
    <n v="53"/>
    <d v="1997-04-23T00:00:00"/>
    <n v="78153"/>
    <n v="0"/>
    <x v="0"/>
    <s v="Miami"/>
    <x v="1"/>
    <n v="0"/>
    <n v="78153"/>
    <x v="1"/>
    <n v="28"/>
    <s v="50+"/>
  </r>
  <r>
    <x v="639"/>
    <x v="675"/>
    <x v="6"/>
    <x v="1"/>
    <x v="1"/>
    <x v="0"/>
    <s v="Caucasian"/>
    <n v="37"/>
    <d v="2020-04-14T00:00:00"/>
    <n v="103524"/>
    <n v="0.09"/>
    <x v="0"/>
    <s v="Phoenix"/>
    <x v="1"/>
    <n v="9317.16"/>
    <n v="112841.16"/>
    <x v="1"/>
    <n v="5"/>
    <s v="30-40"/>
  </r>
  <r>
    <x v="640"/>
    <x v="676"/>
    <x v="6"/>
    <x v="0"/>
    <x v="3"/>
    <x v="1"/>
    <s v="Caucasian"/>
    <n v="30"/>
    <d v="2017-08-05T00:00:00"/>
    <n v="119906"/>
    <n v="0.05"/>
    <x v="0"/>
    <s v="Columbus"/>
    <x v="1"/>
    <n v="5995.3"/>
    <n v="125901.3"/>
    <x v="1"/>
    <n v="8"/>
    <s v="30-40"/>
  </r>
  <r>
    <x v="641"/>
    <x v="677"/>
    <x v="7"/>
    <x v="6"/>
    <x v="2"/>
    <x v="0"/>
    <s v="Caucasian"/>
    <n v="28"/>
    <d v="2020-01-17T00:00:00"/>
    <n v="45061"/>
    <n v="0"/>
    <x v="0"/>
    <s v="Miami"/>
    <x v="1"/>
    <n v="0"/>
    <n v="45061"/>
    <x v="1"/>
    <n v="6"/>
    <s v="Under 30"/>
  </r>
  <r>
    <x v="642"/>
    <x v="678"/>
    <x v="30"/>
    <x v="0"/>
    <x v="3"/>
    <x v="1"/>
    <s v="Asian"/>
    <n v="51"/>
    <d v="2003-01-17T00:00:00"/>
    <n v="91399"/>
    <n v="0"/>
    <x v="0"/>
    <s v="Seattle"/>
    <x v="1"/>
    <n v="0"/>
    <n v="91399"/>
    <x v="1"/>
    <n v="23"/>
    <s v="50+"/>
  </r>
  <r>
    <x v="643"/>
    <x v="679"/>
    <x v="14"/>
    <x v="0"/>
    <x v="0"/>
    <x v="1"/>
    <s v="Latino"/>
    <n v="28"/>
    <d v="2017-09-28T00:00:00"/>
    <n v="97336"/>
    <n v="0"/>
    <x v="0"/>
    <s v="Austin"/>
    <x v="1"/>
    <n v="0"/>
    <n v="97336"/>
    <x v="1"/>
    <n v="8"/>
    <s v="Under 30"/>
  </r>
  <r>
    <x v="603"/>
    <x v="680"/>
    <x v="0"/>
    <x v="3"/>
    <x v="3"/>
    <x v="0"/>
    <s v="Black"/>
    <n v="31"/>
    <d v="2017-01-20T00:00:00"/>
    <n v="124629"/>
    <n v="0.1"/>
    <x v="0"/>
    <s v="Columbus"/>
    <x v="1"/>
    <n v="12462.900000000001"/>
    <n v="137091.9"/>
    <x v="1"/>
    <n v="9"/>
    <s v="30-40"/>
  </r>
  <r>
    <x v="644"/>
    <x v="681"/>
    <x v="9"/>
    <x v="4"/>
    <x v="2"/>
    <x v="0"/>
    <s v="Caucasian"/>
    <n v="28"/>
    <d v="2021-07-25T00:00:00"/>
    <n v="231850"/>
    <n v="0.39"/>
    <x v="0"/>
    <s v="Miami"/>
    <x v="1"/>
    <n v="90421.5"/>
    <n v="322271.5"/>
    <x v="1"/>
    <n v="4"/>
    <s v="Under 30"/>
  </r>
  <r>
    <x v="645"/>
    <x v="682"/>
    <x v="6"/>
    <x v="3"/>
    <x v="0"/>
    <x v="1"/>
    <s v="Latino"/>
    <n v="34"/>
    <d v="2018-06-04T00:00:00"/>
    <n v="128329"/>
    <n v="0.08"/>
    <x v="0"/>
    <s v="Phoenix"/>
    <x v="1"/>
    <n v="10266.32"/>
    <n v="138595.32"/>
    <x v="1"/>
    <n v="7"/>
    <s v="30-40"/>
  </r>
  <r>
    <x v="646"/>
    <x v="683"/>
    <x v="9"/>
    <x v="6"/>
    <x v="2"/>
    <x v="1"/>
    <s v="Latino"/>
    <n v="44"/>
    <d v="2021-03-28T00:00:00"/>
    <n v="186033"/>
    <n v="0.34"/>
    <x v="2"/>
    <s v="Sao Paulo"/>
    <x v="1"/>
    <n v="63251.22"/>
    <n v="249284.22"/>
    <x v="1"/>
    <n v="4"/>
    <s v="41-50"/>
  </r>
  <r>
    <x v="647"/>
    <x v="684"/>
    <x v="0"/>
    <x v="6"/>
    <x v="1"/>
    <x v="1"/>
    <s v="Asian"/>
    <n v="60"/>
    <d v="2021-07-26T00:00:00"/>
    <n v="121480"/>
    <n v="0.14000000000000001"/>
    <x v="0"/>
    <s v="Phoenix"/>
    <x v="1"/>
    <n v="17007.2"/>
    <n v="138487.20000000001"/>
    <x v="1"/>
    <n v="4"/>
    <s v="50+"/>
  </r>
  <r>
    <x v="648"/>
    <x v="685"/>
    <x v="2"/>
    <x v="4"/>
    <x v="2"/>
    <x v="0"/>
    <s v="Caucasian"/>
    <n v="41"/>
    <d v="2010-05-21T00:00:00"/>
    <n v="153275"/>
    <n v="0.24"/>
    <x v="0"/>
    <s v="Columbus"/>
    <x v="1"/>
    <n v="36786"/>
    <n v="190061"/>
    <x v="1"/>
    <n v="15"/>
    <s v="41-50"/>
  </r>
  <r>
    <x v="649"/>
    <x v="686"/>
    <x v="4"/>
    <x v="2"/>
    <x v="0"/>
    <x v="0"/>
    <s v="Asian"/>
    <n v="62"/>
    <d v="2020-05-18T00:00:00"/>
    <n v="97830"/>
    <n v="0"/>
    <x v="0"/>
    <s v="Austin"/>
    <x v="1"/>
    <n v="0"/>
    <n v="97830"/>
    <x v="1"/>
    <n v="5"/>
    <s v="50+"/>
  </r>
  <r>
    <x v="650"/>
    <x v="687"/>
    <x v="9"/>
    <x v="6"/>
    <x v="3"/>
    <x v="0"/>
    <s v="Latino"/>
    <n v="47"/>
    <d v="1999-03-13T00:00:00"/>
    <n v="239394"/>
    <n v="0.32"/>
    <x v="0"/>
    <s v="Austin"/>
    <x v="1"/>
    <n v="76606.080000000002"/>
    <n v="316000.08"/>
    <x v="1"/>
    <n v="26"/>
    <s v="41-50"/>
  </r>
  <r>
    <x v="291"/>
    <x v="688"/>
    <x v="7"/>
    <x v="1"/>
    <x v="2"/>
    <x v="0"/>
    <s v="Asian"/>
    <n v="62"/>
    <d v="2002-09-20T00:00:00"/>
    <n v="49738"/>
    <n v="0"/>
    <x v="1"/>
    <s v="Beijing"/>
    <x v="1"/>
    <n v="0"/>
    <n v="49738"/>
    <x v="1"/>
    <n v="23"/>
    <s v="50+"/>
  </r>
  <r>
    <x v="651"/>
    <x v="689"/>
    <x v="7"/>
    <x v="3"/>
    <x v="1"/>
    <x v="0"/>
    <s v="Latino"/>
    <n v="33"/>
    <d v="2018-05-27T00:00:00"/>
    <n v="45049"/>
    <n v="0"/>
    <x v="0"/>
    <s v="Seattle"/>
    <x v="1"/>
    <n v="0"/>
    <n v="45049"/>
    <x v="1"/>
    <n v="7"/>
    <s v="30-40"/>
  </r>
  <r>
    <x v="652"/>
    <x v="690"/>
    <x v="2"/>
    <x v="1"/>
    <x v="0"/>
    <x v="0"/>
    <s v="Asian"/>
    <n v="27"/>
    <d v="2020-05-26T00:00:00"/>
    <n v="153628"/>
    <n v="0.28999999999999998"/>
    <x v="1"/>
    <s v="Chongqing"/>
    <x v="53"/>
    <n v="44552.119999999995"/>
    <n v="198180.12"/>
    <x v="0"/>
    <n v="0"/>
    <s v="Under 30"/>
  </r>
  <r>
    <x v="653"/>
    <x v="691"/>
    <x v="0"/>
    <x v="2"/>
    <x v="1"/>
    <x v="1"/>
    <s v="Asian"/>
    <n v="25"/>
    <d v="2021-06-15T00:00:00"/>
    <n v="142731"/>
    <n v="0.11"/>
    <x v="1"/>
    <s v="Shanghai"/>
    <x v="54"/>
    <n v="15700.41"/>
    <n v="158431.41"/>
    <x v="0"/>
    <n v="0"/>
    <s v="Under 30"/>
  </r>
  <r>
    <x v="654"/>
    <x v="692"/>
    <x v="0"/>
    <x v="6"/>
    <x v="2"/>
    <x v="0"/>
    <s v="Latino"/>
    <n v="29"/>
    <d v="2020-05-15T00:00:00"/>
    <n v="137106"/>
    <n v="0.12"/>
    <x v="2"/>
    <s v="Sao Paulo"/>
    <x v="1"/>
    <n v="16452.72"/>
    <n v="153558.72"/>
    <x v="1"/>
    <n v="5"/>
    <s v="Under 30"/>
  </r>
  <r>
    <x v="90"/>
    <x v="693"/>
    <x v="9"/>
    <x v="1"/>
    <x v="3"/>
    <x v="0"/>
    <s v="Asian"/>
    <n v="54"/>
    <d v="2007-09-05T00:00:00"/>
    <n v="183239"/>
    <n v="0.32"/>
    <x v="0"/>
    <s v="Seattle"/>
    <x v="1"/>
    <n v="58636.480000000003"/>
    <n v="241875.48"/>
    <x v="1"/>
    <n v="18"/>
    <s v="50+"/>
  </r>
  <r>
    <x v="463"/>
    <x v="694"/>
    <x v="7"/>
    <x v="3"/>
    <x v="1"/>
    <x v="0"/>
    <s v="Caucasian"/>
    <n v="28"/>
    <d v="2019-05-25T00:00:00"/>
    <n v="45819"/>
    <n v="0"/>
    <x v="0"/>
    <s v="Miami"/>
    <x v="1"/>
    <n v="0"/>
    <n v="45819"/>
    <x v="1"/>
    <n v="6"/>
    <s v="Under 30"/>
  </r>
  <r>
    <x v="655"/>
    <x v="695"/>
    <x v="7"/>
    <x v="3"/>
    <x v="0"/>
    <x v="0"/>
    <s v="Asian"/>
    <n v="54"/>
    <d v="2006-12-29T00:00:00"/>
    <n v="55518"/>
    <n v="0"/>
    <x v="0"/>
    <s v="Columbus"/>
    <x v="1"/>
    <n v="0"/>
    <n v="55518"/>
    <x v="1"/>
    <n v="19"/>
    <s v="50+"/>
  </r>
  <r>
    <x v="656"/>
    <x v="696"/>
    <x v="6"/>
    <x v="6"/>
    <x v="1"/>
    <x v="0"/>
    <s v="Asian"/>
    <n v="50"/>
    <d v="2012-03-11T00:00:00"/>
    <n v="108134"/>
    <n v="0.1"/>
    <x v="1"/>
    <s v="Shanghai"/>
    <x v="1"/>
    <n v="10813.400000000001"/>
    <n v="118947.4"/>
    <x v="1"/>
    <n v="13"/>
    <s v="50+"/>
  </r>
  <r>
    <x v="657"/>
    <x v="697"/>
    <x v="6"/>
    <x v="6"/>
    <x v="0"/>
    <x v="0"/>
    <s v="Black"/>
    <n v="55"/>
    <d v="1992-12-20T00:00:00"/>
    <n v="113950"/>
    <n v="0.09"/>
    <x v="0"/>
    <s v="Miami"/>
    <x v="1"/>
    <n v="10255.5"/>
    <n v="124205.5"/>
    <x v="1"/>
    <n v="33"/>
    <s v="50+"/>
  </r>
  <r>
    <x v="485"/>
    <x v="698"/>
    <x v="9"/>
    <x v="6"/>
    <x v="2"/>
    <x v="0"/>
    <s v="Asian"/>
    <n v="52"/>
    <d v="1998-04-01T00:00:00"/>
    <n v="182035"/>
    <n v="0.3"/>
    <x v="0"/>
    <s v="Chicago"/>
    <x v="1"/>
    <n v="54610.5"/>
    <n v="236645.5"/>
    <x v="1"/>
    <n v="27"/>
    <s v="50+"/>
  </r>
  <r>
    <x v="69"/>
    <x v="699"/>
    <x v="2"/>
    <x v="3"/>
    <x v="2"/>
    <x v="1"/>
    <s v="Asian"/>
    <n v="35"/>
    <d v="2017-08-16T00:00:00"/>
    <n v="181356"/>
    <n v="0.23"/>
    <x v="1"/>
    <s v="Beijing"/>
    <x v="1"/>
    <n v="41711.880000000005"/>
    <n v="223067.88"/>
    <x v="1"/>
    <n v="8"/>
    <s v="30-40"/>
  </r>
  <r>
    <x v="658"/>
    <x v="700"/>
    <x v="5"/>
    <x v="2"/>
    <x v="3"/>
    <x v="0"/>
    <s v="Black"/>
    <n v="26"/>
    <d v="2019-08-21T00:00:00"/>
    <n v="66084"/>
    <n v="0"/>
    <x v="0"/>
    <s v="Seattle"/>
    <x v="1"/>
    <n v="0"/>
    <n v="66084"/>
    <x v="1"/>
    <n v="6"/>
    <s v="Under 30"/>
  </r>
  <r>
    <x v="659"/>
    <x v="701"/>
    <x v="29"/>
    <x v="0"/>
    <x v="2"/>
    <x v="0"/>
    <s v="Latino"/>
    <n v="43"/>
    <d v="2010-04-22T00:00:00"/>
    <n v="76912"/>
    <n v="0"/>
    <x v="2"/>
    <s v="Sao Paulo"/>
    <x v="1"/>
    <n v="0"/>
    <n v="76912"/>
    <x v="1"/>
    <n v="15"/>
    <s v="41-50"/>
  </r>
  <r>
    <x v="660"/>
    <x v="702"/>
    <x v="22"/>
    <x v="5"/>
    <x v="0"/>
    <x v="0"/>
    <s v="Asian"/>
    <n v="63"/>
    <d v="2018-05-07T00:00:00"/>
    <n v="67987"/>
    <n v="0"/>
    <x v="0"/>
    <s v="Miami"/>
    <x v="1"/>
    <n v="0"/>
    <n v="67987"/>
    <x v="1"/>
    <n v="7"/>
    <s v="50+"/>
  </r>
  <r>
    <x v="661"/>
    <x v="703"/>
    <x v="13"/>
    <x v="6"/>
    <x v="1"/>
    <x v="1"/>
    <s v="Caucasian"/>
    <n v="65"/>
    <d v="2005-08-20T00:00:00"/>
    <n v="59833"/>
    <n v="0"/>
    <x v="0"/>
    <s v="Columbus"/>
    <x v="1"/>
    <n v="0"/>
    <n v="59833"/>
    <x v="1"/>
    <n v="20"/>
    <s v="50+"/>
  </r>
  <r>
    <x v="662"/>
    <x v="704"/>
    <x v="0"/>
    <x v="6"/>
    <x v="2"/>
    <x v="1"/>
    <s v="Asian"/>
    <n v="45"/>
    <d v="2005-04-11T00:00:00"/>
    <n v="128468"/>
    <n v="0.11"/>
    <x v="0"/>
    <s v="Chicago"/>
    <x v="1"/>
    <n v="14131.48"/>
    <n v="142599.48000000001"/>
    <x v="1"/>
    <n v="20"/>
    <s v="41-50"/>
  </r>
  <r>
    <x v="252"/>
    <x v="705"/>
    <x v="6"/>
    <x v="2"/>
    <x v="3"/>
    <x v="1"/>
    <s v="Black"/>
    <n v="42"/>
    <d v="2011-05-29T00:00:00"/>
    <n v="102440"/>
    <n v="0.06"/>
    <x v="0"/>
    <s v="Chicago"/>
    <x v="1"/>
    <n v="6146.4"/>
    <n v="108586.4"/>
    <x v="1"/>
    <n v="14"/>
    <s v="41-50"/>
  </r>
  <r>
    <x v="663"/>
    <x v="706"/>
    <x v="9"/>
    <x v="0"/>
    <x v="2"/>
    <x v="1"/>
    <s v="Black"/>
    <n v="59"/>
    <d v="2010-12-30T00:00:00"/>
    <n v="246619"/>
    <n v="0.36"/>
    <x v="0"/>
    <s v="Miami"/>
    <x v="1"/>
    <n v="88782.84"/>
    <n v="335401.83999999997"/>
    <x v="1"/>
    <n v="15"/>
    <s v="50+"/>
  </r>
  <r>
    <x v="664"/>
    <x v="707"/>
    <x v="6"/>
    <x v="4"/>
    <x v="3"/>
    <x v="0"/>
    <s v="Latino"/>
    <n v="42"/>
    <d v="2017-11-19T00:00:00"/>
    <n v="101143"/>
    <n v="0.06"/>
    <x v="0"/>
    <s v="Miami"/>
    <x v="1"/>
    <n v="6068.58"/>
    <n v="107211.58"/>
    <x v="1"/>
    <n v="8"/>
    <s v="41-50"/>
  </r>
  <r>
    <x v="665"/>
    <x v="708"/>
    <x v="20"/>
    <x v="4"/>
    <x v="1"/>
    <x v="0"/>
    <s v="Latino"/>
    <n v="45"/>
    <d v="2005-10-14T00:00:00"/>
    <n v="51404"/>
    <n v="0"/>
    <x v="2"/>
    <s v="Manaus"/>
    <x v="55"/>
    <n v="0"/>
    <n v="51404"/>
    <x v="0"/>
    <n v="4"/>
    <s v="41-50"/>
  </r>
  <r>
    <x v="666"/>
    <x v="709"/>
    <x v="17"/>
    <x v="5"/>
    <x v="2"/>
    <x v="1"/>
    <s v="Caucasian"/>
    <n v="45"/>
    <d v="2015-11-21T00:00:00"/>
    <n v="87292"/>
    <n v="0"/>
    <x v="0"/>
    <s v="Columbus"/>
    <x v="1"/>
    <n v="0"/>
    <n v="87292"/>
    <x v="1"/>
    <n v="10"/>
    <s v="41-50"/>
  </r>
  <r>
    <x v="667"/>
    <x v="710"/>
    <x v="2"/>
    <x v="6"/>
    <x v="2"/>
    <x v="0"/>
    <s v="Asian"/>
    <n v="28"/>
    <d v="2019-12-11T00:00:00"/>
    <n v="182321"/>
    <n v="0.28000000000000003"/>
    <x v="1"/>
    <s v="Beijing"/>
    <x v="1"/>
    <n v="51049.880000000005"/>
    <n v="233370.88"/>
    <x v="1"/>
    <n v="6"/>
    <s v="Under 30"/>
  </r>
  <r>
    <x v="603"/>
    <x v="711"/>
    <x v="28"/>
    <x v="0"/>
    <x v="3"/>
    <x v="1"/>
    <s v="Caucasian"/>
    <n v="51"/>
    <d v="2014-02-27T00:00:00"/>
    <n v="53929"/>
    <n v="0"/>
    <x v="0"/>
    <s v="Miami"/>
    <x v="56"/>
    <n v="0"/>
    <n v="53929"/>
    <x v="0"/>
    <n v="3"/>
    <s v="50+"/>
  </r>
  <r>
    <x v="668"/>
    <x v="712"/>
    <x v="9"/>
    <x v="3"/>
    <x v="1"/>
    <x v="0"/>
    <s v="Asian"/>
    <n v="38"/>
    <d v="2012-12-13T00:00:00"/>
    <n v="191571"/>
    <n v="0.32"/>
    <x v="0"/>
    <s v="Austin"/>
    <x v="1"/>
    <n v="61302.720000000001"/>
    <n v="252873.72"/>
    <x v="1"/>
    <n v="13"/>
    <s v="30-40"/>
  </r>
  <r>
    <x v="669"/>
    <x v="713"/>
    <x v="0"/>
    <x v="3"/>
    <x v="3"/>
    <x v="0"/>
    <s v="Caucasian"/>
    <n v="62"/>
    <d v="2009-01-30T00:00:00"/>
    <n v="150555"/>
    <n v="0.13"/>
    <x v="0"/>
    <s v="Phoenix"/>
    <x v="1"/>
    <n v="19572.150000000001"/>
    <n v="170127.15"/>
    <x v="1"/>
    <n v="17"/>
    <s v="50+"/>
  </r>
  <r>
    <x v="670"/>
    <x v="714"/>
    <x v="6"/>
    <x v="1"/>
    <x v="3"/>
    <x v="1"/>
    <s v="Asian"/>
    <n v="52"/>
    <d v="2009-10-05T00:00:00"/>
    <n v="122890"/>
    <n v="7.0000000000000007E-2"/>
    <x v="1"/>
    <s v="Shanghai"/>
    <x v="1"/>
    <n v="8602.3000000000011"/>
    <n v="131492.29999999999"/>
    <x v="1"/>
    <n v="16"/>
    <s v="50+"/>
  </r>
  <r>
    <x v="671"/>
    <x v="715"/>
    <x v="9"/>
    <x v="1"/>
    <x v="0"/>
    <x v="1"/>
    <s v="Asian"/>
    <n v="52"/>
    <d v="1997-05-26T00:00:00"/>
    <n v="216999"/>
    <n v="0.37"/>
    <x v="0"/>
    <s v="Miami"/>
    <x v="1"/>
    <n v="80289.63"/>
    <n v="297288.63"/>
    <x v="1"/>
    <n v="28"/>
    <s v="50+"/>
  </r>
  <r>
    <x v="672"/>
    <x v="716"/>
    <x v="6"/>
    <x v="4"/>
    <x v="3"/>
    <x v="1"/>
    <s v="Asian"/>
    <n v="48"/>
    <d v="2015-07-16T00:00:00"/>
    <n v="110565"/>
    <n v="0.09"/>
    <x v="1"/>
    <s v="Beijing"/>
    <x v="1"/>
    <n v="9950.85"/>
    <n v="120515.85"/>
    <x v="1"/>
    <n v="10"/>
    <s v="41-50"/>
  </r>
  <r>
    <x v="673"/>
    <x v="717"/>
    <x v="12"/>
    <x v="0"/>
    <x v="2"/>
    <x v="1"/>
    <s v="Caucasian"/>
    <n v="38"/>
    <d v="2015-04-19T00:00:00"/>
    <n v="48762"/>
    <n v="0"/>
    <x v="0"/>
    <s v="Seattle"/>
    <x v="1"/>
    <n v="0"/>
    <n v="48762"/>
    <x v="1"/>
    <n v="10"/>
    <s v="30-40"/>
  </r>
  <r>
    <x v="674"/>
    <x v="718"/>
    <x v="25"/>
    <x v="5"/>
    <x v="2"/>
    <x v="0"/>
    <s v="Asian"/>
    <n v="51"/>
    <d v="2017-02-11T00:00:00"/>
    <n v="87036"/>
    <n v="0"/>
    <x v="1"/>
    <s v="Chongqing"/>
    <x v="1"/>
    <n v="0"/>
    <n v="87036"/>
    <x v="1"/>
    <n v="8"/>
    <s v="50+"/>
  </r>
  <r>
    <x v="675"/>
    <x v="719"/>
    <x v="2"/>
    <x v="6"/>
    <x v="2"/>
    <x v="1"/>
    <s v="Caucasian"/>
    <n v="32"/>
    <d v="2016-11-28T00:00:00"/>
    <n v="177443"/>
    <n v="0.16"/>
    <x v="0"/>
    <s v="Seattle"/>
    <x v="1"/>
    <n v="28390.880000000001"/>
    <n v="205833.88"/>
    <x v="1"/>
    <n v="9"/>
    <s v="30-40"/>
  </r>
  <r>
    <x v="676"/>
    <x v="720"/>
    <x v="14"/>
    <x v="0"/>
    <x v="0"/>
    <x v="0"/>
    <s v="Asian"/>
    <n v="36"/>
    <d v="2016-04-29T00:00:00"/>
    <n v="75862"/>
    <n v="0"/>
    <x v="0"/>
    <s v="Austin"/>
    <x v="1"/>
    <n v="0"/>
    <n v="75862"/>
    <x v="1"/>
    <n v="9"/>
    <s v="30-40"/>
  </r>
  <r>
    <x v="677"/>
    <x v="721"/>
    <x v="15"/>
    <x v="4"/>
    <x v="0"/>
    <x v="0"/>
    <s v="Asian"/>
    <n v="45"/>
    <d v="2019-04-26T00:00:00"/>
    <n v="90870"/>
    <n v="0"/>
    <x v="0"/>
    <s v="Chicago"/>
    <x v="1"/>
    <n v="0"/>
    <n v="90870"/>
    <x v="1"/>
    <n v="6"/>
    <s v="41-50"/>
  </r>
  <r>
    <x v="678"/>
    <x v="722"/>
    <x v="11"/>
    <x v="5"/>
    <x v="3"/>
    <x v="0"/>
    <s v="Asian"/>
    <n v="32"/>
    <d v="2014-12-04T00:00:00"/>
    <n v="99202"/>
    <n v="0.11"/>
    <x v="0"/>
    <s v="Phoenix"/>
    <x v="1"/>
    <n v="10912.22"/>
    <n v="110114.22"/>
    <x v="1"/>
    <n v="11"/>
    <s v="30-40"/>
  </r>
  <r>
    <x v="679"/>
    <x v="723"/>
    <x v="4"/>
    <x v="6"/>
    <x v="3"/>
    <x v="1"/>
    <s v="Asian"/>
    <n v="45"/>
    <d v="2007-09-22T00:00:00"/>
    <n v="92293"/>
    <n v="0"/>
    <x v="1"/>
    <s v="Chengdu"/>
    <x v="1"/>
    <n v="0"/>
    <n v="92293"/>
    <x v="1"/>
    <n v="18"/>
    <s v="41-50"/>
  </r>
  <r>
    <x v="680"/>
    <x v="724"/>
    <x v="29"/>
    <x v="0"/>
    <x v="3"/>
    <x v="1"/>
    <s v="Caucasian"/>
    <n v="54"/>
    <d v="1992-06-30T00:00:00"/>
    <n v="63196"/>
    <n v="0"/>
    <x v="0"/>
    <s v="Chicago"/>
    <x v="57"/>
    <n v="0"/>
    <n v="63196"/>
    <x v="0"/>
    <n v="22"/>
    <s v="50+"/>
  </r>
  <r>
    <x v="681"/>
    <x v="725"/>
    <x v="25"/>
    <x v="5"/>
    <x v="2"/>
    <x v="0"/>
    <s v="Asian"/>
    <n v="48"/>
    <d v="2012-05-03T00:00:00"/>
    <n v="65340"/>
    <n v="0"/>
    <x v="1"/>
    <s v="Shanghai"/>
    <x v="58"/>
    <n v="0"/>
    <n v="65340"/>
    <x v="0"/>
    <n v="6"/>
    <s v="41-50"/>
  </r>
  <r>
    <x v="682"/>
    <x v="726"/>
    <x v="9"/>
    <x v="6"/>
    <x v="3"/>
    <x v="1"/>
    <s v="Asian"/>
    <n v="45"/>
    <d v="2015-09-24T00:00:00"/>
    <n v="202680"/>
    <n v="0.32"/>
    <x v="0"/>
    <s v="Phoenix"/>
    <x v="59"/>
    <n v="64857.599999999999"/>
    <n v="267537.59999999998"/>
    <x v="0"/>
    <n v="6"/>
    <s v="41-50"/>
  </r>
  <r>
    <x v="683"/>
    <x v="727"/>
    <x v="3"/>
    <x v="0"/>
    <x v="1"/>
    <x v="0"/>
    <s v="Latino"/>
    <n v="46"/>
    <d v="2017-04-24T00:00:00"/>
    <n v="77461"/>
    <n v="0.09"/>
    <x v="2"/>
    <s v="Sao Paulo"/>
    <x v="1"/>
    <n v="6971.49"/>
    <n v="84432.49"/>
    <x v="1"/>
    <n v="8"/>
    <s v="41-50"/>
  </r>
  <r>
    <x v="684"/>
    <x v="728"/>
    <x v="19"/>
    <x v="5"/>
    <x v="0"/>
    <x v="0"/>
    <s v="Asian"/>
    <n v="40"/>
    <d v="2016-09-09T00:00:00"/>
    <n v="109680"/>
    <n v="0"/>
    <x v="1"/>
    <s v="Chengdu"/>
    <x v="1"/>
    <n v="0"/>
    <n v="109680"/>
    <x v="1"/>
    <n v="9"/>
    <s v="30-40"/>
  </r>
  <r>
    <x v="140"/>
    <x v="729"/>
    <x v="2"/>
    <x v="2"/>
    <x v="1"/>
    <x v="0"/>
    <s v="Black"/>
    <n v="61"/>
    <d v="1997-08-19T00:00:00"/>
    <n v="159567"/>
    <n v="0.28000000000000003"/>
    <x v="0"/>
    <s v="Phoenix"/>
    <x v="1"/>
    <n v="44678.76"/>
    <n v="204245.76000000001"/>
    <x v="1"/>
    <n v="28"/>
    <s v="50+"/>
  </r>
  <r>
    <x v="685"/>
    <x v="730"/>
    <x v="25"/>
    <x v="5"/>
    <x v="2"/>
    <x v="1"/>
    <s v="Latino"/>
    <n v="54"/>
    <d v="2012-11-24T00:00:00"/>
    <n v="94407"/>
    <n v="0"/>
    <x v="2"/>
    <s v="Sao Paulo"/>
    <x v="1"/>
    <n v="0"/>
    <n v="94407"/>
    <x v="1"/>
    <n v="13"/>
    <s v="50+"/>
  </r>
  <r>
    <x v="686"/>
    <x v="731"/>
    <x v="9"/>
    <x v="4"/>
    <x v="3"/>
    <x v="1"/>
    <s v="Latino"/>
    <n v="62"/>
    <d v="2002-08-16T00:00:00"/>
    <n v="234594"/>
    <n v="0.33"/>
    <x v="0"/>
    <s v="Seattle"/>
    <x v="1"/>
    <n v="77416.02"/>
    <n v="312010.02"/>
    <x v="1"/>
    <n v="23"/>
    <s v="50+"/>
  </r>
  <r>
    <x v="687"/>
    <x v="732"/>
    <x v="28"/>
    <x v="0"/>
    <x v="2"/>
    <x v="1"/>
    <s v="Caucasian"/>
    <n v="48"/>
    <d v="2002-02-11T00:00:00"/>
    <n v="43080"/>
    <n v="0"/>
    <x v="0"/>
    <s v="Austin"/>
    <x v="1"/>
    <n v="0"/>
    <n v="43080"/>
    <x v="1"/>
    <n v="23"/>
    <s v="41-50"/>
  </r>
  <r>
    <x v="688"/>
    <x v="733"/>
    <x v="6"/>
    <x v="6"/>
    <x v="1"/>
    <x v="0"/>
    <s v="Latino"/>
    <n v="29"/>
    <d v="2021-05-09T00:00:00"/>
    <n v="129541"/>
    <n v="0.08"/>
    <x v="0"/>
    <s v="Phoenix"/>
    <x v="60"/>
    <n v="10363.280000000001"/>
    <n v="139904.28"/>
    <x v="0"/>
    <n v="0"/>
    <s v="Under 30"/>
  </r>
  <r>
    <x v="689"/>
    <x v="734"/>
    <x v="2"/>
    <x v="2"/>
    <x v="0"/>
    <x v="1"/>
    <s v="Latino"/>
    <n v="39"/>
    <d v="2013-12-27T00:00:00"/>
    <n v="165756"/>
    <n v="0.28000000000000003"/>
    <x v="0"/>
    <s v="Columbus"/>
    <x v="61"/>
    <n v="46411.680000000008"/>
    <n v="212167.67999999999"/>
    <x v="0"/>
    <n v="6"/>
    <s v="30-40"/>
  </r>
  <r>
    <x v="690"/>
    <x v="735"/>
    <x v="0"/>
    <x v="1"/>
    <x v="2"/>
    <x v="1"/>
    <s v="Asian"/>
    <n v="44"/>
    <d v="2010-04-06T00:00:00"/>
    <n v="142878"/>
    <n v="0.12"/>
    <x v="0"/>
    <s v="Columbus"/>
    <x v="1"/>
    <n v="17145.36"/>
    <n v="160023.35999999999"/>
    <x v="1"/>
    <n v="15"/>
    <s v="41-50"/>
  </r>
  <r>
    <x v="691"/>
    <x v="736"/>
    <x v="2"/>
    <x v="5"/>
    <x v="1"/>
    <x v="1"/>
    <s v="Caucasian"/>
    <n v="52"/>
    <d v="2006-10-28T00:00:00"/>
    <n v="187992"/>
    <n v="0.28000000000000003"/>
    <x v="0"/>
    <s v="Miami"/>
    <x v="1"/>
    <n v="52637.760000000002"/>
    <n v="240629.76000000001"/>
    <x v="1"/>
    <n v="19"/>
    <s v="50+"/>
  </r>
  <r>
    <x v="692"/>
    <x v="737"/>
    <x v="9"/>
    <x v="4"/>
    <x v="2"/>
    <x v="0"/>
    <s v="Latino"/>
    <n v="45"/>
    <d v="2019-02-25T00:00:00"/>
    <n v="249801"/>
    <n v="0.39"/>
    <x v="2"/>
    <s v="Sao Paulo"/>
    <x v="1"/>
    <n v="97422.39"/>
    <n v="347223.39"/>
    <x v="1"/>
    <n v="6"/>
    <s v="41-50"/>
  </r>
  <r>
    <x v="693"/>
    <x v="738"/>
    <x v="32"/>
    <x v="0"/>
    <x v="0"/>
    <x v="1"/>
    <s v="Caucasian"/>
    <n v="48"/>
    <d v="2006-09-27T00:00:00"/>
    <n v="76505"/>
    <n v="0"/>
    <x v="0"/>
    <s v="Seattle"/>
    <x v="62"/>
    <n v="0"/>
    <n v="76505"/>
    <x v="0"/>
    <n v="0"/>
    <s v="41-50"/>
  </r>
  <r>
    <x v="694"/>
    <x v="739"/>
    <x v="31"/>
    <x v="0"/>
    <x v="3"/>
    <x v="1"/>
    <s v="Latino"/>
    <n v="39"/>
    <d v="2016-10-21T00:00:00"/>
    <n v="84297"/>
    <n v="0"/>
    <x v="2"/>
    <s v="Manaus"/>
    <x v="1"/>
    <n v="0"/>
    <n v="84297"/>
    <x v="1"/>
    <n v="9"/>
    <s v="30-40"/>
  </r>
  <r>
    <x v="695"/>
    <x v="740"/>
    <x v="4"/>
    <x v="2"/>
    <x v="2"/>
    <x v="0"/>
    <s v="Latino"/>
    <n v="53"/>
    <d v="2017-01-09T00:00:00"/>
    <n v="75769"/>
    <n v="0"/>
    <x v="2"/>
    <s v="Manaus"/>
    <x v="19"/>
    <n v="0"/>
    <n v="75769"/>
    <x v="0"/>
    <n v="3"/>
    <s v="50+"/>
  </r>
  <r>
    <x v="68"/>
    <x v="741"/>
    <x v="9"/>
    <x v="3"/>
    <x v="2"/>
    <x v="1"/>
    <s v="Caucasian"/>
    <n v="41"/>
    <d v="2013-08-17T00:00:00"/>
    <n v="235619"/>
    <n v="0.3"/>
    <x v="0"/>
    <s v="Seattle"/>
    <x v="1"/>
    <n v="70685.7"/>
    <n v="306304.7"/>
    <x v="1"/>
    <n v="12"/>
    <s v="41-50"/>
  </r>
  <r>
    <x v="696"/>
    <x v="742"/>
    <x v="2"/>
    <x v="5"/>
    <x v="2"/>
    <x v="1"/>
    <s v="Latino"/>
    <n v="40"/>
    <d v="2020-02-07T00:00:00"/>
    <n v="187187"/>
    <n v="0.18"/>
    <x v="2"/>
    <s v="Manaus"/>
    <x v="1"/>
    <n v="33693.659999999996"/>
    <n v="220880.66"/>
    <x v="1"/>
    <n v="5"/>
    <s v="30-40"/>
  </r>
  <r>
    <x v="21"/>
    <x v="743"/>
    <x v="24"/>
    <x v="0"/>
    <x v="0"/>
    <x v="1"/>
    <s v="Latino"/>
    <n v="48"/>
    <d v="2005-07-27T00:00:00"/>
    <n v="68987"/>
    <n v="0"/>
    <x v="0"/>
    <s v="Chicago"/>
    <x v="63"/>
    <n v="0"/>
    <n v="68987"/>
    <x v="0"/>
    <n v="0"/>
    <s v="41-50"/>
  </r>
  <r>
    <x v="697"/>
    <x v="744"/>
    <x v="2"/>
    <x v="5"/>
    <x v="2"/>
    <x v="1"/>
    <s v="Caucasian"/>
    <n v="41"/>
    <d v="2007-03-15T00:00:00"/>
    <n v="155926"/>
    <n v="0.24"/>
    <x v="0"/>
    <s v="Columbus"/>
    <x v="64"/>
    <n v="37422.239999999998"/>
    <n v="193348.24"/>
    <x v="0"/>
    <n v="1"/>
    <s v="41-50"/>
  </r>
  <r>
    <x v="698"/>
    <x v="745"/>
    <x v="4"/>
    <x v="3"/>
    <x v="2"/>
    <x v="1"/>
    <s v="Asian"/>
    <n v="54"/>
    <d v="2016-05-04T00:00:00"/>
    <n v="93668"/>
    <n v="0"/>
    <x v="0"/>
    <s v="Chicago"/>
    <x v="1"/>
    <n v="0"/>
    <n v="93668"/>
    <x v="1"/>
    <n v="9"/>
    <s v="50+"/>
  </r>
  <r>
    <x v="699"/>
    <x v="746"/>
    <x v="16"/>
    <x v="4"/>
    <x v="0"/>
    <x v="1"/>
    <s v="Caucasian"/>
    <n v="38"/>
    <d v="2019-11-29T00:00:00"/>
    <n v="69647"/>
    <n v="0"/>
    <x v="0"/>
    <s v="Miami"/>
    <x v="65"/>
    <n v="0"/>
    <n v="69647"/>
    <x v="0"/>
    <n v="2"/>
    <s v="30-40"/>
  </r>
  <r>
    <x v="700"/>
    <x v="747"/>
    <x v="27"/>
    <x v="0"/>
    <x v="3"/>
    <x v="1"/>
    <s v="Asian"/>
    <n v="57"/>
    <d v="2003-06-26T00:00:00"/>
    <n v="63318"/>
    <n v="0"/>
    <x v="0"/>
    <s v="Columbus"/>
    <x v="1"/>
    <n v="0"/>
    <n v="63318"/>
    <x v="1"/>
    <n v="22"/>
    <s v="50+"/>
  </r>
  <r>
    <x v="701"/>
    <x v="748"/>
    <x v="4"/>
    <x v="6"/>
    <x v="1"/>
    <x v="1"/>
    <s v="Asian"/>
    <n v="63"/>
    <d v="2017-02-12T00:00:00"/>
    <n v="77629"/>
    <n v="0"/>
    <x v="1"/>
    <s v="Beijing"/>
    <x v="1"/>
    <n v="0"/>
    <n v="77629"/>
    <x v="1"/>
    <n v="8"/>
    <s v="50+"/>
  </r>
  <r>
    <x v="702"/>
    <x v="749"/>
    <x v="0"/>
    <x v="4"/>
    <x v="1"/>
    <x v="1"/>
    <s v="Asian"/>
    <n v="62"/>
    <d v="2017-11-22T00:00:00"/>
    <n v="138808"/>
    <n v="0.15"/>
    <x v="1"/>
    <s v="Chongqing"/>
    <x v="1"/>
    <n v="20821.2"/>
    <n v="159629.20000000001"/>
    <x v="1"/>
    <n v="8"/>
    <s v="50+"/>
  </r>
  <r>
    <x v="703"/>
    <x v="750"/>
    <x v="14"/>
    <x v="0"/>
    <x v="0"/>
    <x v="0"/>
    <s v="Caucasian"/>
    <n v="49"/>
    <d v="2014-03-05T00:00:00"/>
    <n v="88777"/>
    <n v="0"/>
    <x v="0"/>
    <s v="Chicago"/>
    <x v="1"/>
    <n v="0"/>
    <n v="88777"/>
    <x v="1"/>
    <n v="11"/>
    <s v="41-50"/>
  </r>
  <r>
    <x v="704"/>
    <x v="751"/>
    <x v="2"/>
    <x v="3"/>
    <x v="3"/>
    <x v="0"/>
    <s v="Asian"/>
    <n v="60"/>
    <d v="2004-05-14T00:00:00"/>
    <n v="186378"/>
    <n v="0.26"/>
    <x v="1"/>
    <s v="Chongqing"/>
    <x v="1"/>
    <n v="48458.28"/>
    <n v="234836.28"/>
    <x v="1"/>
    <n v="21"/>
    <s v="50+"/>
  </r>
  <r>
    <x v="705"/>
    <x v="752"/>
    <x v="10"/>
    <x v="5"/>
    <x v="0"/>
    <x v="0"/>
    <s v="Asian"/>
    <n v="45"/>
    <d v="2015-04-23T00:00:00"/>
    <n v="60017"/>
    <n v="0"/>
    <x v="0"/>
    <s v="Chicago"/>
    <x v="1"/>
    <n v="0"/>
    <n v="60017"/>
    <x v="1"/>
    <n v="10"/>
    <s v="41-50"/>
  </r>
  <r>
    <x v="706"/>
    <x v="753"/>
    <x v="0"/>
    <x v="2"/>
    <x v="2"/>
    <x v="0"/>
    <s v="Latino"/>
    <n v="45"/>
    <d v="2018-07-24T00:00:00"/>
    <n v="148991"/>
    <n v="0.12"/>
    <x v="2"/>
    <s v="Sao Paulo"/>
    <x v="1"/>
    <n v="17878.919999999998"/>
    <n v="166869.91999999998"/>
    <x v="1"/>
    <n v="7"/>
    <s v="41-50"/>
  </r>
  <r>
    <x v="707"/>
    <x v="754"/>
    <x v="17"/>
    <x v="5"/>
    <x v="2"/>
    <x v="0"/>
    <s v="Latino"/>
    <n v="52"/>
    <d v="2008-03-25T00:00:00"/>
    <n v="97398"/>
    <n v="0"/>
    <x v="2"/>
    <s v="Manaus"/>
    <x v="1"/>
    <n v="0"/>
    <n v="97398"/>
    <x v="1"/>
    <n v="17"/>
    <s v="50+"/>
  </r>
  <r>
    <x v="708"/>
    <x v="755"/>
    <x v="15"/>
    <x v="4"/>
    <x v="1"/>
    <x v="0"/>
    <s v="Asian"/>
    <n v="63"/>
    <d v="2007-05-02T00:00:00"/>
    <n v="72805"/>
    <n v="0"/>
    <x v="1"/>
    <s v="Shanghai"/>
    <x v="1"/>
    <n v="0"/>
    <n v="72805"/>
    <x v="1"/>
    <n v="18"/>
    <s v="50+"/>
  </r>
  <r>
    <x v="709"/>
    <x v="756"/>
    <x v="26"/>
    <x v="2"/>
    <x v="0"/>
    <x v="0"/>
    <s v="Asian"/>
    <n v="46"/>
    <d v="2021-01-17T00:00:00"/>
    <n v="72131"/>
    <n v="0"/>
    <x v="1"/>
    <s v="Shanghai"/>
    <x v="1"/>
    <n v="0"/>
    <n v="72131"/>
    <x v="1"/>
    <n v="5"/>
    <s v="41-50"/>
  </r>
  <r>
    <x v="710"/>
    <x v="757"/>
    <x v="6"/>
    <x v="4"/>
    <x v="1"/>
    <x v="1"/>
    <s v="Caucasian"/>
    <n v="64"/>
    <d v="1992-12-26T00:00:00"/>
    <n v="104668"/>
    <n v="0.08"/>
    <x v="0"/>
    <s v="Columbus"/>
    <x v="1"/>
    <n v="8373.44"/>
    <n v="113041.44"/>
    <x v="1"/>
    <n v="33"/>
    <s v="50+"/>
  </r>
  <r>
    <x v="711"/>
    <x v="758"/>
    <x v="4"/>
    <x v="2"/>
    <x v="1"/>
    <x v="0"/>
    <s v="Caucasian"/>
    <n v="53"/>
    <d v="2017-08-05T00:00:00"/>
    <n v="89769"/>
    <n v="0"/>
    <x v="0"/>
    <s v="Seattle"/>
    <x v="1"/>
    <n v="0"/>
    <n v="89769"/>
    <x v="1"/>
    <n v="8"/>
    <s v="50+"/>
  </r>
  <r>
    <x v="712"/>
    <x v="759"/>
    <x v="6"/>
    <x v="2"/>
    <x v="3"/>
    <x v="0"/>
    <s v="Asian"/>
    <n v="27"/>
    <d v="2018-09-15T00:00:00"/>
    <n v="127616"/>
    <n v="7.0000000000000007E-2"/>
    <x v="0"/>
    <s v="Columbus"/>
    <x v="1"/>
    <n v="8933.1200000000008"/>
    <n v="136549.12"/>
    <x v="1"/>
    <n v="7"/>
    <s v="Under 30"/>
  </r>
  <r>
    <x v="234"/>
    <x v="760"/>
    <x v="6"/>
    <x v="4"/>
    <x v="3"/>
    <x v="1"/>
    <s v="Caucasian"/>
    <n v="45"/>
    <d v="2012-07-09T00:00:00"/>
    <n v="109883"/>
    <n v="7.0000000000000007E-2"/>
    <x v="0"/>
    <s v="Columbus"/>
    <x v="1"/>
    <n v="7691.81"/>
    <n v="117574.81"/>
    <x v="1"/>
    <n v="13"/>
    <s v="41-50"/>
  </r>
  <r>
    <x v="713"/>
    <x v="761"/>
    <x v="20"/>
    <x v="4"/>
    <x v="1"/>
    <x v="0"/>
    <s v="Asian"/>
    <n v="25"/>
    <d v="2021-03-15T00:00:00"/>
    <n v="47974"/>
    <n v="0"/>
    <x v="1"/>
    <s v="Chongqing"/>
    <x v="1"/>
    <n v="0"/>
    <n v="47974"/>
    <x v="1"/>
    <n v="4"/>
    <s v="Under 30"/>
  </r>
  <r>
    <x v="714"/>
    <x v="762"/>
    <x v="0"/>
    <x v="0"/>
    <x v="2"/>
    <x v="0"/>
    <s v="Caucasian"/>
    <n v="43"/>
    <d v="2015-03-27T00:00:00"/>
    <n v="120321"/>
    <n v="0.12"/>
    <x v="0"/>
    <s v="Austin"/>
    <x v="1"/>
    <n v="14438.519999999999"/>
    <n v="134759.51999999999"/>
    <x v="1"/>
    <n v="10"/>
    <s v="41-50"/>
  </r>
  <r>
    <x v="715"/>
    <x v="763"/>
    <x v="12"/>
    <x v="0"/>
    <x v="1"/>
    <x v="0"/>
    <s v="Latino"/>
    <n v="61"/>
    <d v="2014-08-10T00:00:00"/>
    <n v="57446"/>
    <n v="0"/>
    <x v="0"/>
    <s v="Phoenix"/>
    <x v="1"/>
    <n v="0"/>
    <n v="57446"/>
    <x v="1"/>
    <n v="11"/>
    <s v="50+"/>
  </r>
  <r>
    <x v="716"/>
    <x v="764"/>
    <x v="2"/>
    <x v="3"/>
    <x v="0"/>
    <x v="0"/>
    <s v="Caucasian"/>
    <n v="42"/>
    <d v="2009-06-04T00:00:00"/>
    <n v="174099"/>
    <n v="0.26"/>
    <x v="0"/>
    <s v="Austin"/>
    <x v="1"/>
    <n v="45265.74"/>
    <n v="219364.74"/>
    <x v="1"/>
    <n v="16"/>
    <s v="41-50"/>
  </r>
  <r>
    <x v="717"/>
    <x v="765"/>
    <x v="0"/>
    <x v="1"/>
    <x v="1"/>
    <x v="1"/>
    <s v="Asian"/>
    <n v="63"/>
    <d v="2002-02-08T00:00:00"/>
    <n v="128703"/>
    <n v="0.13"/>
    <x v="0"/>
    <s v="Austin"/>
    <x v="1"/>
    <n v="16731.39"/>
    <n v="145434.39000000001"/>
    <x v="1"/>
    <n v="23"/>
    <s v="50+"/>
  </r>
  <r>
    <x v="718"/>
    <x v="766"/>
    <x v="17"/>
    <x v="5"/>
    <x v="3"/>
    <x v="0"/>
    <s v="Caucasian"/>
    <n v="32"/>
    <d v="2015-11-09T00:00:00"/>
    <n v="65247"/>
    <n v="0"/>
    <x v="0"/>
    <s v="Phoenix"/>
    <x v="1"/>
    <n v="0"/>
    <n v="65247"/>
    <x v="1"/>
    <n v="10"/>
    <s v="30-40"/>
  </r>
  <r>
    <x v="719"/>
    <x v="767"/>
    <x v="10"/>
    <x v="5"/>
    <x v="0"/>
    <x v="1"/>
    <s v="Latino"/>
    <n v="27"/>
    <d v="2018-09-28T00:00:00"/>
    <n v="64247"/>
    <n v="0"/>
    <x v="2"/>
    <s v="Rio de Janerio"/>
    <x v="1"/>
    <n v="0"/>
    <n v="64247"/>
    <x v="1"/>
    <n v="7"/>
    <s v="Under 30"/>
  </r>
  <r>
    <x v="720"/>
    <x v="768"/>
    <x v="6"/>
    <x v="4"/>
    <x v="0"/>
    <x v="0"/>
    <s v="Caucasian"/>
    <n v="33"/>
    <d v="2012-06-11T00:00:00"/>
    <n v="118253"/>
    <n v="0.08"/>
    <x v="0"/>
    <s v="Austin"/>
    <x v="1"/>
    <n v="9460.24"/>
    <n v="127713.24"/>
    <x v="1"/>
    <n v="13"/>
    <s v="30-40"/>
  </r>
  <r>
    <x v="721"/>
    <x v="769"/>
    <x v="19"/>
    <x v="5"/>
    <x v="1"/>
    <x v="0"/>
    <s v="Asian"/>
    <n v="45"/>
    <d v="2004-03-11T00:00:00"/>
    <n v="109422"/>
    <n v="0"/>
    <x v="1"/>
    <s v="Chongqing"/>
    <x v="1"/>
    <n v="0"/>
    <n v="109422"/>
    <x v="1"/>
    <n v="21"/>
    <s v="41-50"/>
  </r>
  <r>
    <x v="722"/>
    <x v="770"/>
    <x v="6"/>
    <x v="4"/>
    <x v="3"/>
    <x v="1"/>
    <s v="Asian"/>
    <n v="41"/>
    <d v="2019-02-06T00:00:00"/>
    <n v="126950"/>
    <n v="0.1"/>
    <x v="0"/>
    <s v="Chicago"/>
    <x v="1"/>
    <n v="12695"/>
    <n v="139645"/>
    <x v="1"/>
    <n v="6"/>
    <s v="41-50"/>
  </r>
  <r>
    <x v="723"/>
    <x v="771"/>
    <x v="14"/>
    <x v="0"/>
    <x v="1"/>
    <x v="0"/>
    <s v="Asian"/>
    <n v="36"/>
    <d v="2014-11-21T00:00:00"/>
    <n v="97500"/>
    <n v="0"/>
    <x v="0"/>
    <s v="Miami"/>
    <x v="1"/>
    <n v="0"/>
    <n v="97500"/>
    <x v="1"/>
    <n v="11"/>
    <s v="30-40"/>
  </r>
  <r>
    <x v="724"/>
    <x v="772"/>
    <x v="12"/>
    <x v="0"/>
    <x v="1"/>
    <x v="1"/>
    <s v="Asian"/>
    <n v="25"/>
    <d v="2021-01-17T00:00:00"/>
    <n v="41844"/>
    <n v="0"/>
    <x v="1"/>
    <s v="Chongqing"/>
    <x v="1"/>
    <n v="0"/>
    <n v="41844"/>
    <x v="1"/>
    <n v="5"/>
    <s v="Under 30"/>
  </r>
  <r>
    <x v="725"/>
    <x v="773"/>
    <x v="13"/>
    <x v="3"/>
    <x v="0"/>
    <x v="1"/>
    <s v="Asian"/>
    <n v="43"/>
    <d v="2014-02-10T00:00:00"/>
    <n v="58875"/>
    <n v="0"/>
    <x v="1"/>
    <s v="Chengdu"/>
    <x v="1"/>
    <n v="0"/>
    <n v="58875"/>
    <x v="1"/>
    <n v="11"/>
    <s v="41-50"/>
  </r>
  <r>
    <x v="726"/>
    <x v="774"/>
    <x v="5"/>
    <x v="2"/>
    <x v="1"/>
    <x v="0"/>
    <s v="Asian"/>
    <n v="37"/>
    <d v="2015-11-10T00:00:00"/>
    <n v="64204"/>
    <n v="0"/>
    <x v="0"/>
    <s v="Columbus"/>
    <x v="66"/>
    <n v="0"/>
    <n v="64204"/>
    <x v="0"/>
    <n v="5"/>
    <s v="30-40"/>
  </r>
  <r>
    <x v="727"/>
    <x v="775"/>
    <x v="13"/>
    <x v="2"/>
    <x v="3"/>
    <x v="0"/>
    <s v="Asian"/>
    <n v="42"/>
    <d v="2010-05-09T00:00:00"/>
    <n v="67743"/>
    <n v="0"/>
    <x v="1"/>
    <s v="Beijing"/>
    <x v="67"/>
    <n v="0"/>
    <n v="67743"/>
    <x v="0"/>
    <n v="4"/>
    <s v="41-50"/>
  </r>
  <r>
    <x v="728"/>
    <x v="587"/>
    <x v="26"/>
    <x v="2"/>
    <x v="2"/>
    <x v="0"/>
    <s v="Black"/>
    <n v="60"/>
    <d v="1997-07-30T00:00:00"/>
    <n v="71677"/>
    <n v="0"/>
    <x v="0"/>
    <s v="Columbus"/>
    <x v="1"/>
    <n v="0"/>
    <n v="71677"/>
    <x v="1"/>
    <n v="28"/>
    <s v="50+"/>
  </r>
  <r>
    <x v="729"/>
    <x v="776"/>
    <x v="12"/>
    <x v="0"/>
    <x v="2"/>
    <x v="1"/>
    <s v="Asian"/>
    <n v="61"/>
    <d v="2000-09-24T00:00:00"/>
    <n v="40063"/>
    <n v="0"/>
    <x v="0"/>
    <s v="Miami"/>
    <x v="1"/>
    <n v="0"/>
    <n v="40063"/>
    <x v="1"/>
    <n v="25"/>
    <s v="50+"/>
  </r>
  <r>
    <x v="730"/>
    <x v="777"/>
    <x v="12"/>
    <x v="0"/>
    <x v="1"/>
    <x v="0"/>
    <s v="Caucasian"/>
    <n v="55"/>
    <d v="2004-04-30T00:00:00"/>
    <n v="40124"/>
    <n v="0"/>
    <x v="0"/>
    <s v="Austin"/>
    <x v="1"/>
    <n v="0"/>
    <n v="40124"/>
    <x v="1"/>
    <n v="21"/>
    <s v="50+"/>
  </r>
  <r>
    <x v="731"/>
    <x v="778"/>
    <x v="18"/>
    <x v="5"/>
    <x v="1"/>
    <x v="1"/>
    <s v="Asian"/>
    <n v="57"/>
    <d v="2018-02-26T00:00:00"/>
    <n v="103183"/>
    <n v="0"/>
    <x v="0"/>
    <s v="Austin"/>
    <x v="68"/>
    <n v="0"/>
    <n v="103183"/>
    <x v="0"/>
    <n v="3"/>
    <s v="50+"/>
  </r>
  <r>
    <x v="732"/>
    <x v="779"/>
    <x v="27"/>
    <x v="0"/>
    <x v="3"/>
    <x v="1"/>
    <s v="Asian"/>
    <n v="54"/>
    <d v="1998-06-15T00:00:00"/>
    <n v="95239"/>
    <n v="0"/>
    <x v="0"/>
    <s v="Phoenix"/>
    <x v="1"/>
    <n v="0"/>
    <n v="95239"/>
    <x v="1"/>
    <n v="27"/>
    <s v="50+"/>
  </r>
  <r>
    <x v="733"/>
    <x v="631"/>
    <x v="25"/>
    <x v="5"/>
    <x v="1"/>
    <x v="0"/>
    <s v="Asian"/>
    <n v="29"/>
    <d v="2019-11-09T00:00:00"/>
    <n v="75012"/>
    <n v="0"/>
    <x v="0"/>
    <s v="Chicago"/>
    <x v="1"/>
    <n v="0"/>
    <n v="75012"/>
    <x v="1"/>
    <n v="6"/>
    <s v="Under 30"/>
  </r>
  <r>
    <x v="734"/>
    <x v="780"/>
    <x v="23"/>
    <x v="0"/>
    <x v="1"/>
    <x v="0"/>
    <s v="Asian"/>
    <n v="33"/>
    <d v="2014-06-29T00:00:00"/>
    <n v="96366"/>
    <n v="0"/>
    <x v="1"/>
    <s v="Chengdu"/>
    <x v="1"/>
    <n v="0"/>
    <n v="96366"/>
    <x v="1"/>
    <n v="11"/>
    <s v="30-40"/>
  </r>
  <r>
    <x v="735"/>
    <x v="781"/>
    <x v="7"/>
    <x v="6"/>
    <x v="3"/>
    <x v="0"/>
    <s v="Asian"/>
    <n v="39"/>
    <d v="2014-07-29T00:00:00"/>
    <n v="40897"/>
    <n v="0"/>
    <x v="0"/>
    <s v="Seattle"/>
    <x v="1"/>
    <n v="0"/>
    <n v="40897"/>
    <x v="1"/>
    <n v="11"/>
    <s v="30-40"/>
  </r>
  <r>
    <x v="736"/>
    <x v="782"/>
    <x v="6"/>
    <x v="1"/>
    <x v="0"/>
    <x v="0"/>
    <s v="Asian"/>
    <n v="37"/>
    <d v="2016-08-23T00:00:00"/>
    <n v="124928"/>
    <n v="0.06"/>
    <x v="1"/>
    <s v="Chongqing"/>
    <x v="1"/>
    <n v="7495.6799999999994"/>
    <n v="132423.67999999999"/>
    <x v="1"/>
    <n v="9"/>
    <s v="30-40"/>
  </r>
  <r>
    <x v="737"/>
    <x v="783"/>
    <x v="6"/>
    <x v="1"/>
    <x v="2"/>
    <x v="0"/>
    <s v="Latino"/>
    <n v="51"/>
    <d v="2013-06-14T00:00:00"/>
    <n v="108221"/>
    <n v="0.05"/>
    <x v="2"/>
    <s v="Manaus"/>
    <x v="1"/>
    <n v="5411.05"/>
    <n v="113632.05"/>
    <x v="1"/>
    <n v="12"/>
    <s v="50+"/>
  </r>
  <r>
    <x v="210"/>
    <x v="784"/>
    <x v="15"/>
    <x v="4"/>
    <x v="3"/>
    <x v="1"/>
    <s v="Caucasian"/>
    <n v="46"/>
    <d v="2007-02-20T00:00:00"/>
    <n v="75579"/>
    <n v="0"/>
    <x v="0"/>
    <s v="Seattle"/>
    <x v="1"/>
    <n v="0"/>
    <n v="75579"/>
    <x v="1"/>
    <n v="18"/>
    <s v="41-50"/>
  </r>
  <r>
    <x v="738"/>
    <x v="785"/>
    <x v="0"/>
    <x v="4"/>
    <x v="1"/>
    <x v="1"/>
    <s v="Latino"/>
    <n v="41"/>
    <d v="2015-12-27T00:00:00"/>
    <n v="129903"/>
    <n v="0.13"/>
    <x v="2"/>
    <s v="Sao Paulo"/>
    <x v="1"/>
    <n v="16887.39"/>
    <n v="146790.39000000001"/>
    <x v="1"/>
    <n v="10"/>
    <s v="41-50"/>
  </r>
  <r>
    <x v="739"/>
    <x v="786"/>
    <x v="2"/>
    <x v="1"/>
    <x v="0"/>
    <x v="0"/>
    <s v="Asian"/>
    <n v="25"/>
    <d v="2021-04-17T00:00:00"/>
    <n v="186870"/>
    <n v="0.2"/>
    <x v="1"/>
    <s v="Shanghai"/>
    <x v="1"/>
    <n v="37374"/>
    <n v="224244"/>
    <x v="1"/>
    <n v="4"/>
    <s v="Under 30"/>
  </r>
  <r>
    <x v="740"/>
    <x v="787"/>
    <x v="13"/>
    <x v="2"/>
    <x v="0"/>
    <x v="1"/>
    <s v="Caucasian"/>
    <n v="37"/>
    <d v="2010-04-23T00:00:00"/>
    <n v="57531"/>
    <n v="0"/>
    <x v="0"/>
    <s v="Chicago"/>
    <x v="1"/>
    <n v="0"/>
    <n v="57531"/>
    <x v="1"/>
    <n v="15"/>
    <s v="30-40"/>
  </r>
  <r>
    <x v="741"/>
    <x v="788"/>
    <x v="7"/>
    <x v="1"/>
    <x v="0"/>
    <x v="1"/>
    <s v="Asian"/>
    <n v="46"/>
    <d v="2011-04-24T00:00:00"/>
    <n v="55894"/>
    <n v="0"/>
    <x v="0"/>
    <s v="Seattle"/>
    <x v="1"/>
    <n v="0"/>
    <n v="55894"/>
    <x v="1"/>
    <n v="14"/>
    <s v="41-50"/>
  </r>
  <r>
    <x v="742"/>
    <x v="789"/>
    <x v="17"/>
    <x v="5"/>
    <x v="1"/>
    <x v="0"/>
    <s v="Asian"/>
    <n v="42"/>
    <d v="2012-04-27T00:00:00"/>
    <n v="72903"/>
    <n v="0"/>
    <x v="0"/>
    <s v="Phoenix"/>
    <x v="1"/>
    <n v="0"/>
    <n v="72903"/>
    <x v="1"/>
    <n v="13"/>
    <s v="41-50"/>
  </r>
  <r>
    <x v="195"/>
    <x v="790"/>
    <x v="7"/>
    <x v="1"/>
    <x v="3"/>
    <x v="1"/>
    <s v="Asian"/>
    <n v="37"/>
    <d v="2015-11-09T00:00:00"/>
    <n v="45369"/>
    <n v="0"/>
    <x v="1"/>
    <s v="Beijing"/>
    <x v="1"/>
    <n v="0"/>
    <n v="45369"/>
    <x v="1"/>
    <n v="10"/>
    <s v="30-40"/>
  </r>
  <r>
    <x v="743"/>
    <x v="791"/>
    <x v="6"/>
    <x v="1"/>
    <x v="2"/>
    <x v="1"/>
    <s v="Caucasian"/>
    <n v="60"/>
    <d v="2010-06-15T00:00:00"/>
    <n v="106578"/>
    <n v="0.09"/>
    <x v="0"/>
    <s v="Miami"/>
    <x v="1"/>
    <n v="9592.02"/>
    <n v="116170.02"/>
    <x v="1"/>
    <n v="15"/>
    <s v="50+"/>
  </r>
  <r>
    <x v="744"/>
    <x v="792"/>
    <x v="15"/>
    <x v="4"/>
    <x v="0"/>
    <x v="0"/>
    <s v="Latino"/>
    <n v="52"/>
    <d v="1999-09-13T00:00:00"/>
    <n v="92994"/>
    <n v="0"/>
    <x v="0"/>
    <s v="Chicago"/>
    <x v="1"/>
    <n v="0"/>
    <n v="92994"/>
    <x v="1"/>
    <n v="26"/>
    <s v="50+"/>
  </r>
  <r>
    <x v="745"/>
    <x v="793"/>
    <x v="4"/>
    <x v="2"/>
    <x v="2"/>
    <x v="1"/>
    <s v="Asian"/>
    <n v="59"/>
    <d v="1997-03-13T00:00:00"/>
    <n v="83685"/>
    <n v="0"/>
    <x v="1"/>
    <s v="Beijing"/>
    <x v="1"/>
    <n v="0"/>
    <n v="83685"/>
    <x v="1"/>
    <n v="28"/>
    <s v="50+"/>
  </r>
  <r>
    <x v="114"/>
    <x v="794"/>
    <x v="21"/>
    <x v="0"/>
    <x v="0"/>
    <x v="1"/>
    <s v="Caucasian"/>
    <n v="48"/>
    <d v="2010-09-14T00:00:00"/>
    <n v="99335"/>
    <n v="0"/>
    <x v="0"/>
    <s v="Phoenix"/>
    <x v="1"/>
    <n v="0"/>
    <n v="99335"/>
    <x v="1"/>
    <n v="15"/>
    <s v="41-50"/>
  </r>
  <r>
    <x v="746"/>
    <x v="795"/>
    <x v="0"/>
    <x v="4"/>
    <x v="1"/>
    <x v="1"/>
    <s v="Caucasian"/>
    <n v="42"/>
    <d v="2013-04-18T00:00:00"/>
    <n v="131179"/>
    <n v="0.15"/>
    <x v="0"/>
    <s v="Columbus"/>
    <x v="1"/>
    <n v="19676.849999999999"/>
    <n v="150855.85"/>
    <x v="1"/>
    <n v="12"/>
    <s v="41-50"/>
  </r>
  <r>
    <x v="747"/>
    <x v="796"/>
    <x v="3"/>
    <x v="0"/>
    <x v="2"/>
    <x v="1"/>
    <s v="Asian"/>
    <n v="35"/>
    <d v="2016-05-03T00:00:00"/>
    <n v="73899"/>
    <n v="0.05"/>
    <x v="1"/>
    <s v="Chengdu"/>
    <x v="1"/>
    <n v="3694.9500000000003"/>
    <n v="77593.95"/>
    <x v="1"/>
    <n v="9"/>
    <s v="30-40"/>
  </r>
  <r>
    <x v="748"/>
    <x v="797"/>
    <x v="9"/>
    <x v="3"/>
    <x v="1"/>
    <x v="1"/>
    <s v="Asian"/>
    <n v="64"/>
    <d v="2013-03-29T00:00:00"/>
    <n v="252325"/>
    <n v="0.4"/>
    <x v="0"/>
    <s v="Columbus"/>
    <x v="1"/>
    <n v="100930"/>
    <n v="353255"/>
    <x v="1"/>
    <n v="12"/>
    <s v="50+"/>
  </r>
  <r>
    <x v="749"/>
    <x v="798"/>
    <x v="13"/>
    <x v="1"/>
    <x v="0"/>
    <x v="0"/>
    <s v="Caucasian"/>
    <n v="30"/>
    <d v="2015-03-05T00:00:00"/>
    <n v="52697"/>
    <n v="0"/>
    <x v="0"/>
    <s v="Seattle"/>
    <x v="1"/>
    <n v="0"/>
    <n v="52697"/>
    <x v="1"/>
    <n v="10"/>
    <s v="30-40"/>
  </r>
  <r>
    <x v="711"/>
    <x v="799"/>
    <x v="19"/>
    <x v="5"/>
    <x v="2"/>
    <x v="0"/>
    <s v="Latino"/>
    <n v="29"/>
    <d v="2020-09-25T00:00:00"/>
    <n v="123588"/>
    <n v="0"/>
    <x v="2"/>
    <s v="Sao Paulo"/>
    <x v="1"/>
    <n v="0"/>
    <n v="123588"/>
    <x v="1"/>
    <n v="5"/>
    <s v="Under 30"/>
  </r>
  <r>
    <x v="750"/>
    <x v="800"/>
    <x v="9"/>
    <x v="3"/>
    <x v="3"/>
    <x v="0"/>
    <s v="Asian"/>
    <n v="47"/>
    <d v="2021-12-26T00:00:00"/>
    <n v="243568"/>
    <n v="0.33"/>
    <x v="0"/>
    <s v="Austin"/>
    <x v="1"/>
    <n v="80377.440000000002"/>
    <n v="323945.44"/>
    <x v="1"/>
    <n v="4"/>
    <s v="41-50"/>
  </r>
  <r>
    <x v="559"/>
    <x v="801"/>
    <x v="2"/>
    <x v="2"/>
    <x v="0"/>
    <x v="1"/>
    <s v="Asian"/>
    <n v="49"/>
    <d v="2001-07-20T00:00:00"/>
    <n v="199176"/>
    <n v="0.24"/>
    <x v="0"/>
    <s v="Phoenix"/>
    <x v="1"/>
    <n v="47802.239999999998"/>
    <n v="246978.24"/>
    <x v="1"/>
    <n v="24"/>
    <s v="41-50"/>
  </r>
  <r>
    <x v="47"/>
    <x v="802"/>
    <x v="1"/>
    <x v="0"/>
    <x v="2"/>
    <x v="0"/>
    <s v="Asian"/>
    <n v="56"/>
    <d v="1996-06-22T00:00:00"/>
    <n v="82806"/>
    <n v="0"/>
    <x v="0"/>
    <s v="Seattle"/>
    <x v="1"/>
    <n v="0"/>
    <n v="82806"/>
    <x v="1"/>
    <n v="29"/>
    <s v="50+"/>
  </r>
  <r>
    <x v="751"/>
    <x v="803"/>
    <x v="2"/>
    <x v="6"/>
    <x v="2"/>
    <x v="0"/>
    <s v="Asian"/>
    <n v="53"/>
    <d v="1997-06-20T00:00:00"/>
    <n v="164399"/>
    <n v="0.25"/>
    <x v="0"/>
    <s v="Seattle"/>
    <x v="1"/>
    <n v="41099.75"/>
    <n v="205498.75"/>
    <x v="1"/>
    <n v="28"/>
    <s v="50+"/>
  </r>
  <r>
    <x v="752"/>
    <x v="804"/>
    <x v="0"/>
    <x v="4"/>
    <x v="1"/>
    <x v="0"/>
    <s v="Asian"/>
    <n v="32"/>
    <d v="2017-04-14T00:00:00"/>
    <n v="154956"/>
    <n v="0.13"/>
    <x v="0"/>
    <s v="Phoenix"/>
    <x v="1"/>
    <n v="20144.280000000002"/>
    <n v="175100.28"/>
    <x v="1"/>
    <n v="8"/>
    <s v="30-40"/>
  </r>
  <r>
    <x v="753"/>
    <x v="805"/>
    <x v="0"/>
    <x v="6"/>
    <x v="1"/>
    <x v="1"/>
    <s v="Asian"/>
    <n v="32"/>
    <d v="2017-01-29T00:00:00"/>
    <n v="143970"/>
    <n v="0.12"/>
    <x v="0"/>
    <s v="Seattle"/>
    <x v="69"/>
    <n v="17276.399999999998"/>
    <n v="161246.39999999999"/>
    <x v="0"/>
    <n v="0"/>
    <s v="30-40"/>
  </r>
  <r>
    <x v="754"/>
    <x v="806"/>
    <x v="2"/>
    <x v="2"/>
    <x v="3"/>
    <x v="1"/>
    <s v="Latino"/>
    <n v="52"/>
    <d v="2020-09-25T00:00:00"/>
    <n v="163143"/>
    <n v="0.28000000000000003"/>
    <x v="2"/>
    <s v="Sao Paulo"/>
    <x v="1"/>
    <n v="45680.04"/>
    <n v="208823.04000000001"/>
    <x v="1"/>
    <n v="5"/>
    <s v="50+"/>
  </r>
  <r>
    <x v="755"/>
    <x v="807"/>
    <x v="4"/>
    <x v="3"/>
    <x v="2"/>
    <x v="0"/>
    <s v="Caucasian"/>
    <n v="38"/>
    <d v="2020-07-24T00:00:00"/>
    <n v="89390"/>
    <n v="0"/>
    <x v="0"/>
    <s v="Seattle"/>
    <x v="1"/>
    <n v="0"/>
    <n v="89390"/>
    <x v="1"/>
    <n v="5"/>
    <s v="30-40"/>
  </r>
  <r>
    <x v="756"/>
    <x v="808"/>
    <x v="23"/>
    <x v="0"/>
    <x v="1"/>
    <x v="1"/>
    <s v="Caucasian"/>
    <n v="41"/>
    <d v="2017-10-05T00:00:00"/>
    <n v="67468"/>
    <n v="0"/>
    <x v="0"/>
    <s v="Miami"/>
    <x v="1"/>
    <n v="0"/>
    <n v="67468"/>
    <x v="1"/>
    <n v="8"/>
    <s v="41-50"/>
  </r>
  <r>
    <x v="757"/>
    <x v="809"/>
    <x v="11"/>
    <x v="5"/>
    <x v="1"/>
    <x v="0"/>
    <s v="Latino"/>
    <n v="49"/>
    <d v="2016-03-12T00:00:00"/>
    <n v="100810"/>
    <n v="0.12"/>
    <x v="2"/>
    <s v="Rio de Janerio"/>
    <x v="1"/>
    <n v="12097.199999999999"/>
    <n v="112907.2"/>
    <x v="1"/>
    <n v="9"/>
    <s v="41-50"/>
  </r>
  <r>
    <x v="758"/>
    <x v="810"/>
    <x v="4"/>
    <x v="1"/>
    <x v="1"/>
    <x v="0"/>
    <s v="Asian"/>
    <n v="35"/>
    <d v="2019-03-18T00:00:00"/>
    <n v="74779"/>
    <n v="0"/>
    <x v="0"/>
    <s v="Phoenix"/>
    <x v="1"/>
    <n v="0"/>
    <n v="74779"/>
    <x v="1"/>
    <n v="6"/>
    <s v="30-40"/>
  </r>
  <r>
    <x v="281"/>
    <x v="811"/>
    <x v="24"/>
    <x v="0"/>
    <x v="3"/>
    <x v="0"/>
    <s v="Asian"/>
    <n v="29"/>
    <d v="2017-11-09T00:00:00"/>
    <n v="63985"/>
    <n v="0"/>
    <x v="0"/>
    <s v="Miami"/>
    <x v="1"/>
    <n v="0"/>
    <n v="63985"/>
    <x v="1"/>
    <n v="8"/>
    <s v="Under 30"/>
  </r>
  <r>
    <x v="759"/>
    <x v="812"/>
    <x v="29"/>
    <x v="0"/>
    <x v="1"/>
    <x v="0"/>
    <s v="Caucasian"/>
    <n v="64"/>
    <d v="2004-07-08T00:00:00"/>
    <n v="77903"/>
    <n v="0"/>
    <x v="0"/>
    <s v="Seattle"/>
    <x v="1"/>
    <n v="0"/>
    <n v="77903"/>
    <x v="1"/>
    <n v="21"/>
    <s v="50+"/>
  </r>
  <r>
    <x v="760"/>
    <x v="813"/>
    <x v="2"/>
    <x v="6"/>
    <x v="3"/>
    <x v="1"/>
    <s v="Caucasian"/>
    <n v="33"/>
    <d v="2017-06-12T00:00:00"/>
    <n v="164396"/>
    <n v="0.28999999999999998"/>
    <x v="0"/>
    <s v="Columbus"/>
    <x v="1"/>
    <n v="47674.84"/>
    <n v="212070.84"/>
    <x v="1"/>
    <n v="8"/>
    <s v="30-40"/>
  </r>
  <r>
    <x v="761"/>
    <x v="814"/>
    <x v="30"/>
    <x v="0"/>
    <x v="3"/>
    <x v="1"/>
    <s v="Asian"/>
    <n v="29"/>
    <d v="2021-06-28T00:00:00"/>
    <n v="71234"/>
    <n v="0"/>
    <x v="0"/>
    <s v="Seattle"/>
    <x v="1"/>
    <n v="0"/>
    <n v="71234"/>
    <x v="1"/>
    <n v="4"/>
    <s v="Under 30"/>
  </r>
  <r>
    <x v="762"/>
    <x v="815"/>
    <x v="6"/>
    <x v="1"/>
    <x v="3"/>
    <x v="1"/>
    <s v="Asian"/>
    <n v="63"/>
    <d v="2004-04-19T00:00:00"/>
    <n v="122487"/>
    <n v="0.08"/>
    <x v="1"/>
    <s v="Shanghai"/>
    <x v="1"/>
    <n v="9798.9600000000009"/>
    <n v="132285.96"/>
    <x v="1"/>
    <n v="21"/>
    <s v="50+"/>
  </r>
  <r>
    <x v="763"/>
    <x v="816"/>
    <x v="6"/>
    <x v="4"/>
    <x v="2"/>
    <x v="0"/>
    <s v="Asian"/>
    <n v="32"/>
    <d v="2017-01-03T00:00:00"/>
    <n v="101870"/>
    <n v="0.1"/>
    <x v="0"/>
    <s v="Phoenix"/>
    <x v="1"/>
    <n v="10187"/>
    <n v="112057"/>
    <x v="1"/>
    <n v="9"/>
    <s v="30-40"/>
  </r>
  <r>
    <x v="764"/>
    <x v="817"/>
    <x v="28"/>
    <x v="0"/>
    <x v="0"/>
    <x v="1"/>
    <s v="Latino"/>
    <n v="64"/>
    <d v="2020-06-27T00:00:00"/>
    <n v="40316"/>
    <n v="0"/>
    <x v="2"/>
    <s v="Manaus"/>
    <x v="1"/>
    <n v="0"/>
    <n v="40316"/>
    <x v="1"/>
    <n v="5"/>
    <s v="50+"/>
  </r>
  <r>
    <x v="765"/>
    <x v="818"/>
    <x v="6"/>
    <x v="0"/>
    <x v="0"/>
    <x v="0"/>
    <s v="Asian"/>
    <n v="55"/>
    <d v="2005-02-08T00:00:00"/>
    <n v="115145"/>
    <n v="0.05"/>
    <x v="1"/>
    <s v="Chongqing"/>
    <x v="1"/>
    <n v="5757.25"/>
    <n v="120902.25"/>
    <x v="1"/>
    <n v="20"/>
    <s v="50+"/>
  </r>
  <r>
    <x v="766"/>
    <x v="819"/>
    <x v="21"/>
    <x v="0"/>
    <x v="1"/>
    <x v="0"/>
    <s v="Latino"/>
    <n v="43"/>
    <d v="2009-03-13T00:00:00"/>
    <n v="62335"/>
    <n v="0"/>
    <x v="2"/>
    <s v="Manaus"/>
    <x v="1"/>
    <n v="0"/>
    <n v="62335"/>
    <x v="1"/>
    <n v="16"/>
    <s v="41-50"/>
  </r>
  <r>
    <x v="767"/>
    <x v="820"/>
    <x v="7"/>
    <x v="1"/>
    <x v="1"/>
    <x v="1"/>
    <s v="Asian"/>
    <n v="56"/>
    <d v="2006-05-10T00:00:00"/>
    <n v="41561"/>
    <n v="0"/>
    <x v="0"/>
    <s v="Austin"/>
    <x v="1"/>
    <n v="0"/>
    <n v="41561"/>
    <x v="1"/>
    <n v="19"/>
    <s v="50+"/>
  </r>
  <r>
    <x v="768"/>
    <x v="821"/>
    <x v="0"/>
    <x v="1"/>
    <x v="2"/>
    <x v="0"/>
    <s v="Asian"/>
    <n v="37"/>
    <d v="2011-04-24T00:00:00"/>
    <n v="131183"/>
    <n v="0.14000000000000001"/>
    <x v="1"/>
    <s v="Shanghai"/>
    <x v="70"/>
    <n v="18365.620000000003"/>
    <n v="149548.62"/>
    <x v="0"/>
    <n v="4"/>
    <s v="30-40"/>
  </r>
  <r>
    <x v="428"/>
    <x v="822"/>
    <x v="1"/>
    <x v="0"/>
    <x v="1"/>
    <x v="0"/>
    <s v="Asian"/>
    <n v="45"/>
    <d v="2002-07-08T00:00:00"/>
    <n v="92655"/>
    <n v="0"/>
    <x v="1"/>
    <s v="Chengdu"/>
    <x v="1"/>
    <n v="0"/>
    <n v="92655"/>
    <x v="1"/>
    <n v="23"/>
    <s v="41-50"/>
  </r>
  <r>
    <x v="692"/>
    <x v="823"/>
    <x v="0"/>
    <x v="2"/>
    <x v="1"/>
    <x v="0"/>
    <s v="Latino"/>
    <n v="49"/>
    <d v="1996-04-02T00:00:00"/>
    <n v="157057"/>
    <n v="0.12"/>
    <x v="0"/>
    <s v="Miami"/>
    <x v="1"/>
    <n v="18846.84"/>
    <n v="175903.84"/>
    <x v="1"/>
    <n v="29"/>
    <s v="41-50"/>
  </r>
  <r>
    <x v="769"/>
    <x v="824"/>
    <x v="14"/>
    <x v="0"/>
    <x v="2"/>
    <x v="0"/>
    <s v="Caucasian"/>
    <n v="61"/>
    <d v="2005-02-09T00:00:00"/>
    <n v="64462"/>
    <n v="0"/>
    <x v="0"/>
    <s v="Chicago"/>
    <x v="1"/>
    <n v="0"/>
    <n v="64462"/>
    <x v="1"/>
    <n v="20"/>
    <s v="50+"/>
  </r>
  <r>
    <x v="770"/>
    <x v="825"/>
    <x v="10"/>
    <x v="5"/>
    <x v="3"/>
    <x v="0"/>
    <s v="Caucasian"/>
    <n v="41"/>
    <d v="2005-10-07T00:00:00"/>
    <n v="79352"/>
    <n v="0"/>
    <x v="0"/>
    <s v="Seattle"/>
    <x v="1"/>
    <n v="0"/>
    <n v="79352"/>
    <x v="1"/>
    <n v="20"/>
    <s v="41-50"/>
  </r>
  <r>
    <x v="771"/>
    <x v="826"/>
    <x v="0"/>
    <x v="6"/>
    <x v="2"/>
    <x v="0"/>
    <s v="Caucasian"/>
    <n v="55"/>
    <d v="2001-03-27T00:00:00"/>
    <n v="157812"/>
    <n v="0.11"/>
    <x v="0"/>
    <s v="Miami"/>
    <x v="1"/>
    <n v="17359.32"/>
    <n v="175171.32"/>
    <x v="1"/>
    <n v="24"/>
    <s v="50+"/>
  </r>
  <r>
    <x v="772"/>
    <x v="827"/>
    <x v="10"/>
    <x v="5"/>
    <x v="3"/>
    <x v="1"/>
    <s v="Caucasian"/>
    <n v="27"/>
    <d v="2018-09-11T00:00:00"/>
    <n v="80745"/>
    <n v="0"/>
    <x v="0"/>
    <s v="Chicago"/>
    <x v="1"/>
    <n v="0"/>
    <n v="80745"/>
    <x v="1"/>
    <n v="7"/>
    <s v="Under 30"/>
  </r>
  <r>
    <x v="773"/>
    <x v="828"/>
    <x v="27"/>
    <x v="0"/>
    <x v="1"/>
    <x v="0"/>
    <s v="Caucasian"/>
    <n v="57"/>
    <d v="1996-02-18T00:00:00"/>
    <n v="75354"/>
    <n v="0"/>
    <x v="0"/>
    <s v="Austin"/>
    <x v="71"/>
    <n v="0"/>
    <n v="75354"/>
    <x v="0"/>
    <n v="0"/>
    <s v="50+"/>
  </r>
  <r>
    <x v="774"/>
    <x v="829"/>
    <x v="11"/>
    <x v="5"/>
    <x v="0"/>
    <x v="1"/>
    <s v="Latino"/>
    <n v="56"/>
    <d v="2018-09-20T00:00:00"/>
    <n v="78938"/>
    <n v="0.14000000000000001"/>
    <x v="0"/>
    <s v="Phoenix"/>
    <x v="1"/>
    <n v="11051.320000000002"/>
    <n v="89989.32"/>
    <x v="1"/>
    <n v="7"/>
    <s v="50+"/>
  </r>
  <r>
    <x v="775"/>
    <x v="830"/>
    <x v="19"/>
    <x v="5"/>
    <x v="3"/>
    <x v="1"/>
    <s v="Latino"/>
    <n v="59"/>
    <d v="2008-09-10T00:00:00"/>
    <n v="96313"/>
    <n v="0"/>
    <x v="0"/>
    <s v="Austin"/>
    <x v="1"/>
    <n v="0"/>
    <n v="96313"/>
    <x v="1"/>
    <n v="17"/>
    <s v="50+"/>
  </r>
  <r>
    <x v="776"/>
    <x v="831"/>
    <x v="2"/>
    <x v="5"/>
    <x v="2"/>
    <x v="1"/>
    <s v="Caucasian"/>
    <n v="45"/>
    <d v="2010-11-29T00:00:00"/>
    <n v="153767"/>
    <n v="0.27"/>
    <x v="0"/>
    <s v="Phoenix"/>
    <x v="1"/>
    <n v="41517.090000000004"/>
    <n v="195284.09"/>
    <x v="1"/>
    <n v="15"/>
    <s v="41-50"/>
  </r>
  <r>
    <x v="614"/>
    <x v="832"/>
    <x v="6"/>
    <x v="6"/>
    <x v="0"/>
    <x v="0"/>
    <s v="Black"/>
    <n v="42"/>
    <d v="2015-09-19T00:00:00"/>
    <n v="103423"/>
    <n v="0.06"/>
    <x v="0"/>
    <s v="Columbus"/>
    <x v="1"/>
    <n v="6205.38"/>
    <n v="109628.38"/>
    <x v="1"/>
    <n v="10"/>
    <s v="41-50"/>
  </r>
  <r>
    <x v="777"/>
    <x v="833"/>
    <x v="8"/>
    <x v="5"/>
    <x v="3"/>
    <x v="0"/>
    <s v="Asian"/>
    <n v="25"/>
    <d v="2021-06-23T00:00:00"/>
    <n v="86464"/>
    <n v="0"/>
    <x v="1"/>
    <s v="Shanghai"/>
    <x v="1"/>
    <n v="0"/>
    <n v="86464"/>
    <x v="1"/>
    <n v="4"/>
    <s v="Under 30"/>
  </r>
  <r>
    <x v="778"/>
    <x v="834"/>
    <x v="8"/>
    <x v="5"/>
    <x v="3"/>
    <x v="0"/>
    <s v="Latino"/>
    <n v="29"/>
    <d v="2018-01-14T00:00:00"/>
    <n v="80516"/>
    <n v="0"/>
    <x v="2"/>
    <s v="Sao Paulo"/>
    <x v="1"/>
    <n v="0"/>
    <n v="80516"/>
    <x v="1"/>
    <n v="8"/>
    <s v="Under 30"/>
  </r>
  <r>
    <x v="779"/>
    <x v="835"/>
    <x v="6"/>
    <x v="4"/>
    <x v="2"/>
    <x v="0"/>
    <s v="Black"/>
    <n v="33"/>
    <d v="2013-08-21T00:00:00"/>
    <n v="105390"/>
    <n v="0.06"/>
    <x v="0"/>
    <s v="Columbus"/>
    <x v="1"/>
    <n v="6323.4"/>
    <n v="111713.4"/>
    <x v="1"/>
    <n v="12"/>
    <s v="30-40"/>
  </r>
  <r>
    <x v="780"/>
    <x v="836"/>
    <x v="21"/>
    <x v="0"/>
    <x v="1"/>
    <x v="0"/>
    <s v="Asian"/>
    <n v="50"/>
    <d v="2021-09-06T00:00:00"/>
    <n v="83418"/>
    <n v="0"/>
    <x v="1"/>
    <s v="Shanghai"/>
    <x v="1"/>
    <n v="0"/>
    <n v="83418"/>
    <x v="1"/>
    <n v="4"/>
    <s v="50+"/>
  </r>
  <r>
    <x v="781"/>
    <x v="837"/>
    <x v="29"/>
    <x v="0"/>
    <x v="2"/>
    <x v="0"/>
    <s v="Caucasian"/>
    <n v="45"/>
    <d v="2017-11-03T00:00:00"/>
    <n v="66660"/>
    <n v="0"/>
    <x v="0"/>
    <s v="Austin"/>
    <x v="1"/>
    <n v="0"/>
    <n v="66660"/>
    <x v="1"/>
    <n v="8"/>
    <s v="41-50"/>
  </r>
  <r>
    <x v="580"/>
    <x v="838"/>
    <x v="6"/>
    <x v="4"/>
    <x v="2"/>
    <x v="1"/>
    <s v="Latino"/>
    <n v="59"/>
    <d v="2015-06-10T00:00:00"/>
    <n v="101985"/>
    <n v="7.0000000000000007E-2"/>
    <x v="0"/>
    <s v="Miami"/>
    <x v="1"/>
    <n v="7138.9500000000007"/>
    <n v="109123.95"/>
    <x v="1"/>
    <n v="10"/>
    <s v="50+"/>
  </r>
  <r>
    <x v="782"/>
    <x v="839"/>
    <x v="9"/>
    <x v="1"/>
    <x v="3"/>
    <x v="1"/>
    <s v="Latino"/>
    <n v="29"/>
    <d v="2018-12-05T00:00:00"/>
    <n v="199504"/>
    <n v="0.3"/>
    <x v="0"/>
    <s v="Austin"/>
    <x v="1"/>
    <n v="59851.199999999997"/>
    <n v="259355.2"/>
    <x v="1"/>
    <n v="7"/>
    <s v="Under 30"/>
  </r>
  <r>
    <x v="783"/>
    <x v="840"/>
    <x v="0"/>
    <x v="2"/>
    <x v="3"/>
    <x v="0"/>
    <s v="Latino"/>
    <n v="52"/>
    <d v="2006-10-05T00:00:00"/>
    <n v="147966"/>
    <n v="0.11"/>
    <x v="2"/>
    <s v="Rio de Janerio"/>
    <x v="72"/>
    <n v="16276.26"/>
    <n v="164242.26"/>
    <x v="0"/>
    <n v="12"/>
    <s v="50+"/>
  </r>
  <r>
    <x v="106"/>
    <x v="841"/>
    <x v="20"/>
    <x v="4"/>
    <x v="2"/>
    <x v="1"/>
    <s v="Asian"/>
    <n v="58"/>
    <d v="2014-06-20T00:00:00"/>
    <n v="41728"/>
    <n v="0"/>
    <x v="1"/>
    <s v="Chongqing"/>
    <x v="1"/>
    <n v="0"/>
    <n v="41728"/>
    <x v="1"/>
    <n v="11"/>
    <s v="50+"/>
  </r>
  <r>
    <x v="665"/>
    <x v="842"/>
    <x v="4"/>
    <x v="3"/>
    <x v="2"/>
    <x v="1"/>
    <s v="Latino"/>
    <n v="62"/>
    <d v="2011-02-17T00:00:00"/>
    <n v="94422"/>
    <n v="0"/>
    <x v="0"/>
    <s v="Phoenix"/>
    <x v="1"/>
    <n v="0"/>
    <n v="94422"/>
    <x v="1"/>
    <n v="14"/>
    <s v="50+"/>
  </r>
  <r>
    <x v="784"/>
    <x v="843"/>
    <x v="2"/>
    <x v="2"/>
    <x v="3"/>
    <x v="1"/>
    <s v="Asian"/>
    <n v="31"/>
    <d v="2015-06-29T00:00:00"/>
    <n v="191026"/>
    <n v="0.16"/>
    <x v="0"/>
    <s v="Columbus"/>
    <x v="1"/>
    <n v="30564.16"/>
    <n v="221590.16"/>
    <x v="1"/>
    <n v="10"/>
    <s v="30-40"/>
  </r>
  <r>
    <x v="785"/>
    <x v="844"/>
    <x v="9"/>
    <x v="0"/>
    <x v="0"/>
    <x v="1"/>
    <s v="Latino"/>
    <n v="42"/>
    <d v="2010-11-29T00:00:00"/>
    <n v="186725"/>
    <n v="0.32"/>
    <x v="2"/>
    <s v="Manaus"/>
    <x v="1"/>
    <n v="59752"/>
    <n v="246477"/>
    <x v="1"/>
    <n v="15"/>
    <s v="41-50"/>
  </r>
  <r>
    <x v="786"/>
    <x v="845"/>
    <x v="20"/>
    <x v="4"/>
    <x v="0"/>
    <x v="0"/>
    <s v="Caucasian"/>
    <n v="56"/>
    <d v="2009-08-20T00:00:00"/>
    <n v="52800"/>
    <n v="0"/>
    <x v="0"/>
    <s v="Phoenix"/>
    <x v="1"/>
    <n v="0"/>
    <n v="52800"/>
    <x v="1"/>
    <n v="16"/>
    <s v="50+"/>
  </r>
  <r>
    <x v="787"/>
    <x v="846"/>
    <x v="19"/>
    <x v="5"/>
    <x v="2"/>
    <x v="1"/>
    <s v="Caucasian"/>
    <n v="54"/>
    <d v="2010-12-05T00:00:00"/>
    <n v="113982"/>
    <n v="0"/>
    <x v="0"/>
    <s v="Seattle"/>
    <x v="1"/>
    <n v="0"/>
    <n v="113982"/>
    <x v="1"/>
    <n v="15"/>
    <s v="50+"/>
  </r>
  <r>
    <x v="788"/>
    <x v="847"/>
    <x v="5"/>
    <x v="2"/>
    <x v="0"/>
    <x v="0"/>
    <s v="Asian"/>
    <n v="54"/>
    <d v="2021-03-16T00:00:00"/>
    <n v="56239"/>
    <n v="0"/>
    <x v="1"/>
    <s v="Chongqing"/>
    <x v="1"/>
    <n v="0"/>
    <n v="56239"/>
    <x v="1"/>
    <n v="4"/>
    <s v="50+"/>
  </r>
  <r>
    <x v="170"/>
    <x v="848"/>
    <x v="7"/>
    <x v="2"/>
    <x v="1"/>
    <x v="1"/>
    <s v="Latino"/>
    <n v="26"/>
    <d v="2021-03-02T00:00:00"/>
    <n v="44732"/>
    <n v="0"/>
    <x v="2"/>
    <s v="Rio de Janerio"/>
    <x v="1"/>
    <n v="0"/>
    <n v="44732"/>
    <x v="1"/>
    <n v="4"/>
    <s v="Under 30"/>
  </r>
  <r>
    <x v="789"/>
    <x v="849"/>
    <x v="2"/>
    <x v="6"/>
    <x v="3"/>
    <x v="1"/>
    <s v="Asian"/>
    <n v="49"/>
    <d v="2014-06-26T00:00:00"/>
    <n v="153961"/>
    <n v="0.25"/>
    <x v="1"/>
    <s v="Shanghai"/>
    <x v="1"/>
    <n v="38490.25"/>
    <n v="192451.25"/>
    <x v="1"/>
    <n v="11"/>
    <s v="41-50"/>
  </r>
  <r>
    <x v="551"/>
    <x v="850"/>
    <x v="23"/>
    <x v="0"/>
    <x v="2"/>
    <x v="0"/>
    <s v="Asian"/>
    <n v="45"/>
    <d v="2006-12-18T00:00:00"/>
    <n v="68337"/>
    <n v="0"/>
    <x v="1"/>
    <s v="Chongqing"/>
    <x v="1"/>
    <n v="0"/>
    <n v="68337"/>
    <x v="1"/>
    <n v="19"/>
    <s v="41-50"/>
  </r>
  <r>
    <x v="790"/>
    <x v="851"/>
    <x v="0"/>
    <x v="4"/>
    <x v="3"/>
    <x v="1"/>
    <s v="Asian"/>
    <n v="45"/>
    <d v="2010-05-07T00:00:00"/>
    <n v="145093"/>
    <n v="0.12"/>
    <x v="0"/>
    <s v="Chicago"/>
    <x v="1"/>
    <n v="17411.16"/>
    <n v="162504.16"/>
    <x v="1"/>
    <n v="15"/>
    <s v="41-50"/>
  </r>
  <r>
    <x v="791"/>
    <x v="852"/>
    <x v="30"/>
    <x v="0"/>
    <x v="2"/>
    <x v="0"/>
    <s v="Caucasian"/>
    <n v="26"/>
    <d v="2021-03-11T00:00:00"/>
    <n v="74170"/>
    <n v="0"/>
    <x v="0"/>
    <s v="Austin"/>
    <x v="1"/>
    <n v="0"/>
    <n v="74170"/>
    <x v="1"/>
    <n v="4"/>
    <s v="Under 30"/>
  </r>
  <r>
    <x v="792"/>
    <x v="853"/>
    <x v="17"/>
    <x v="5"/>
    <x v="0"/>
    <x v="1"/>
    <s v="Caucasian"/>
    <n v="59"/>
    <d v="1996-03-29T00:00:00"/>
    <n v="62605"/>
    <n v="0"/>
    <x v="0"/>
    <s v="Austin"/>
    <x v="1"/>
    <n v="0"/>
    <n v="62605"/>
    <x v="1"/>
    <n v="29"/>
    <s v="50+"/>
  </r>
  <r>
    <x v="793"/>
    <x v="854"/>
    <x v="6"/>
    <x v="0"/>
    <x v="2"/>
    <x v="0"/>
    <s v="Caucasian"/>
    <n v="51"/>
    <d v="2020-03-13T00:00:00"/>
    <n v="107195"/>
    <n v="0.09"/>
    <x v="0"/>
    <s v="Austin"/>
    <x v="1"/>
    <n v="9647.5499999999993"/>
    <n v="116842.55"/>
    <x v="1"/>
    <n v="5"/>
    <s v="50+"/>
  </r>
  <r>
    <x v="755"/>
    <x v="855"/>
    <x v="0"/>
    <x v="6"/>
    <x v="2"/>
    <x v="1"/>
    <s v="Caucasian"/>
    <n v="45"/>
    <d v="2018-01-11T00:00:00"/>
    <n v="127422"/>
    <n v="0.15"/>
    <x v="0"/>
    <s v="Columbus"/>
    <x v="1"/>
    <n v="19113.3"/>
    <n v="146535.29999999999"/>
    <x v="1"/>
    <n v="8"/>
    <s v="41-50"/>
  </r>
  <r>
    <x v="794"/>
    <x v="856"/>
    <x v="2"/>
    <x v="3"/>
    <x v="0"/>
    <x v="0"/>
    <s v="Caucasian"/>
    <n v="35"/>
    <d v="2017-06-26T00:00:00"/>
    <n v="161269"/>
    <n v="0.27"/>
    <x v="0"/>
    <s v="Miami"/>
    <x v="1"/>
    <n v="43542.630000000005"/>
    <n v="204811.63"/>
    <x v="1"/>
    <n v="8"/>
    <s v="30-40"/>
  </r>
  <r>
    <x v="795"/>
    <x v="857"/>
    <x v="9"/>
    <x v="6"/>
    <x v="3"/>
    <x v="0"/>
    <s v="Latino"/>
    <n v="32"/>
    <d v="2014-02-05T00:00:00"/>
    <n v="203445"/>
    <n v="0.34"/>
    <x v="2"/>
    <s v="Manaus"/>
    <x v="1"/>
    <n v="69171.3"/>
    <n v="272616.3"/>
    <x v="1"/>
    <n v="11"/>
    <s v="30-40"/>
  </r>
  <r>
    <x v="796"/>
    <x v="858"/>
    <x v="0"/>
    <x v="4"/>
    <x v="0"/>
    <x v="0"/>
    <s v="Asian"/>
    <n v="37"/>
    <d v="2011-01-17T00:00:00"/>
    <n v="131353"/>
    <n v="0.11"/>
    <x v="1"/>
    <s v="Shanghai"/>
    <x v="1"/>
    <n v="14448.83"/>
    <n v="145801.82999999999"/>
    <x v="1"/>
    <n v="15"/>
    <s v="30-40"/>
  </r>
  <r>
    <x v="797"/>
    <x v="859"/>
    <x v="31"/>
    <x v="0"/>
    <x v="1"/>
    <x v="1"/>
    <s v="Asian"/>
    <n v="45"/>
    <d v="2010-03-16T00:00:00"/>
    <n v="88182"/>
    <n v="0"/>
    <x v="1"/>
    <s v="Chengdu"/>
    <x v="1"/>
    <n v="0"/>
    <n v="88182"/>
    <x v="1"/>
    <n v="15"/>
    <s v="41-50"/>
  </r>
  <r>
    <x v="798"/>
    <x v="860"/>
    <x v="14"/>
    <x v="0"/>
    <x v="2"/>
    <x v="1"/>
    <s v="Caucasian"/>
    <n v="61"/>
    <d v="2019-08-26T00:00:00"/>
    <n v="75780"/>
    <n v="0"/>
    <x v="0"/>
    <s v="Seattle"/>
    <x v="1"/>
    <n v="0"/>
    <n v="75780"/>
    <x v="1"/>
    <n v="6"/>
    <s v="50+"/>
  </r>
  <r>
    <x v="799"/>
    <x v="861"/>
    <x v="13"/>
    <x v="2"/>
    <x v="0"/>
    <x v="0"/>
    <s v="Asian"/>
    <n v="45"/>
    <d v="2019-04-02T00:00:00"/>
    <n v="52621"/>
    <n v="0"/>
    <x v="1"/>
    <s v="Beijing"/>
    <x v="1"/>
    <n v="0"/>
    <n v="52621"/>
    <x v="1"/>
    <n v="6"/>
    <s v="41-50"/>
  </r>
  <r>
    <x v="800"/>
    <x v="862"/>
    <x v="11"/>
    <x v="5"/>
    <x v="0"/>
    <x v="1"/>
    <s v="Asian"/>
    <n v="60"/>
    <d v="2018-02-15T00:00:00"/>
    <n v="106079"/>
    <n v="0.14000000000000001"/>
    <x v="0"/>
    <s v="Austin"/>
    <x v="73"/>
    <n v="14851.060000000001"/>
    <n v="120930.06"/>
    <x v="0"/>
    <n v="3"/>
    <s v="50+"/>
  </r>
  <r>
    <x v="801"/>
    <x v="863"/>
    <x v="21"/>
    <x v="0"/>
    <x v="3"/>
    <x v="1"/>
    <s v="Latino"/>
    <n v="30"/>
    <d v="2017-02-11T00:00:00"/>
    <n v="92058"/>
    <n v="0"/>
    <x v="0"/>
    <s v="Austin"/>
    <x v="1"/>
    <n v="0"/>
    <n v="92058"/>
    <x v="1"/>
    <n v="8"/>
    <s v="30-40"/>
  </r>
  <r>
    <x v="802"/>
    <x v="864"/>
    <x v="17"/>
    <x v="5"/>
    <x v="1"/>
    <x v="1"/>
    <s v="Asian"/>
    <n v="64"/>
    <d v="2019-03-03T00:00:00"/>
    <n v="67114"/>
    <n v="0"/>
    <x v="0"/>
    <s v="Phoenix"/>
    <x v="1"/>
    <n v="0"/>
    <n v="67114"/>
    <x v="1"/>
    <n v="6"/>
    <s v="50+"/>
  </r>
  <r>
    <x v="803"/>
    <x v="865"/>
    <x v="13"/>
    <x v="1"/>
    <x v="0"/>
    <x v="0"/>
    <s v="Latino"/>
    <n v="25"/>
    <d v="2020-07-12T00:00:00"/>
    <n v="56565"/>
    <n v="0"/>
    <x v="2"/>
    <s v="Sao Paulo"/>
    <x v="1"/>
    <n v="0"/>
    <n v="56565"/>
    <x v="1"/>
    <n v="5"/>
    <s v="Under 30"/>
  </r>
  <r>
    <x v="804"/>
    <x v="866"/>
    <x v="16"/>
    <x v="4"/>
    <x v="1"/>
    <x v="0"/>
    <s v="Caucasian"/>
    <n v="61"/>
    <d v="2011-05-20T00:00:00"/>
    <n v="64937"/>
    <n v="0"/>
    <x v="0"/>
    <s v="Phoenix"/>
    <x v="1"/>
    <n v="0"/>
    <n v="64937"/>
    <x v="1"/>
    <n v="14"/>
    <s v="50+"/>
  </r>
  <r>
    <x v="805"/>
    <x v="867"/>
    <x v="6"/>
    <x v="6"/>
    <x v="1"/>
    <x v="0"/>
    <s v="Latino"/>
    <n v="65"/>
    <d v="2006-09-07T00:00:00"/>
    <n v="127626"/>
    <n v="0.1"/>
    <x v="0"/>
    <s v="Miami"/>
    <x v="1"/>
    <n v="12762.6"/>
    <n v="140388.6"/>
    <x v="1"/>
    <n v="19"/>
    <s v="50+"/>
  </r>
  <r>
    <x v="806"/>
    <x v="868"/>
    <x v="23"/>
    <x v="0"/>
    <x v="3"/>
    <x v="1"/>
    <s v="Black"/>
    <n v="61"/>
    <d v="2004-01-27T00:00:00"/>
    <n v="88478"/>
    <n v="0"/>
    <x v="0"/>
    <s v="Austin"/>
    <x v="1"/>
    <n v="0"/>
    <n v="88478"/>
    <x v="1"/>
    <n v="22"/>
    <s v="50+"/>
  </r>
  <r>
    <x v="807"/>
    <x v="869"/>
    <x v="3"/>
    <x v="0"/>
    <x v="2"/>
    <x v="0"/>
    <s v="Asian"/>
    <n v="48"/>
    <d v="2014-04-20T00:00:00"/>
    <n v="91679"/>
    <n v="7.0000000000000007E-2"/>
    <x v="1"/>
    <s v="Chongqing"/>
    <x v="1"/>
    <n v="6417.5300000000007"/>
    <n v="98096.53"/>
    <x v="1"/>
    <n v="11"/>
    <s v="41-50"/>
  </r>
  <r>
    <x v="808"/>
    <x v="870"/>
    <x v="2"/>
    <x v="2"/>
    <x v="3"/>
    <x v="1"/>
    <s v="Asian"/>
    <n v="58"/>
    <d v="1992-03-19T00:00:00"/>
    <n v="199848"/>
    <n v="0.16"/>
    <x v="1"/>
    <s v="Chongqing"/>
    <x v="1"/>
    <n v="31975.68"/>
    <n v="231823.68"/>
    <x v="1"/>
    <n v="33"/>
    <s v="50+"/>
  </r>
  <r>
    <x v="809"/>
    <x v="871"/>
    <x v="24"/>
    <x v="0"/>
    <x v="1"/>
    <x v="1"/>
    <s v="Asian"/>
    <n v="34"/>
    <d v="2018-11-10T00:00:00"/>
    <n v="61944"/>
    <n v="0"/>
    <x v="1"/>
    <s v="Shanghai"/>
    <x v="1"/>
    <n v="0"/>
    <n v="61944"/>
    <x v="1"/>
    <n v="7"/>
    <s v="30-40"/>
  </r>
  <r>
    <x v="810"/>
    <x v="872"/>
    <x v="0"/>
    <x v="2"/>
    <x v="2"/>
    <x v="0"/>
    <s v="Black"/>
    <n v="30"/>
    <d v="2017-08-13T00:00:00"/>
    <n v="154624"/>
    <n v="0.15"/>
    <x v="0"/>
    <s v="Austin"/>
    <x v="1"/>
    <n v="23193.599999999999"/>
    <n v="177817.60000000001"/>
    <x v="1"/>
    <n v="8"/>
    <s v="30-40"/>
  </r>
  <r>
    <x v="811"/>
    <x v="873"/>
    <x v="4"/>
    <x v="3"/>
    <x v="0"/>
    <x v="1"/>
    <s v="Asian"/>
    <n v="50"/>
    <d v="2009-10-23T00:00:00"/>
    <n v="79447"/>
    <n v="0"/>
    <x v="1"/>
    <s v="Shanghai"/>
    <x v="1"/>
    <n v="0"/>
    <n v="79447"/>
    <x v="1"/>
    <n v="16"/>
    <s v="50+"/>
  </r>
  <r>
    <x v="812"/>
    <x v="874"/>
    <x v="4"/>
    <x v="2"/>
    <x v="1"/>
    <x v="1"/>
    <s v="Latino"/>
    <n v="51"/>
    <d v="1998-02-26T00:00:00"/>
    <n v="71111"/>
    <n v="0"/>
    <x v="2"/>
    <s v="Rio de Janerio"/>
    <x v="1"/>
    <n v="0"/>
    <n v="71111"/>
    <x v="1"/>
    <n v="27"/>
    <s v="50+"/>
  </r>
  <r>
    <x v="813"/>
    <x v="875"/>
    <x v="0"/>
    <x v="2"/>
    <x v="0"/>
    <x v="1"/>
    <s v="Caucasian"/>
    <n v="53"/>
    <d v="2014-10-19T00:00:00"/>
    <n v="159538"/>
    <n v="0.11"/>
    <x v="0"/>
    <s v="Miami"/>
    <x v="1"/>
    <n v="17549.18"/>
    <n v="177087.18"/>
    <x v="1"/>
    <n v="11"/>
    <s v="50+"/>
  </r>
  <r>
    <x v="632"/>
    <x v="876"/>
    <x v="8"/>
    <x v="5"/>
    <x v="3"/>
    <x v="0"/>
    <s v="Latino"/>
    <n v="47"/>
    <d v="2018-10-02T00:00:00"/>
    <n v="111404"/>
    <n v="0"/>
    <x v="2"/>
    <s v="Rio de Janerio"/>
    <x v="1"/>
    <n v="0"/>
    <n v="111404"/>
    <x v="1"/>
    <n v="7"/>
    <s v="41-50"/>
  </r>
  <r>
    <x v="814"/>
    <x v="877"/>
    <x v="2"/>
    <x v="6"/>
    <x v="2"/>
    <x v="1"/>
    <s v="Caucasian"/>
    <n v="25"/>
    <d v="2020-08-15T00:00:00"/>
    <n v="172007"/>
    <n v="0.26"/>
    <x v="0"/>
    <s v="Miami"/>
    <x v="1"/>
    <n v="44721.82"/>
    <n v="216728.82"/>
    <x v="1"/>
    <n v="5"/>
    <s v="Under 30"/>
  </r>
  <r>
    <x v="815"/>
    <x v="878"/>
    <x v="9"/>
    <x v="6"/>
    <x v="1"/>
    <x v="0"/>
    <s v="Latino"/>
    <n v="37"/>
    <d v="2011-07-21T00:00:00"/>
    <n v="219474"/>
    <n v="0.36"/>
    <x v="2"/>
    <s v="Manaus"/>
    <x v="1"/>
    <n v="79010.64"/>
    <n v="298484.64"/>
    <x v="1"/>
    <n v="14"/>
    <s v="30-40"/>
  </r>
  <r>
    <x v="816"/>
    <x v="879"/>
    <x v="2"/>
    <x v="1"/>
    <x v="3"/>
    <x v="1"/>
    <s v="Caucasian"/>
    <n v="41"/>
    <d v="2019-05-15T00:00:00"/>
    <n v="174415"/>
    <n v="0.23"/>
    <x v="0"/>
    <s v="Miami"/>
    <x v="1"/>
    <n v="40115.450000000004"/>
    <n v="214530.45"/>
    <x v="1"/>
    <n v="6"/>
    <s v="41-50"/>
  </r>
  <r>
    <x v="817"/>
    <x v="880"/>
    <x v="23"/>
    <x v="0"/>
    <x v="2"/>
    <x v="0"/>
    <s v="Latino"/>
    <n v="36"/>
    <d v="2021-01-21T00:00:00"/>
    <n v="90333"/>
    <n v="0"/>
    <x v="2"/>
    <s v="Rio de Janerio"/>
    <x v="1"/>
    <n v="0"/>
    <n v="90333"/>
    <x v="1"/>
    <n v="5"/>
    <s v="30-40"/>
  </r>
  <r>
    <x v="818"/>
    <x v="881"/>
    <x v="16"/>
    <x v="4"/>
    <x v="2"/>
    <x v="1"/>
    <s v="Asian"/>
    <n v="25"/>
    <d v="2021-01-21T00:00:00"/>
    <n v="67299"/>
    <n v="0"/>
    <x v="0"/>
    <s v="Phoenix"/>
    <x v="1"/>
    <n v="0"/>
    <n v="67299"/>
    <x v="1"/>
    <n v="5"/>
    <s v="Under 30"/>
  </r>
  <r>
    <x v="819"/>
    <x v="882"/>
    <x v="28"/>
    <x v="0"/>
    <x v="0"/>
    <x v="0"/>
    <s v="Caucasian"/>
    <n v="52"/>
    <d v="2005-02-23T00:00:00"/>
    <n v="45286"/>
    <n v="0"/>
    <x v="0"/>
    <s v="Chicago"/>
    <x v="1"/>
    <n v="0"/>
    <n v="45286"/>
    <x v="1"/>
    <n v="20"/>
    <s v="50+"/>
  </r>
  <r>
    <x v="529"/>
    <x v="883"/>
    <x v="2"/>
    <x v="6"/>
    <x v="0"/>
    <x v="1"/>
    <s v="Caucasian"/>
    <n v="48"/>
    <d v="2007-08-08T00:00:00"/>
    <n v="194723"/>
    <n v="0.25"/>
    <x v="0"/>
    <s v="Phoenix"/>
    <x v="1"/>
    <n v="48680.75"/>
    <n v="243403.75"/>
    <x v="1"/>
    <n v="18"/>
    <s v="41-50"/>
  </r>
  <r>
    <x v="820"/>
    <x v="884"/>
    <x v="6"/>
    <x v="2"/>
    <x v="0"/>
    <x v="1"/>
    <s v="Asian"/>
    <n v="49"/>
    <d v="2012-08-10T00:00:00"/>
    <n v="109850"/>
    <n v="7.0000000000000007E-2"/>
    <x v="1"/>
    <s v="Beijing"/>
    <x v="74"/>
    <n v="7689.5000000000009"/>
    <n v="117539.5"/>
    <x v="0"/>
    <n v="7"/>
    <s v="41-50"/>
  </r>
  <r>
    <x v="821"/>
    <x v="885"/>
    <x v="20"/>
    <x v="4"/>
    <x v="0"/>
    <x v="0"/>
    <s v="Latino"/>
    <n v="62"/>
    <d v="2014-04-19T00:00:00"/>
    <n v="45295"/>
    <n v="0"/>
    <x v="2"/>
    <s v="Sao Paulo"/>
    <x v="1"/>
    <n v="0"/>
    <n v="45295"/>
    <x v="1"/>
    <n v="11"/>
    <s v="50+"/>
  </r>
  <r>
    <x v="822"/>
    <x v="886"/>
    <x v="32"/>
    <x v="0"/>
    <x v="1"/>
    <x v="0"/>
    <s v="Caucasian"/>
    <n v="36"/>
    <d v="2010-08-23T00:00:00"/>
    <n v="61310"/>
    <n v="0"/>
    <x v="0"/>
    <s v="Phoenix"/>
    <x v="1"/>
    <n v="0"/>
    <n v="61310"/>
    <x v="1"/>
    <n v="15"/>
    <s v="30-40"/>
  </r>
  <r>
    <x v="164"/>
    <x v="765"/>
    <x v="27"/>
    <x v="0"/>
    <x v="0"/>
    <x v="1"/>
    <s v="Asian"/>
    <n v="55"/>
    <d v="2016-11-09T00:00:00"/>
    <n v="87851"/>
    <n v="0"/>
    <x v="1"/>
    <s v="Chongqing"/>
    <x v="1"/>
    <n v="0"/>
    <n v="87851"/>
    <x v="1"/>
    <n v="9"/>
    <s v="50+"/>
  </r>
  <r>
    <x v="823"/>
    <x v="887"/>
    <x v="20"/>
    <x v="4"/>
    <x v="2"/>
    <x v="0"/>
    <s v="Asian"/>
    <n v="31"/>
    <d v="2018-03-12T00:00:00"/>
    <n v="47913"/>
    <n v="0"/>
    <x v="0"/>
    <s v="Seattle"/>
    <x v="1"/>
    <n v="0"/>
    <n v="47913"/>
    <x v="1"/>
    <n v="7"/>
    <s v="30-40"/>
  </r>
  <r>
    <x v="824"/>
    <x v="888"/>
    <x v="20"/>
    <x v="4"/>
    <x v="2"/>
    <x v="0"/>
    <s v="Asian"/>
    <n v="53"/>
    <d v="2017-09-07T00:00:00"/>
    <n v="46727"/>
    <n v="0"/>
    <x v="0"/>
    <s v="Columbus"/>
    <x v="75"/>
    <n v="0"/>
    <n v="46727"/>
    <x v="0"/>
    <n v="0"/>
    <s v="50+"/>
  </r>
  <r>
    <x v="825"/>
    <x v="889"/>
    <x v="0"/>
    <x v="4"/>
    <x v="2"/>
    <x v="1"/>
    <s v="Asian"/>
    <n v="27"/>
    <d v="2021-04-16T00:00:00"/>
    <n v="133400"/>
    <n v="0.11"/>
    <x v="0"/>
    <s v="Phoenix"/>
    <x v="1"/>
    <n v="14674"/>
    <n v="148074"/>
    <x v="1"/>
    <n v="4"/>
    <s v="Under 30"/>
  </r>
  <r>
    <x v="826"/>
    <x v="890"/>
    <x v="29"/>
    <x v="0"/>
    <x v="2"/>
    <x v="0"/>
    <s v="Asian"/>
    <n v="39"/>
    <d v="2020-04-22T00:00:00"/>
    <n v="90535"/>
    <n v="0"/>
    <x v="0"/>
    <s v="Miami"/>
    <x v="1"/>
    <n v="0"/>
    <n v="90535"/>
    <x v="1"/>
    <n v="5"/>
    <s v="30-40"/>
  </r>
  <r>
    <x v="827"/>
    <x v="891"/>
    <x v="4"/>
    <x v="6"/>
    <x v="2"/>
    <x v="1"/>
    <s v="Asian"/>
    <n v="55"/>
    <d v="2006-07-11T00:00:00"/>
    <n v="93343"/>
    <n v="0"/>
    <x v="1"/>
    <s v="Chongqing"/>
    <x v="1"/>
    <n v="0"/>
    <n v="93343"/>
    <x v="1"/>
    <n v="19"/>
    <s v="50+"/>
  </r>
  <r>
    <x v="825"/>
    <x v="892"/>
    <x v="16"/>
    <x v="4"/>
    <x v="3"/>
    <x v="0"/>
    <s v="Asian"/>
    <n v="44"/>
    <d v="2006-02-23T00:00:00"/>
    <n v="63705"/>
    <n v="0"/>
    <x v="0"/>
    <s v="Miami"/>
    <x v="1"/>
    <n v="0"/>
    <n v="63705"/>
    <x v="1"/>
    <n v="19"/>
    <s v="41-50"/>
  </r>
  <r>
    <x v="828"/>
    <x v="893"/>
    <x v="9"/>
    <x v="2"/>
    <x v="3"/>
    <x v="1"/>
    <s v="Latino"/>
    <n v="48"/>
    <d v="2000-02-28T00:00:00"/>
    <n v="258081"/>
    <n v="0.3"/>
    <x v="0"/>
    <s v="Chicago"/>
    <x v="1"/>
    <n v="77424.3"/>
    <n v="335505.3"/>
    <x v="1"/>
    <n v="25"/>
    <s v="41-50"/>
  </r>
  <r>
    <x v="829"/>
    <x v="894"/>
    <x v="20"/>
    <x v="4"/>
    <x v="0"/>
    <x v="1"/>
    <s v="Black"/>
    <n v="48"/>
    <d v="2020-09-21T00:00:00"/>
    <n v="54654"/>
    <n v="0"/>
    <x v="0"/>
    <s v="Phoenix"/>
    <x v="1"/>
    <n v="0"/>
    <n v="54654"/>
    <x v="1"/>
    <n v="5"/>
    <s v="41-50"/>
  </r>
  <r>
    <x v="830"/>
    <x v="895"/>
    <x v="7"/>
    <x v="2"/>
    <x v="1"/>
    <x v="1"/>
    <s v="Caucasian"/>
    <n v="54"/>
    <d v="1998-09-24T00:00:00"/>
    <n v="58006"/>
    <n v="0"/>
    <x v="0"/>
    <s v="Seattle"/>
    <x v="1"/>
    <n v="0"/>
    <n v="58006"/>
    <x v="1"/>
    <n v="27"/>
    <s v="50+"/>
  </r>
  <r>
    <x v="232"/>
    <x v="358"/>
    <x v="0"/>
    <x v="1"/>
    <x v="1"/>
    <x v="0"/>
    <s v="Asian"/>
    <n v="42"/>
    <d v="2011-03-18T00:00:00"/>
    <n v="150034"/>
    <n v="0.12"/>
    <x v="1"/>
    <s v="Beijing"/>
    <x v="1"/>
    <n v="18004.079999999998"/>
    <n v="168038.08"/>
    <x v="1"/>
    <n v="14"/>
    <s v="41-50"/>
  </r>
  <r>
    <x v="792"/>
    <x v="896"/>
    <x v="2"/>
    <x v="4"/>
    <x v="2"/>
    <x v="0"/>
    <s v="Asian"/>
    <n v="38"/>
    <d v="2007-05-30T00:00:00"/>
    <n v="198562"/>
    <n v="0.22"/>
    <x v="0"/>
    <s v="Seattle"/>
    <x v="1"/>
    <n v="43683.64"/>
    <n v="242245.64"/>
    <x v="1"/>
    <n v="18"/>
    <s v="30-40"/>
  </r>
  <r>
    <x v="831"/>
    <x v="897"/>
    <x v="5"/>
    <x v="2"/>
    <x v="0"/>
    <x v="0"/>
    <s v="Black"/>
    <n v="40"/>
    <d v="2009-05-27T00:00:00"/>
    <n v="62411"/>
    <n v="0"/>
    <x v="0"/>
    <s v="Miami"/>
    <x v="76"/>
    <n v="0"/>
    <n v="62411"/>
    <x v="0"/>
    <n v="12"/>
    <s v="30-40"/>
  </r>
  <r>
    <x v="832"/>
    <x v="898"/>
    <x v="11"/>
    <x v="5"/>
    <x v="0"/>
    <x v="1"/>
    <s v="Asian"/>
    <n v="57"/>
    <d v="1992-01-09T00:00:00"/>
    <n v="111299"/>
    <n v="0.12"/>
    <x v="0"/>
    <s v="Miami"/>
    <x v="1"/>
    <n v="13355.88"/>
    <n v="124654.88"/>
    <x v="1"/>
    <n v="34"/>
    <s v="50+"/>
  </r>
  <r>
    <x v="724"/>
    <x v="899"/>
    <x v="7"/>
    <x v="6"/>
    <x v="0"/>
    <x v="0"/>
    <s v="Caucasian"/>
    <n v="43"/>
    <d v="2019-07-13T00:00:00"/>
    <n v="41545"/>
    <n v="0"/>
    <x v="0"/>
    <s v="Miami"/>
    <x v="1"/>
    <n v="0"/>
    <n v="41545"/>
    <x v="1"/>
    <n v="6"/>
    <s v="41-50"/>
  </r>
  <r>
    <x v="833"/>
    <x v="900"/>
    <x v="24"/>
    <x v="0"/>
    <x v="1"/>
    <x v="1"/>
    <s v="Latino"/>
    <n v="26"/>
    <d v="2019-04-14T00:00:00"/>
    <n v="74467"/>
    <n v="0"/>
    <x v="0"/>
    <s v="Columbus"/>
    <x v="77"/>
    <n v="0"/>
    <n v="74467"/>
    <x v="0"/>
    <n v="1"/>
    <s v="Under 30"/>
  </r>
  <r>
    <x v="789"/>
    <x v="901"/>
    <x v="6"/>
    <x v="3"/>
    <x v="0"/>
    <x v="1"/>
    <s v="Caucasian"/>
    <n v="44"/>
    <d v="2002-02-09T00:00:00"/>
    <n v="117545"/>
    <n v="0.06"/>
    <x v="0"/>
    <s v="Phoenix"/>
    <x v="1"/>
    <n v="7052.7"/>
    <n v="124597.7"/>
    <x v="1"/>
    <n v="23"/>
    <s v="41-50"/>
  </r>
  <r>
    <x v="834"/>
    <x v="902"/>
    <x v="6"/>
    <x v="4"/>
    <x v="2"/>
    <x v="1"/>
    <s v="Asian"/>
    <n v="50"/>
    <d v="2012-03-15T00:00:00"/>
    <n v="117226"/>
    <n v="0.08"/>
    <x v="0"/>
    <s v="Phoenix"/>
    <x v="1"/>
    <n v="9378.08"/>
    <n v="126604.08"/>
    <x v="1"/>
    <n v="13"/>
    <s v="50+"/>
  </r>
  <r>
    <x v="835"/>
    <x v="903"/>
    <x v="7"/>
    <x v="3"/>
    <x v="3"/>
    <x v="0"/>
    <s v="Latino"/>
    <n v="26"/>
    <d v="2019-01-24T00:00:00"/>
    <n v="55767"/>
    <n v="0"/>
    <x v="0"/>
    <s v="Phoenix"/>
    <x v="1"/>
    <n v="0"/>
    <n v="55767"/>
    <x v="1"/>
    <n v="7"/>
    <s v="Under 30"/>
  </r>
  <r>
    <x v="836"/>
    <x v="904"/>
    <x v="13"/>
    <x v="2"/>
    <x v="1"/>
    <x v="0"/>
    <s v="Caucasian"/>
    <n v="29"/>
    <d v="2016-11-17T00:00:00"/>
    <n v="60930"/>
    <n v="0"/>
    <x v="0"/>
    <s v="Austin"/>
    <x v="1"/>
    <n v="0"/>
    <n v="60930"/>
    <x v="1"/>
    <n v="9"/>
    <s v="Under 30"/>
  </r>
  <r>
    <x v="837"/>
    <x v="905"/>
    <x v="2"/>
    <x v="2"/>
    <x v="2"/>
    <x v="0"/>
    <s v="Latino"/>
    <n v="27"/>
    <d v="2018-10-24T00:00:00"/>
    <n v="154973"/>
    <n v="0.28999999999999998"/>
    <x v="2"/>
    <s v="Sao Paulo"/>
    <x v="1"/>
    <n v="44942.17"/>
    <n v="199915.16999999998"/>
    <x v="1"/>
    <n v="7"/>
    <s v="Under 30"/>
  </r>
  <r>
    <x v="838"/>
    <x v="906"/>
    <x v="21"/>
    <x v="0"/>
    <x v="1"/>
    <x v="0"/>
    <s v="Asian"/>
    <n v="33"/>
    <d v="2017-10-21T00:00:00"/>
    <n v="69332"/>
    <n v="0"/>
    <x v="0"/>
    <s v="Columbus"/>
    <x v="1"/>
    <n v="0"/>
    <n v="69332"/>
    <x v="1"/>
    <n v="8"/>
    <s v="30-40"/>
  </r>
  <r>
    <x v="839"/>
    <x v="907"/>
    <x v="8"/>
    <x v="5"/>
    <x v="0"/>
    <x v="0"/>
    <s v="Asian"/>
    <n v="59"/>
    <d v="2001-04-09T00:00:00"/>
    <n v="119699"/>
    <n v="0"/>
    <x v="1"/>
    <s v="Shanghai"/>
    <x v="1"/>
    <n v="0"/>
    <n v="119699"/>
    <x v="1"/>
    <n v="24"/>
    <s v="50+"/>
  </r>
  <r>
    <x v="840"/>
    <x v="908"/>
    <x v="2"/>
    <x v="4"/>
    <x v="2"/>
    <x v="0"/>
    <s v="Latino"/>
    <n v="40"/>
    <d v="2020-09-20T00:00:00"/>
    <n v="198176"/>
    <n v="0.17"/>
    <x v="2"/>
    <s v="Manaus"/>
    <x v="1"/>
    <n v="33689.920000000006"/>
    <n v="231865.92"/>
    <x v="1"/>
    <n v="5"/>
    <s v="30-40"/>
  </r>
  <r>
    <x v="841"/>
    <x v="909"/>
    <x v="13"/>
    <x v="1"/>
    <x v="0"/>
    <x v="0"/>
    <s v="Latino"/>
    <n v="45"/>
    <d v="2012-08-06T00:00:00"/>
    <n v="58586"/>
    <n v="0"/>
    <x v="2"/>
    <s v="Sao Paulo"/>
    <x v="1"/>
    <n v="0"/>
    <n v="58586"/>
    <x v="1"/>
    <n v="13"/>
    <s v="41-50"/>
  </r>
  <r>
    <x v="842"/>
    <x v="910"/>
    <x v="26"/>
    <x v="2"/>
    <x v="3"/>
    <x v="1"/>
    <s v="Asian"/>
    <n v="38"/>
    <d v="2011-11-28T00:00:00"/>
    <n v="74010"/>
    <n v="0"/>
    <x v="0"/>
    <s v="Chicago"/>
    <x v="1"/>
    <n v="0"/>
    <n v="74010"/>
    <x v="1"/>
    <n v="14"/>
    <s v="30-40"/>
  </r>
  <r>
    <x v="843"/>
    <x v="911"/>
    <x v="26"/>
    <x v="2"/>
    <x v="2"/>
    <x v="1"/>
    <s v="Caucasian"/>
    <n v="32"/>
    <d v="2020-02-03T00:00:00"/>
    <n v="96598"/>
    <n v="0"/>
    <x v="0"/>
    <s v="Phoenix"/>
    <x v="1"/>
    <n v="0"/>
    <n v="96598"/>
    <x v="1"/>
    <n v="5"/>
    <s v="30-40"/>
  </r>
  <r>
    <x v="665"/>
    <x v="912"/>
    <x v="6"/>
    <x v="2"/>
    <x v="2"/>
    <x v="0"/>
    <s v="Asian"/>
    <n v="64"/>
    <d v="2003-05-21T00:00:00"/>
    <n v="106444"/>
    <n v="0.05"/>
    <x v="0"/>
    <s v="Phoenix"/>
    <x v="1"/>
    <n v="5322.2000000000007"/>
    <n v="111766.2"/>
    <x v="1"/>
    <n v="22"/>
    <s v="50+"/>
  </r>
  <r>
    <x v="844"/>
    <x v="913"/>
    <x v="2"/>
    <x v="1"/>
    <x v="3"/>
    <x v="1"/>
    <s v="Latino"/>
    <n v="31"/>
    <d v="2017-08-10T00:00:00"/>
    <n v="156931"/>
    <n v="0.28000000000000003"/>
    <x v="0"/>
    <s v="Seattle"/>
    <x v="1"/>
    <n v="43940.680000000008"/>
    <n v="200871.67999999999"/>
    <x v="1"/>
    <n v="8"/>
    <s v="30-40"/>
  </r>
  <r>
    <x v="845"/>
    <x v="914"/>
    <x v="2"/>
    <x v="6"/>
    <x v="0"/>
    <x v="0"/>
    <s v="Latino"/>
    <n v="43"/>
    <d v="2014-10-16T00:00:00"/>
    <n v="171360"/>
    <n v="0.23"/>
    <x v="2"/>
    <s v="Manaus"/>
    <x v="1"/>
    <n v="39412.800000000003"/>
    <n v="210772.8"/>
    <x v="1"/>
    <n v="11"/>
    <s v="41-50"/>
  </r>
  <r>
    <x v="846"/>
    <x v="915"/>
    <x v="14"/>
    <x v="0"/>
    <x v="0"/>
    <x v="0"/>
    <s v="Caucasian"/>
    <n v="45"/>
    <d v="2009-04-05T00:00:00"/>
    <n v="64505"/>
    <n v="0"/>
    <x v="0"/>
    <s v="Miami"/>
    <x v="1"/>
    <n v="0"/>
    <n v="64505"/>
    <x v="1"/>
    <n v="16"/>
    <s v="41-50"/>
  </r>
  <r>
    <x v="847"/>
    <x v="916"/>
    <x v="11"/>
    <x v="5"/>
    <x v="2"/>
    <x v="1"/>
    <s v="Latino"/>
    <n v="32"/>
    <d v="2021-10-09T00:00:00"/>
    <n v="102298"/>
    <n v="0.13"/>
    <x v="2"/>
    <s v="Rio de Janerio"/>
    <x v="1"/>
    <n v="13298.74"/>
    <n v="115596.74"/>
    <x v="1"/>
    <n v="4"/>
    <s v="30-40"/>
  </r>
  <r>
    <x v="848"/>
    <x v="917"/>
    <x v="0"/>
    <x v="2"/>
    <x v="3"/>
    <x v="0"/>
    <s v="Latino"/>
    <n v="27"/>
    <d v="2019-09-13T00:00:00"/>
    <n v="133297"/>
    <n v="0.13"/>
    <x v="2"/>
    <s v="Rio de Janerio"/>
    <x v="1"/>
    <n v="17328.61"/>
    <n v="150625.60999999999"/>
    <x v="1"/>
    <n v="6"/>
    <s v="Under 30"/>
  </r>
  <r>
    <x v="849"/>
    <x v="918"/>
    <x v="0"/>
    <x v="4"/>
    <x v="2"/>
    <x v="0"/>
    <s v="Black"/>
    <n v="25"/>
    <d v="2021-03-17T00:00:00"/>
    <n v="155080"/>
    <n v="0.1"/>
    <x v="0"/>
    <s v="Austin"/>
    <x v="1"/>
    <n v="15508"/>
    <n v="170588"/>
    <x v="1"/>
    <n v="4"/>
    <s v="Under 30"/>
  </r>
  <r>
    <x v="850"/>
    <x v="919"/>
    <x v="4"/>
    <x v="2"/>
    <x v="2"/>
    <x v="1"/>
    <s v="Caucasian"/>
    <n v="31"/>
    <d v="2018-08-13T00:00:00"/>
    <n v="81828"/>
    <n v="0"/>
    <x v="0"/>
    <s v="Miami"/>
    <x v="1"/>
    <n v="0"/>
    <n v="81828"/>
    <x v="1"/>
    <n v="7"/>
    <s v="30-40"/>
  </r>
  <r>
    <x v="851"/>
    <x v="920"/>
    <x v="0"/>
    <x v="6"/>
    <x v="3"/>
    <x v="0"/>
    <s v="Asian"/>
    <n v="65"/>
    <d v="2000-10-24T00:00:00"/>
    <n v="149417"/>
    <n v="0.13"/>
    <x v="1"/>
    <s v="Chengdu"/>
    <x v="1"/>
    <n v="19424.21"/>
    <n v="168841.21"/>
    <x v="1"/>
    <n v="25"/>
    <s v="50+"/>
  </r>
  <r>
    <x v="852"/>
    <x v="921"/>
    <x v="6"/>
    <x v="2"/>
    <x v="3"/>
    <x v="1"/>
    <s v="Latino"/>
    <n v="50"/>
    <d v="2012-04-25T00:00:00"/>
    <n v="113269"/>
    <n v="0.09"/>
    <x v="2"/>
    <s v="Sao Paulo"/>
    <x v="1"/>
    <n v="10194.209999999999"/>
    <n v="123463.20999999999"/>
    <x v="1"/>
    <n v="13"/>
    <s v="50+"/>
  </r>
  <r>
    <x v="853"/>
    <x v="922"/>
    <x v="0"/>
    <x v="0"/>
    <x v="1"/>
    <x v="1"/>
    <s v="Asian"/>
    <n v="46"/>
    <d v="2017-12-16T00:00:00"/>
    <n v="136716"/>
    <n v="0.12"/>
    <x v="0"/>
    <s v="Austin"/>
    <x v="1"/>
    <n v="16405.919999999998"/>
    <n v="153121.91999999998"/>
    <x v="1"/>
    <n v="8"/>
    <s v="41-50"/>
  </r>
  <r>
    <x v="854"/>
    <x v="923"/>
    <x v="0"/>
    <x v="2"/>
    <x v="2"/>
    <x v="1"/>
    <s v="Latino"/>
    <n v="54"/>
    <d v="2011-10-20T00:00:00"/>
    <n v="122644"/>
    <n v="0.12"/>
    <x v="0"/>
    <s v="Austin"/>
    <x v="1"/>
    <n v="14717.279999999999"/>
    <n v="137361.28"/>
    <x v="1"/>
    <n v="14"/>
    <s v="50+"/>
  </r>
  <r>
    <x v="855"/>
    <x v="924"/>
    <x v="6"/>
    <x v="2"/>
    <x v="0"/>
    <x v="0"/>
    <s v="Asian"/>
    <n v="50"/>
    <d v="2000-05-07T00:00:00"/>
    <n v="106428"/>
    <n v="7.0000000000000007E-2"/>
    <x v="0"/>
    <s v="Chicago"/>
    <x v="1"/>
    <n v="7449.9600000000009"/>
    <n v="113877.96"/>
    <x v="1"/>
    <n v="25"/>
    <s v="50+"/>
  </r>
  <r>
    <x v="856"/>
    <x v="925"/>
    <x v="9"/>
    <x v="1"/>
    <x v="3"/>
    <x v="1"/>
    <s v="Caucasian"/>
    <n v="36"/>
    <d v="2009-01-17T00:00:00"/>
    <n v="238236"/>
    <n v="0.31"/>
    <x v="0"/>
    <s v="Seattle"/>
    <x v="1"/>
    <n v="73853.16"/>
    <n v="312089.16000000003"/>
    <x v="1"/>
    <n v="17"/>
    <s v="30-40"/>
  </r>
  <r>
    <x v="857"/>
    <x v="926"/>
    <x v="2"/>
    <x v="1"/>
    <x v="3"/>
    <x v="0"/>
    <s v="Caucasian"/>
    <n v="64"/>
    <d v="2012-12-21T00:00:00"/>
    <n v="153253"/>
    <n v="0.24"/>
    <x v="0"/>
    <s v="Austin"/>
    <x v="1"/>
    <n v="36780.720000000001"/>
    <n v="190033.72"/>
    <x v="1"/>
    <n v="13"/>
    <s v="50+"/>
  </r>
  <r>
    <x v="858"/>
    <x v="927"/>
    <x v="6"/>
    <x v="3"/>
    <x v="1"/>
    <x v="0"/>
    <s v="Caucasian"/>
    <n v="34"/>
    <d v="2014-10-03T00:00:00"/>
    <n v="103707"/>
    <n v="0.09"/>
    <x v="0"/>
    <s v="Columbus"/>
    <x v="1"/>
    <n v="9333.6299999999992"/>
    <n v="113040.63"/>
    <x v="1"/>
    <n v="11"/>
    <s v="30-40"/>
  </r>
  <r>
    <x v="859"/>
    <x v="928"/>
    <x v="9"/>
    <x v="3"/>
    <x v="2"/>
    <x v="0"/>
    <s v="Caucasian"/>
    <n v="41"/>
    <d v="2012-08-09T00:00:00"/>
    <n v="245360"/>
    <n v="0.37"/>
    <x v="0"/>
    <s v="Austin"/>
    <x v="1"/>
    <n v="90783.2"/>
    <n v="336143.2"/>
    <x v="1"/>
    <n v="13"/>
    <s v="41-50"/>
  </r>
  <r>
    <x v="860"/>
    <x v="929"/>
    <x v="25"/>
    <x v="5"/>
    <x v="2"/>
    <x v="1"/>
    <s v="Asian"/>
    <n v="25"/>
    <d v="2021-07-08T00:00:00"/>
    <n v="67275"/>
    <n v="0"/>
    <x v="0"/>
    <s v="Columbus"/>
    <x v="1"/>
    <n v="0"/>
    <n v="67275"/>
    <x v="1"/>
    <n v="4"/>
    <s v="Under 30"/>
  </r>
  <r>
    <x v="861"/>
    <x v="930"/>
    <x v="6"/>
    <x v="0"/>
    <x v="1"/>
    <x v="1"/>
    <s v="Asian"/>
    <n v="45"/>
    <d v="2015-01-22T00:00:00"/>
    <n v="101288"/>
    <n v="0.1"/>
    <x v="0"/>
    <s v="Phoenix"/>
    <x v="1"/>
    <n v="10128.800000000001"/>
    <n v="111416.8"/>
    <x v="1"/>
    <n v="11"/>
    <s v="41-50"/>
  </r>
  <r>
    <x v="93"/>
    <x v="931"/>
    <x v="2"/>
    <x v="4"/>
    <x v="2"/>
    <x v="0"/>
    <s v="Latino"/>
    <n v="52"/>
    <d v="1993-08-28T00:00:00"/>
    <n v="177443"/>
    <n v="0.25"/>
    <x v="2"/>
    <s v="Sao Paulo"/>
    <x v="1"/>
    <n v="44360.75"/>
    <n v="221803.75"/>
    <x v="1"/>
    <n v="32"/>
    <s v="50+"/>
  </r>
  <r>
    <x v="862"/>
    <x v="932"/>
    <x v="21"/>
    <x v="0"/>
    <x v="1"/>
    <x v="0"/>
    <s v="Black"/>
    <n v="37"/>
    <d v="2016-04-27T00:00:00"/>
    <n v="91400"/>
    <n v="0"/>
    <x v="0"/>
    <s v="Chicago"/>
    <x v="1"/>
    <n v="0"/>
    <n v="91400"/>
    <x v="1"/>
    <n v="9"/>
    <s v="30-40"/>
  </r>
  <r>
    <x v="863"/>
    <x v="933"/>
    <x v="9"/>
    <x v="4"/>
    <x v="3"/>
    <x v="1"/>
    <s v="Latino"/>
    <n v="44"/>
    <d v="2007-09-10T00:00:00"/>
    <n v="181247"/>
    <n v="0.33"/>
    <x v="2"/>
    <s v="Sao Paulo"/>
    <x v="1"/>
    <n v="59811.51"/>
    <n v="241058.51"/>
    <x v="1"/>
    <n v="18"/>
    <s v="41-50"/>
  </r>
  <r>
    <x v="864"/>
    <x v="934"/>
    <x v="0"/>
    <x v="4"/>
    <x v="0"/>
    <x v="1"/>
    <s v="Black"/>
    <n v="42"/>
    <d v="2003-10-20T00:00:00"/>
    <n v="135558"/>
    <n v="0.14000000000000001"/>
    <x v="0"/>
    <s v="Phoenix"/>
    <x v="1"/>
    <n v="18978.120000000003"/>
    <n v="154536.12"/>
    <x v="1"/>
    <n v="22"/>
    <s v="41-50"/>
  </r>
  <r>
    <x v="865"/>
    <x v="648"/>
    <x v="7"/>
    <x v="3"/>
    <x v="2"/>
    <x v="1"/>
    <s v="Caucasian"/>
    <n v="49"/>
    <d v="2011-12-17T00:00:00"/>
    <n v="56878"/>
    <n v="0"/>
    <x v="0"/>
    <s v="Seattle"/>
    <x v="1"/>
    <n v="0"/>
    <n v="56878"/>
    <x v="1"/>
    <n v="14"/>
    <s v="41-50"/>
  </r>
  <r>
    <x v="866"/>
    <x v="935"/>
    <x v="30"/>
    <x v="0"/>
    <x v="2"/>
    <x v="1"/>
    <s v="Asian"/>
    <n v="34"/>
    <d v="2019-09-20T00:00:00"/>
    <n v="94735"/>
    <n v="0"/>
    <x v="1"/>
    <s v="Beijing"/>
    <x v="1"/>
    <n v="0"/>
    <n v="94735"/>
    <x v="1"/>
    <n v="6"/>
    <s v="30-40"/>
  </r>
  <r>
    <x v="867"/>
    <x v="936"/>
    <x v="13"/>
    <x v="2"/>
    <x v="1"/>
    <x v="1"/>
    <s v="Latino"/>
    <n v="39"/>
    <d v="2007-05-27T00:00:00"/>
    <n v="51234"/>
    <n v="0"/>
    <x v="0"/>
    <s v="Seattle"/>
    <x v="1"/>
    <n v="0"/>
    <n v="51234"/>
    <x v="1"/>
    <n v="18"/>
    <s v="30-40"/>
  </r>
  <r>
    <x v="616"/>
    <x v="937"/>
    <x v="9"/>
    <x v="4"/>
    <x v="2"/>
    <x v="1"/>
    <s v="Asian"/>
    <n v="31"/>
    <d v="2015-01-14T00:00:00"/>
    <n v="230025"/>
    <n v="0.34"/>
    <x v="0"/>
    <s v="Phoenix"/>
    <x v="1"/>
    <n v="78208.5"/>
    <n v="308233.5"/>
    <x v="1"/>
    <n v="11"/>
    <s v="30-40"/>
  </r>
  <r>
    <x v="868"/>
    <x v="938"/>
    <x v="0"/>
    <x v="4"/>
    <x v="2"/>
    <x v="0"/>
    <s v="Asian"/>
    <n v="36"/>
    <d v="2010-03-11T00:00:00"/>
    <n v="134006"/>
    <n v="0.13"/>
    <x v="1"/>
    <s v="Beijing"/>
    <x v="1"/>
    <n v="17420.78"/>
    <n v="151426.78"/>
    <x v="1"/>
    <n v="15"/>
    <s v="30-40"/>
  </r>
  <r>
    <x v="869"/>
    <x v="939"/>
    <x v="6"/>
    <x v="1"/>
    <x v="3"/>
    <x v="0"/>
    <s v="Asian"/>
    <n v="61"/>
    <d v="2009-10-06T00:00:00"/>
    <n v="103096"/>
    <n v="7.0000000000000007E-2"/>
    <x v="1"/>
    <s v="Beijing"/>
    <x v="1"/>
    <n v="7216.72"/>
    <n v="110312.72"/>
    <x v="1"/>
    <n v="16"/>
    <s v="50+"/>
  </r>
  <r>
    <x v="870"/>
    <x v="940"/>
    <x v="7"/>
    <x v="3"/>
    <x v="1"/>
    <x v="1"/>
    <s v="Asian"/>
    <n v="29"/>
    <d v="2016-08-20T00:00:00"/>
    <n v="58703"/>
    <n v="0"/>
    <x v="0"/>
    <s v="Columbus"/>
    <x v="1"/>
    <n v="0"/>
    <n v="58703"/>
    <x v="1"/>
    <n v="9"/>
    <s v="Under 30"/>
  </r>
  <r>
    <x v="871"/>
    <x v="941"/>
    <x v="0"/>
    <x v="0"/>
    <x v="2"/>
    <x v="1"/>
    <s v="Latino"/>
    <n v="33"/>
    <d v="2012-12-24T00:00:00"/>
    <n v="132544"/>
    <n v="0.1"/>
    <x v="2"/>
    <s v="Rio de Janerio"/>
    <x v="1"/>
    <n v="13254.400000000001"/>
    <n v="145798.39999999999"/>
    <x v="1"/>
    <n v="13"/>
    <s v="30-40"/>
  </r>
  <r>
    <x v="872"/>
    <x v="942"/>
    <x v="6"/>
    <x v="1"/>
    <x v="1"/>
    <x v="1"/>
    <s v="Caucasian"/>
    <n v="32"/>
    <d v="2020-04-15T00:00:00"/>
    <n v="126671"/>
    <n v="0.09"/>
    <x v="0"/>
    <s v="Miami"/>
    <x v="1"/>
    <n v="11400.39"/>
    <n v="138071.39000000001"/>
    <x v="1"/>
    <n v="5"/>
    <s v="30-40"/>
  </r>
  <r>
    <x v="873"/>
    <x v="943"/>
    <x v="5"/>
    <x v="2"/>
    <x v="0"/>
    <x v="0"/>
    <s v="Asian"/>
    <n v="33"/>
    <d v="2021-01-22T00:00:00"/>
    <n v="56405"/>
    <n v="0"/>
    <x v="0"/>
    <s v="Chicago"/>
    <x v="1"/>
    <n v="0"/>
    <n v="56405"/>
    <x v="1"/>
    <n v="5"/>
    <s v="30-40"/>
  </r>
  <r>
    <x v="874"/>
    <x v="944"/>
    <x v="3"/>
    <x v="0"/>
    <x v="2"/>
    <x v="0"/>
    <s v="Asian"/>
    <n v="36"/>
    <d v="2014-11-29T00:00:00"/>
    <n v="88730"/>
    <n v="0.08"/>
    <x v="1"/>
    <s v="Chongqing"/>
    <x v="1"/>
    <n v="7098.4000000000005"/>
    <n v="95828.4"/>
    <x v="1"/>
    <n v="11"/>
    <s v="30-40"/>
  </r>
  <r>
    <x v="875"/>
    <x v="945"/>
    <x v="13"/>
    <x v="1"/>
    <x v="1"/>
    <x v="1"/>
    <s v="Latino"/>
    <n v="39"/>
    <d v="2008-09-17T00:00:00"/>
    <n v="62861"/>
    <n v="0"/>
    <x v="0"/>
    <s v="Seattle"/>
    <x v="1"/>
    <n v="0"/>
    <n v="62861"/>
    <x v="1"/>
    <n v="17"/>
    <s v="30-40"/>
  </r>
  <r>
    <x v="876"/>
    <x v="946"/>
    <x v="2"/>
    <x v="4"/>
    <x v="3"/>
    <x v="0"/>
    <s v="Latino"/>
    <n v="53"/>
    <d v="2006-07-21T00:00:00"/>
    <n v="151246"/>
    <n v="0.21"/>
    <x v="2"/>
    <s v="Sao Paulo"/>
    <x v="1"/>
    <n v="31761.66"/>
    <n v="183007.66"/>
    <x v="1"/>
    <n v="19"/>
    <s v="50+"/>
  </r>
  <r>
    <x v="877"/>
    <x v="947"/>
    <x v="0"/>
    <x v="0"/>
    <x v="1"/>
    <x v="0"/>
    <s v="Asian"/>
    <n v="53"/>
    <d v="1997-04-12T00:00:00"/>
    <n v="154388"/>
    <n v="0.1"/>
    <x v="0"/>
    <s v="Seattle"/>
    <x v="1"/>
    <n v="15438.800000000001"/>
    <n v="169826.8"/>
    <x v="1"/>
    <n v="28"/>
    <s v="50+"/>
  </r>
  <r>
    <x v="438"/>
    <x v="948"/>
    <x v="2"/>
    <x v="4"/>
    <x v="1"/>
    <x v="0"/>
    <s v="Caucasian"/>
    <n v="54"/>
    <d v="1994-09-26T00:00:00"/>
    <n v="162978"/>
    <n v="0.17"/>
    <x v="0"/>
    <s v="Miami"/>
    <x v="78"/>
    <n v="27706.260000000002"/>
    <n v="190684.26"/>
    <x v="0"/>
    <n v="9"/>
    <s v="50+"/>
  </r>
  <r>
    <x v="878"/>
    <x v="949"/>
    <x v="29"/>
    <x v="0"/>
    <x v="2"/>
    <x v="1"/>
    <s v="Latino"/>
    <n v="55"/>
    <d v="1993-11-17T00:00:00"/>
    <n v="80170"/>
    <n v="0"/>
    <x v="0"/>
    <s v="Miami"/>
    <x v="1"/>
    <n v="0"/>
    <n v="80170"/>
    <x v="1"/>
    <n v="32"/>
    <s v="50+"/>
  </r>
  <r>
    <x v="534"/>
    <x v="950"/>
    <x v="4"/>
    <x v="3"/>
    <x v="1"/>
    <x v="0"/>
    <s v="Asian"/>
    <n v="44"/>
    <d v="2021-04-28T00:00:00"/>
    <n v="98520"/>
    <n v="0"/>
    <x v="0"/>
    <s v="Miami"/>
    <x v="1"/>
    <n v="0"/>
    <n v="98520"/>
    <x v="1"/>
    <n v="4"/>
    <s v="41-50"/>
  </r>
  <r>
    <x v="704"/>
    <x v="951"/>
    <x v="6"/>
    <x v="1"/>
    <x v="1"/>
    <x v="1"/>
    <s v="Asian"/>
    <n v="52"/>
    <d v="1999-12-29T00:00:00"/>
    <n v="116527"/>
    <n v="7.0000000000000007E-2"/>
    <x v="0"/>
    <s v="Phoenix"/>
    <x v="1"/>
    <n v="8156.89"/>
    <n v="124683.89"/>
    <x v="1"/>
    <n v="26"/>
    <s v="50+"/>
  </r>
  <r>
    <x v="781"/>
    <x v="952"/>
    <x v="2"/>
    <x v="2"/>
    <x v="0"/>
    <x v="1"/>
    <s v="Asian"/>
    <n v="27"/>
    <d v="2019-11-07T00:00:00"/>
    <n v="174607"/>
    <n v="0.28999999999999998"/>
    <x v="0"/>
    <s v="Columbus"/>
    <x v="1"/>
    <n v="50636.03"/>
    <n v="225243.03"/>
    <x v="1"/>
    <n v="6"/>
    <s v="Under 30"/>
  </r>
  <r>
    <x v="879"/>
    <x v="953"/>
    <x v="13"/>
    <x v="3"/>
    <x v="0"/>
    <x v="1"/>
    <s v="Latino"/>
    <n v="58"/>
    <d v="2006-04-12T00:00:00"/>
    <n v="64202"/>
    <n v="0"/>
    <x v="0"/>
    <s v="Columbus"/>
    <x v="1"/>
    <n v="0"/>
    <n v="64202"/>
    <x v="1"/>
    <n v="19"/>
    <s v="50+"/>
  </r>
  <r>
    <x v="517"/>
    <x v="954"/>
    <x v="13"/>
    <x v="3"/>
    <x v="3"/>
    <x v="1"/>
    <s v="Asian"/>
    <n v="49"/>
    <d v="2019-07-25T00:00:00"/>
    <n v="50883"/>
    <n v="0"/>
    <x v="1"/>
    <s v="Chongqing"/>
    <x v="79"/>
    <n v="0"/>
    <n v="50883"/>
    <x v="0"/>
    <n v="1"/>
    <s v="41-50"/>
  </r>
  <r>
    <x v="880"/>
    <x v="955"/>
    <x v="23"/>
    <x v="0"/>
    <x v="2"/>
    <x v="0"/>
    <s v="Latino"/>
    <n v="36"/>
    <d v="2016-11-03T00:00:00"/>
    <n v="94618"/>
    <n v="0"/>
    <x v="0"/>
    <s v="Columbus"/>
    <x v="1"/>
    <n v="0"/>
    <n v="94618"/>
    <x v="1"/>
    <n v="9"/>
    <s v="30-40"/>
  </r>
  <r>
    <x v="881"/>
    <x v="956"/>
    <x v="2"/>
    <x v="6"/>
    <x v="0"/>
    <x v="1"/>
    <s v="Caucasian"/>
    <n v="26"/>
    <d v="2019-10-15T00:00:00"/>
    <n v="151556"/>
    <n v="0.2"/>
    <x v="0"/>
    <s v="Miami"/>
    <x v="1"/>
    <n v="30311.200000000001"/>
    <n v="181867.2"/>
    <x v="1"/>
    <n v="6"/>
    <s v="Under 30"/>
  </r>
  <r>
    <x v="882"/>
    <x v="957"/>
    <x v="25"/>
    <x v="5"/>
    <x v="0"/>
    <x v="0"/>
    <s v="Asian"/>
    <n v="37"/>
    <d v="2020-03-08T00:00:00"/>
    <n v="80659"/>
    <n v="0"/>
    <x v="0"/>
    <s v="Phoenix"/>
    <x v="1"/>
    <n v="0"/>
    <n v="80659"/>
    <x v="1"/>
    <n v="5"/>
    <s v="30-40"/>
  </r>
  <r>
    <x v="883"/>
    <x v="958"/>
    <x v="2"/>
    <x v="4"/>
    <x v="2"/>
    <x v="1"/>
    <s v="Asian"/>
    <n v="47"/>
    <d v="2019-11-03T00:00:00"/>
    <n v="195385"/>
    <n v="0.21"/>
    <x v="1"/>
    <s v="Chengdu"/>
    <x v="1"/>
    <n v="41030.85"/>
    <n v="236415.85"/>
    <x v="1"/>
    <n v="6"/>
    <s v="41-50"/>
  </r>
  <r>
    <x v="884"/>
    <x v="959"/>
    <x v="28"/>
    <x v="0"/>
    <x v="2"/>
    <x v="1"/>
    <s v="Latino"/>
    <n v="29"/>
    <d v="2016-05-19T00:00:00"/>
    <n v="52693"/>
    <n v="0"/>
    <x v="2"/>
    <s v="Rio de Janerio"/>
    <x v="1"/>
    <n v="0"/>
    <n v="52693"/>
    <x v="1"/>
    <n v="9"/>
    <s v="Under 30"/>
  </r>
  <r>
    <x v="885"/>
    <x v="960"/>
    <x v="32"/>
    <x v="0"/>
    <x v="0"/>
    <x v="0"/>
    <s v="Caucasian"/>
    <n v="58"/>
    <d v="2016-04-26T00:00:00"/>
    <n v="72045"/>
    <n v="0"/>
    <x v="0"/>
    <s v="Phoenix"/>
    <x v="1"/>
    <n v="0"/>
    <n v="72045"/>
    <x v="1"/>
    <n v="9"/>
    <s v="50+"/>
  </r>
  <r>
    <x v="886"/>
    <x v="961"/>
    <x v="13"/>
    <x v="6"/>
    <x v="1"/>
    <x v="1"/>
    <s v="Latino"/>
    <n v="47"/>
    <d v="2005-11-28T00:00:00"/>
    <n v="62749"/>
    <n v="0"/>
    <x v="2"/>
    <s v="Manaus"/>
    <x v="1"/>
    <n v="0"/>
    <n v="62749"/>
    <x v="1"/>
    <n v="20"/>
    <s v="41-50"/>
  </r>
  <r>
    <x v="887"/>
    <x v="962"/>
    <x v="0"/>
    <x v="6"/>
    <x v="2"/>
    <x v="1"/>
    <s v="Asian"/>
    <n v="52"/>
    <d v="2018-06-04T00:00:00"/>
    <n v="154884"/>
    <n v="0.1"/>
    <x v="1"/>
    <s v="Shanghai"/>
    <x v="1"/>
    <n v="15488.400000000001"/>
    <n v="170372.4"/>
    <x v="1"/>
    <n v="7"/>
    <s v="50+"/>
  </r>
  <r>
    <x v="888"/>
    <x v="963"/>
    <x v="23"/>
    <x v="0"/>
    <x v="0"/>
    <x v="1"/>
    <s v="Caucasian"/>
    <n v="61"/>
    <d v="2016-03-08T00:00:00"/>
    <n v="96566"/>
    <n v="0"/>
    <x v="0"/>
    <s v="Columbus"/>
    <x v="1"/>
    <n v="0"/>
    <n v="96566"/>
    <x v="1"/>
    <n v="9"/>
    <s v="50+"/>
  </r>
  <r>
    <x v="889"/>
    <x v="964"/>
    <x v="28"/>
    <x v="0"/>
    <x v="0"/>
    <x v="1"/>
    <s v="Latino"/>
    <n v="45"/>
    <d v="2001-08-23T00:00:00"/>
    <n v="54994"/>
    <n v="0"/>
    <x v="0"/>
    <s v="Columbus"/>
    <x v="1"/>
    <n v="0"/>
    <n v="54994"/>
    <x v="1"/>
    <n v="24"/>
    <s v="41-50"/>
  </r>
  <r>
    <x v="890"/>
    <x v="965"/>
    <x v="32"/>
    <x v="0"/>
    <x v="3"/>
    <x v="0"/>
    <s v="Caucasian"/>
    <n v="40"/>
    <d v="2012-02-05T00:00:00"/>
    <n v="61523"/>
    <n v="0"/>
    <x v="0"/>
    <s v="Columbus"/>
    <x v="1"/>
    <n v="0"/>
    <n v="61523"/>
    <x v="1"/>
    <n v="13"/>
    <s v="30-40"/>
  </r>
  <r>
    <x v="891"/>
    <x v="966"/>
    <x v="9"/>
    <x v="4"/>
    <x v="3"/>
    <x v="1"/>
    <s v="Black"/>
    <n v="45"/>
    <d v="2010-12-12T00:00:00"/>
    <n v="190512"/>
    <n v="0.32"/>
    <x v="0"/>
    <s v="Columbus"/>
    <x v="1"/>
    <n v="60963.840000000004"/>
    <n v="251475.84"/>
    <x v="1"/>
    <n v="15"/>
    <s v="41-50"/>
  </r>
  <r>
    <x v="892"/>
    <x v="967"/>
    <x v="8"/>
    <x v="5"/>
    <x v="2"/>
    <x v="0"/>
    <s v="Asian"/>
    <n v="37"/>
    <d v="2013-02-13T00:00:00"/>
    <n v="124827"/>
    <n v="0"/>
    <x v="1"/>
    <s v="Beijing"/>
    <x v="1"/>
    <n v="0"/>
    <n v="124827"/>
    <x v="1"/>
    <n v="12"/>
    <s v="30-40"/>
  </r>
  <r>
    <x v="360"/>
    <x v="968"/>
    <x v="6"/>
    <x v="3"/>
    <x v="1"/>
    <x v="1"/>
    <s v="Caucasian"/>
    <n v="57"/>
    <d v="2019-01-19T00:00:00"/>
    <n v="101577"/>
    <n v="0.05"/>
    <x v="0"/>
    <s v="Chicago"/>
    <x v="1"/>
    <n v="5078.8500000000004"/>
    <n v="106655.85"/>
    <x v="1"/>
    <n v="7"/>
    <s v="50+"/>
  </r>
  <r>
    <x v="893"/>
    <x v="969"/>
    <x v="6"/>
    <x v="3"/>
    <x v="1"/>
    <x v="0"/>
    <s v="Latino"/>
    <n v="44"/>
    <d v="2005-10-17T00:00:00"/>
    <n v="105223"/>
    <n v="0.1"/>
    <x v="0"/>
    <s v="Phoenix"/>
    <x v="1"/>
    <n v="10522.300000000001"/>
    <n v="115745.3"/>
    <x v="1"/>
    <n v="20"/>
    <s v="41-50"/>
  </r>
  <r>
    <x v="743"/>
    <x v="970"/>
    <x v="30"/>
    <x v="0"/>
    <x v="3"/>
    <x v="1"/>
    <s v="Latino"/>
    <n v="48"/>
    <d v="2008-07-06T00:00:00"/>
    <n v="94815"/>
    <n v="0"/>
    <x v="0"/>
    <s v="Chicago"/>
    <x v="1"/>
    <n v="0"/>
    <n v="94815"/>
    <x v="1"/>
    <n v="17"/>
    <s v="41-50"/>
  </r>
  <r>
    <x v="894"/>
    <x v="971"/>
    <x v="6"/>
    <x v="3"/>
    <x v="2"/>
    <x v="0"/>
    <s v="Asian"/>
    <n v="25"/>
    <d v="2021-12-15T00:00:00"/>
    <n v="114893"/>
    <n v="0.06"/>
    <x v="1"/>
    <s v="Chengdu"/>
    <x v="1"/>
    <n v="6893.58"/>
    <n v="121786.58"/>
    <x v="1"/>
    <n v="4"/>
    <s v="Under 30"/>
  </r>
  <r>
    <x v="895"/>
    <x v="972"/>
    <x v="4"/>
    <x v="6"/>
    <x v="2"/>
    <x v="0"/>
    <s v="Latino"/>
    <n v="35"/>
    <d v="2017-01-10T00:00:00"/>
    <n v="80622"/>
    <n v="0"/>
    <x v="0"/>
    <s v="Austin"/>
    <x v="1"/>
    <n v="0"/>
    <n v="80622"/>
    <x v="1"/>
    <n v="9"/>
    <s v="30-40"/>
  </r>
  <r>
    <x v="34"/>
    <x v="973"/>
    <x v="9"/>
    <x v="0"/>
    <x v="2"/>
    <x v="0"/>
    <s v="Asian"/>
    <n v="57"/>
    <d v="2016-11-11T00:00:00"/>
    <n v="246589"/>
    <n v="0.33"/>
    <x v="0"/>
    <s v="Phoenix"/>
    <x v="80"/>
    <n v="81374.37000000001"/>
    <n v="327963.37"/>
    <x v="0"/>
    <n v="0"/>
    <s v="50+"/>
  </r>
  <r>
    <x v="896"/>
    <x v="974"/>
    <x v="6"/>
    <x v="6"/>
    <x v="2"/>
    <x v="1"/>
    <s v="Asian"/>
    <n v="49"/>
    <d v="2018-05-20T00:00:00"/>
    <n v="119397"/>
    <n v="0.09"/>
    <x v="1"/>
    <s v="Beijing"/>
    <x v="81"/>
    <n v="10745.73"/>
    <n v="130142.73"/>
    <x v="0"/>
    <n v="0"/>
    <s v="41-50"/>
  </r>
  <r>
    <x v="897"/>
    <x v="975"/>
    <x v="2"/>
    <x v="2"/>
    <x v="3"/>
    <x v="0"/>
    <s v="Asian"/>
    <n v="25"/>
    <d v="2021-12-19T00:00:00"/>
    <n v="150666"/>
    <n v="0.23"/>
    <x v="1"/>
    <s v="Chengdu"/>
    <x v="1"/>
    <n v="34653.18"/>
    <n v="185319.18"/>
    <x v="1"/>
    <n v="4"/>
    <s v="Under 30"/>
  </r>
  <r>
    <x v="898"/>
    <x v="976"/>
    <x v="0"/>
    <x v="0"/>
    <x v="0"/>
    <x v="0"/>
    <s v="Caucasian"/>
    <n v="46"/>
    <d v="2002-01-09T00:00:00"/>
    <n v="148035"/>
    <n v="0.14000000000000001"/>
    <x v="0"/>
    <s v="Phoenix"/>
    <x v="1"/>
    <n v="20724.900000000001"/>
    <n v="168759.9"/>
    <x v="1"/>
    <n v="24"/>
    <s v="41-50"/>
  </r>
  <r>
    <x v="69"/>
    <x v="977"/>
    <x v="2"/>
    <x v="1"/>
    <x v="3"/>
    <x v="1"/>
    <s v="Asian"/>
    <n v="60"/>
    <d v="2017-06-05T00:00:00"/>
    <n v="158898"/>
    <n v="0.18"/>
    <x v="0"/>
    <s v="Miami"/>
    <x v="1"/>
    <n v="28601.64"/>
    <n v="187499.64"/>
    <x v="1"/>
    <n v="8"/>
    <s v="50+"/>
  </r>
  <r>
    <x v="899"/>
    <x v="978"/>
    <x v="17"/>
    <x v="5"/>
    <x v="3"/>
    <x v="0"/>
    <s v="Asian"/>
    <n v="45"/>
    <d v="2012-02-28T00:00:00"/>
    <n v="89659"/>
    <n v="0"/>
    <x v="1"/>
    <s v="Beijing"/>
    <x v="1"/>
    <n v="0"/>
    <n v="89659"/>
    <x v="1"/>
    <n v="13"/>
    <s v="41-50"/>
  </r>
  <r>
    <x v="900"/>
    <x v="979"/>
    <x v="2"/>
    <x v="2"/>
    <x v="2"/>
    <x v="0"/>
    <s v="Caucasian"/>
    <n v="39"/>
    <d v="2007-04-29T00:00:00"/>
    <n v="171487"/>
    <n v="0.23"/>
    <x v="0"/>
    <s v="Phoenix"/>
    <x v="1"/>
    <n v="39442.01"/>
    <n v="210929.01"/>
    <x v="1"/>
    <n v="18"/>
    <s v="30-40"/>
  </r>
  <r>
    <x v="901"/>
    <x v="980"/>
    <x v="9"/>
    <x v="2"/>
    <x v="1"/>
    <x v="0"/>
    <s v="Latino"/>
    <n v="43"/>
    <d v="2016-08-21T00:00:00"/>
    <n v="258498"/>
    <n v="0.35"/>
    <x v="0"/>
    <s v="Columbus"/>
    <x v="1"/>
    <n v="90474.299999999988"/>
    <n v="348972.3"/>
    <x v="1"/>
    <n v="9"/>
    <s v="41-50"/>
  </r>
  <r>
    <x v="902"/>
    <x v="981"/>
    <x v="0"/>
    <x v="0"/>
    <x v="0"/>
    <x v="1"/>
    <s v="Asian"/>
    <n v="37"/>
    <d v="2010-11-29T00:00:00"/>
    <n v="146961"/>
    <n v="0.11"/>
    <x v="0"/>
    <s v="Columbus"/>
    <x v="1"/>
    <n v="16165.710000000001"/>
    <n v="163126.71"/>
    <x v="1"/>
    <n v="15"/>
    <s v="30-40"/>
  </r>
  <r>
    <x v="903"/>
    <x v="982"/>
    <x v="15"/>
    <x v="4"/>
    <x v="0"/>
    <x v="1"/>
    <s v="Latino"/>
    <n v="48"/>
    <d v="1998-04-22T00:00:00"/>
    <n v="85369"/>
    <n v="0"/>
    <x v="2"/>
    <s v="Manaus"/>
    <x v="82"/>
    <n v="0"/>
    <n v="85369"/>
    <x v="0"/>
    <n v="6"/>
    <s v="41-50"/>
  </r>
  <r>
    <x v="429"/>
    <x v="983"/>
    <x v="1"/>
    <x v="0"/>
    <x v="1"/>
    <x v="1"/>
    <s v="Caucasian"/>
    <n v="30"/>
    <d v="2015-06-14T00:00:00"/>
    <n v="67489"/>
    <n v="0"/>
    <x v="0"/>
    <s v="Chicago"/>
    <x v="1"/>
    <n v="0"/>
    <n v="67489"/>
    <x v="1"/>
    <n v="10"/>
    <s v="30-40"/>
  </r>
  <r>
    <x v="904"/>
    <x v="984"/>
    <x v="2"/>
    <x v="0"/>
    <x v="1"/>
    <x v="0"/>
    <s v="Caucasian"/>
    <n v="46"/>
    <d v="2018-10-06T00:00:00"/>
    <n v="166259"/>
    <n v="0.17"/>
    <x v="0"/>
    <s v="Chicago"/>
    <x v="1"/>
    <n v="28264.030000000002"/>
    <n v="194523.03"/>
    <x v="1"/>
    <n v="7"/>
    <s v="41-50"/>
  </r>
  <r>
    <x v="905"/>
    <x v="985"/>
    <x v="28"/>
    <x v="0"/>
    <x v="3"/>
    <x v="0"/>
    <s v="Asian"/>
    <n v="55"/>
    <d v="2009-01-07T00:00:00"/>
    <n v="47032"/>
    <n v="0"/>
    <x v="0"/>
    <s v="Columbus"/>
    <x v="1"/>
    <n v="0"/>
    <n v="47032"/>
    <x v="1"/>
    <n v="17"/>
    <s v="50+"/>
  </r>
  <r>
    <x v="906"/>
    <x v="986"/>
    <x v="4"/>
    <x v="6"/>
    <x v="2"/>
    <x v="1"/>
    <s v="Caucasian"/>
    <n v="33"/>
    <d v="2016-09-18T00:00:00"/>
    <n v="98427"/>
    <n v="0"/>
    <x v="0"/>
    <s v="Columbus"/>
    <x v="1"/>
    <n v="0"/>
    <n v="98427"/>
    <x v="1"/>
    <n v="9"/>
    <s v="30-40"/>
  </r>
  <r>
    <x v="907"/>
    <x v="987"/>
    <x v="7"/>
    <x v="1"/>
    <x v="2"/>
    <x v="0"/>
    <s v="Asian"/>
    <n v="44"/>
    <d v="2010-05-31T00:00:00"/>
    <n v="47387"/>
    <n v="0"/>
    <x v="1"/>
    <s v="Chengdu"/>
    <x v="83"/>
    <n v="0"/>
    <n v="47387"/>
    <x v="0"/>
    <n v="7"/>
    <s v="41-50"/>
  </r>
  <r>
    <x v="908"/>
    <x v="988"/>
    <x v="2"/>
    <x v="6"/>
    <x v="2"/>
    <x v="1"/>
    <s v="Asian"/>
    <n v="31"/>
    <d v="2019-06-10T00:00:00"/>
    <n v="176710"/>
    <n v="0.15"/>
    <x v="0"/>
    <s v="Miami"/>
    <x v="1"/>
    <n v="26506.5"/>
    <n v="203216.5"/>
    <x v="1"/>
    <n v="6"/>
    <s v="30-40"/>
  </r>
  <r>
    <x v="909"/>
    <x v="989"/>
    <x v="4"/>
    <x v="1"/>
    <x v="2"/>
    <x v="0"/>
    <s v="Asian"/>
    <n v="33"/>
    <d v="2012-01-28T00:00:00"/>
    <n v="95960"/>
    <n v="0"/>
    <x v="1"/>
    <s v="Chengdu"/>
    <x v="1"/>
    <n v="0"/>
    <n v="95960"/>
    <x v="1"/>
    <n v="14"/>
    <s v="30-40"/>
  </r>
  <r>
    <x v="910"/>
    <x v="990"/>
    <x v="9"/>
    <x v="3"/>
    <x v="3"/>
    <x v="0"/>
    <s v="Asian"/>
    <n v="63"/>
    <d v="2020-07-26T00:00:00"/>
    <n v="216195"/>
    <n v="0.31"/>
    <x v="0"/>
    <s v="Miami"/>
    <x v="1"/>
    <n v="67020.45"/>
    <n v="283215.45"/>
    <x v="1"/>
    <n v="5"/>
    <s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D8183-0CBB-4E7E-8DAB-FD8B8C4E2EA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21" firstHeaderRow="1" firstDataRow="1" firstDataCol="1"/>
  <pivotFields count="19">
    <pivotField showAll="0"/>
    <pivotField showAll="0"/>
    <pivotField showAll="0"/>
    <pivotField axis="axisRow" showAll="0">
      <items count="8">
        <item x="3"/>
        <item x="5"/>
        <item x="1"/>
        <item x="4"/>
        <item x="0"/>
        <item x="6"/>
        <item x="2"/>
        <item t="default"/>
      </items>
    </pivotField>
    <pivotField showAll="0">
      <items count="5">
        <item x="3"/>
        <item x="1"/>
        <item x="0"/>
        <item x="2"/>
        <item t="default"/>
      </items>
    </pivotField>
    <pivotField showAll="0"/>
    <pivotField showAll="0"/>
    <pivotField numFmtId="1" showAll="0"/>
    <pivotField numFmtId="167" showAll="0"/>
    <pivotField numFmtId="166" showAll="0"/>
    <pivotField numFmtId="9" showAll="0"/>
    <pivotField showAll="0">
      <items count="4">
        <item x="2"/>
        <item x="1"/>
        <item x="0"/>
        <item t="default"/>
      </items>
    </pivotField>
    <pivotField showAll="0"/>
    <pivotField showAll="0"/>
    <pivotField numFmtId="165" showAll="0"/>
    <pivotField numFmtId="166" showAll="0"/>
    <pivotField showAll="0">
      <items count="3">
        <item x="1"/>
        <item x="0"/>
        <item t="default"/>
      </items>
    </pivotField>
    <pivotField dataField="1" numFmtId="164" showAll="0"/>
    <pivotField showAll="0"/>
  </pivotFields>
  <rowFields count="1">
    <field x="3"/>
  </rowFields>
  <rowItems count="8">
    <i>
      <x/>
    </i>
    <i>
      <x v="1"/>
    </i>
    <i>
      <x v="2"/>
    </i>
    <i>
      <x v="3"/>
    </i>
    <i>
      <x v="4"/>
    </i>
    <i>
      <x v="5"/>
    </i>
    <i>
      <x v="6"/>
    </i>
    <i t="grand">
      <x/>
    </i>
  </rowItems>
  <colItems count="1">
    <i/>
  </colItems>
  <dataFields count="1">
    <dataField name="Average of Tenure" fld="17" subtotal="average" baseField="3"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1D992-87B1-4AD5-9A27-001CC34626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2" firstHeaderRow="0" firstDataRow="1" firstDataCol="0"/>
  <pivotFields count="19">
    <pivotField dataField="1" showAll="0" insertBlankRow="1">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insertBlankRow="1">
      <items count="992">
        <item x="973"/>
        <item x="734"/>
        <item x="945"/>
        <item x="689"/>
        <item x="26"/>
        <item x="728"/>
        <item x="19"/>
        <item x="239"/>
        <item x="699"/>
        <item x="581"/>
        <item x="300"/>
        <item x="57"/>
        <item x="759"/>
        <item x="799"/>
        <item x="368"/>
        <item x="36"/>
        <item x="693"/>
        <item x="445"/>
        <item x="964"/>
        <item x="484"/>
        <item x="324"/>
        <item x="683"/>
        <item x="533"/>
        <item x="844"/>
        <item x="146"/>
        <item x="174"/>
        <item x="567"/>
        <item x="682"/>
        <item x="760"/>
        <item x="795"/>
        <item x="605"/>
        <item x="477"/>
        <item x="544"/>
        <item x="861"/>
        <item x="948"/>
        <item x="418"/>
        <item x="619"/>
        <item x="781"/>
        <item x="410"/>
        <item x="404"/>
        <item x="337"/>
        <item x="675"/>
        <item x="607"/>
        <item x="686"/>
        <item x="339"/>
        <item x="446"/>
        <item x="758"/>
        <item x="574"/>
        <item x="437"/>
        <item x="582"/>
        <item x="92"/>
        <item x="879"/>
        <item x="447"/>
        <item x="706"/>
        <item x="347"/>
        <item x="531"/>
        <item x="419"/>
        <item x="501"/>
        <item x="107"/>
        <item x="396"/>
        <item x="913"/>
        <item x="935"/>
        <item x="523"/>
        <item x="32"/>
        <item x="459"/>
        <item x="441"/>
        <item x="348"/>
        <item x="631"/>
        <item x="69"/>
        <item x="285"/>
        <item x="219"/>
        <item x="744"/>
        <item x="981"/>
        <item x="637"/>
        <item x="140"/>
        <item x="250"/>
        <item x="659"/>
        <item x="246"/>
        <item x="780"/>
        <item x="930"/>
        <item x="188"/>
        <item x="280"/>
        <item x="120"/>
        <item x="483"/>
        <item x="472"/>
        <item x="624"/>
        <item x="191"/>
        <item x="479"/>
        <item x="541"/>
        <item x="718"/>
        <item x="821"/>
        <item x="984"/>
        <item x="269"/>
        <item x="67"/>
        <item x="106"/>
        <item x="883"/>
        <item x="391"/>
        <item x="839"/>
        <item x="974"/>
        <item x="4"/>
        <item x="583"/>
        <item x="251"/>
        <item x="657"/>
        <item x="363"/>
        <item x="301"/>
        <item x="671"/>
        <item x="60"/>
        <item x="171"/>
        <item x="126"/>
        <item x="491"/>
        <item x="150"/>
        <item x="917"/>
        <item x="750"/>
        <item x="769"/>
        <item x="278"/>
        <item x="256"/>
        <item x="660"/>
        <item x="429"/>
        <item x="842"/>
        <item x="436"/>
        <item x="310"/>
        <item x="674"/>
        <item x="189"/>
        <item x="626"/>
        <item x="856"/>
        <item x="454"/>
        <item x="16"/>
        <item x="254"/>
        <item x="385"/>
        <item x="779"/>
        <item x="77"/>
        <item x="743"/>
        <item x="822"/>
        <item x="502"/>
        <item x="613"/>
        <item x="196"/>
        <item x="763"/>
        <item x="526"/>
        <item x="113"/>
        <item x="548"/>
        <item x="522"/>
        <item x="184"/>
        <item x="813"/>
        <item x="910"/>
        <item x="257"/>
        <item x="260"/>
        <item x="322"/>
        <item x="733"/>
        <item x="697"/>
        <item x="369"/>
        <item x="11"/>
        <item x="17"/>
        <item x="156"/>
        <item x="406"/>
        <item x="276"/>
        <item x="414"/>
        <item x="34"/>
        <item x="587"/>
        <item x="333"/>
        <item x="834"/>
        <item x="389"/>
        <item x="865"/>
        <item x="492"/>
        <item x="28"/>
        <item x="186"/>
        <item x="578"/>
        <item x="266"/>
        <item x="530"/>
        <item x="238"/>
        <item x="767"/>
        <item x="732"/>
        <item x="691"/>
        <item x="648"/>
        <item x="271"/>
        <item x="904"/>
        <item x="924"/>
        <item x="181"/>
        <item x="267"/>
        <item x="618"/>
        <item x="755"/>
        <item x="812"/>
        <item x="569"/>
        <item x="577"/>
        <item x="884"/>
        <item x="656"/>
        <item x="63"/>
        <item x="808"/>
        <item x="662"/>
        <item x="860"/>
        <item x="797"/>
        <item x="534"/>
        <item x="288"/>
        <item x="729"/>
        <item x="495"/>
        <item x="878"/>
        <item x="425"/>
        <item x="264"/>
        <item x="876"/>
        <item x="949"/>
        <item x="144"/>
        <item x="458"/>
        <item x="314"/>
        <item x="294"/>
        <item x="114"/>
        <item x="796"/>
        <item x="103"/>
        <item x="305"/>
        <item x="364"/>
        <item x="841"/>
        <item x="954"/>
        <item x="242"/>
        <item x="921"/>
        <item x="862"/>
        <item x="321"/>
        <item x="241"/>
        <item x="117"/>
        <item x="673"/>
        <item x="204"/>
        <item x="392"/>
        <item x="203"/>
        <item x="375"/>
        <item x="164"/>
        <item x="664"/>
        <item x="18"/>
        <item x="73"/>
        <item x="478"/>
        <item x="916"/>
        <item x="277"/>
        <item x="598"/>
        <item x="299"/>
        <item x="48"/>
        <item x="704"/>
        <item x="31"/>
        <item x="539"/>
        <item x="545"/>
        <item x="440"/>
        <item x="636"/>
        <item x="401"/>
        <item x="889"/>
        <item x="831"/>
        <item x="977"/>
        <item x="29"/>
        <item x="469"/>
        <item x="891"/>
        <item x="308"/>
        <item x="371"/>
        <item x="738"/>
        <item x="8"/>
        <item x="524"/>
        <item x="245"/>
        <item x="957"/>
        <item x="367"/>
        <item x="304"/>
        <item x="824"/>
        <item x="575"/>
        <item x="905"/>
        <item x="638"/>
        <item x="927"/>
        <item x="408"/>
        <item x="123"/>
        <item x="346"/>
        <item x="291"/>
        <item x="12"/>
        <item x="859"/>
        <item x="711"/>
        <item x="717"/>
        <item x="185"/>
        <item x="845"/>
        <item x="448"/>
        <item x="702"/>
        <item x="663"/>
        <item x="434"/>
        <item x="193"/>
        <item x="20"/>
        <item x="452"/>
        <item x="165"/>
        <item x="147"/>
        <item x="875"/>
        <item x="155"/>
        <item x="200"/>
        <item x="941"/>
        <item x="209"/>
        <item x="409"/>
        <item x="720"/>
        <item x="88"/>
        <item x="938"/>
        <item x="869"/>
        <item x="688"/>
        <item x="517"/>
        <item x="220"/>
        <item x="542"/>
        <item x="482"/>
        <item x="201"/>
        <item x="306"/>
        <item x="588"/>
        <item x="529"/>
        <item x="423"/>
        <item x="611"/>
        <item x="890"/>
        <item x="270"/>
        <item x="432"/>
        <item x="670"/>
        <item x="833"/>
        <item x="643"/>
        <item x="221"/>
        <item x="315"/>
        <item x="978"/>
        <item x="928"/>
        <item x="667"/>
        <item x="233"/>
        <item x="668"/>
        <item x="357"/>
        <item x="0"/>
        <item x="722"/>
        <item x="892"/>
        <item x="810"/>
        <item x="166"/>
        <item x="442"/>
        <item x="178"/>
        <item x="754"/>
        <item x="412"/>
        <item x="187"/>
        <item x="506"/>
        <item x="801"/>
        <item x="745"/>
        <item x="727"/>
        <item x="47"/>
        <item x="753"/>
        <item x="235"/>
        <item x="284"/>
        <item x="259"/>
        <item x="21"/>
        <item x="112"/>
        <item x="132"/>
        <item x="252"/>
        <item x="630"/>
        <item x="470"/>
        <item x="510"/>
        <item x="554"/>
        <item x="131"/>
        <item x="83"/>
        <item x="268"/>
        <item x="13"/>
        <item x="474"/>
        <item x="566"/>
        <item x="616"/>
        <item x="50"/>
        <item x="377"/>
        <item x="91"/>
        <item x="341"/>
        <item x="698"/>
        <item x="761"/>
        <item x="66"/>
        <item x="443"/>
        <item x="742"/>
        <item x="108"/>
        <item x="370"/>
        <item x="236"/>
        <item x="30"/>
        <item x="129"/>
        <item x="787"/>
        <item x="715"/>
        <item x="546"/>
        <item x="274"/>
        <item x="820"/>
        <item x="584"/>
        <item x="89"/>
        <item x="462"/>
        <item x="45"/>
        <item x="736"/>
        <item x="394"/>
        <item x="772"/>
        <item x="109"/>
        <item x="450"/>
        <item x="944"/>
        <item x="421"/>
        <item x="373"/>
        <item x="511"/>
        <item x="87"/>
        <item x="145"/>
        <item x="835"/>
        <item x="353"/>
        <item x="589"/>
        <item x="818"/>
        <item x="160"/>
        <item x="362"/>
        <item x="918"/>
        <item x="786"/>
        <item x="480"/>
        <item x="579"/>
        <item x="606"/>
        <item x="104"/>
        <item x="846"/>
        <item x="547"/>
        <item x="489"/>
        <item x="724"/>
        <item x="325"/>
        <item x="716"/>
        <item x="536"/>
        <item x="232"/>
        <item x="121"/>
        <item x="360"/>
        <item x="800"/>
        <item x="882"/>
        <item x="383"/>
        <item x="197"/>
        <item x="887"/>
        <item x="573"/>
        <item x="651"/>
        <item x="943"/>
        <item x="358"/>
        <item x="857"/>
        <item x="293"/>
        <item x="782"/>
        <item x="680"/>
        <item x="532"/>
        <item x="847"/>
        <item x="344"/>
        <item x="971"/>
        <item x="537"/>
        <item x="867"/>
        <item x="687"/>
        <item x="139"/>
        <item x="713"/>
        <item x="265"/>
        <item x="467"/>
        <item x="646"/>
        <item x="885"/>
        <item x="553"/>
        <item x="766"/>
        <item x="872"/>
        <item x="253"/>
        <item x="457"/>
        <item x="512"/>
        <item x="911"/>
        <item x="778"/>
        <item x="386"/>
        <item x="356"/>
        <item x="652"/>
        <item x="159"/>
        <item x="465"/>
        <item x="645"/>
        <item x="731"/>
        <item x="216"/>
        <item x="623"/>
        <item x="576"/>
        <item x="464"/>
        <item x="597"/>
        <item x="466"/>
        <item x="381"/>
        <item x="848"/>
        <item x="403"/>
        <item x="937"/>
        <item x="895"/>
        <item x="562"/>
        <item x="311"/>
        <item x="351"/>
        <item x="877"/>
        <item x="519"/>
        <item x="770"/>
        <item x="886"/>
        <item x="771"/>
        <item x="960"/>
        <item x="258"/>
        <item x="15"/>
        <item x="343"/>
        <item x="72"/>
        <item x="650"/>
        <item x="287"/>
        <item x="128"/>
        <item x="167"/>
        <item x="411"/>
        <item x="387"/>
        <item x="907"/>
        <item x="105"/>
        <item x="725"/>
        <item x="901"/>
        <item x="338"/>
        <item x="514"/>
        <item x="180"/>
        <item x="86"/>
        <item x="244"/>
        <item x="90"/>
        <item x="723"/>
        <item x="240"/>
        <item x="773"/>
        <item x="894"/>
        <item x="806"/>
        <item x="37"/>
        <item x="585"/>
        <item x="345"/>
        <item x="563"/>
        <item x="438"/>
        <item x="335"/>
        <item x="509"/>
        <item x="430"/>
        <item x="262"/>
        <item x="71"/>
        <item x="297"/>
        <item x="227"/>
        <item x="535"/>
        <item x="642"/>
        <item x="601"/>
        <item x="719"/>
        <item x="162"/>
        <item x="486"/>
        <item x="515"/>
        <item x="565"/>
        <item x="609"/>
        <item x="963"/>
        <item x="793"/>
        <item x="154"/>
        <item x="853"/>
        <item x="313"/>
        <item x="942"/>
        <item x="427"/>
        <item x="864"/>
        <item x="170"/>
        <item x="161"/>
        <item x="829"/>
        <item x="192"/>
        <item x="312"/>
        <item x="788"/>
        <item x="757"/>
        <item x="953"/>
        <item x="182"/>
        <item x="900"/>
        <item x="496"/>
        <item x="958"/>
        <item x="59"/>
        <item x="53"/>
        <item x="870"/>
        <item x="863"/>
        <item x="503"/>
        <item x="42"/>
        <item x="79"/>
        <item x="849"/>
        <item x="247"/>
        <item x="198"/>
        <item x="590"/>
        <item x="451"/>
        <item x="319"/>
        <item x="633"/>
        <item x="342"/>
        <item x="966"/>
        <item x="202"/>
        <item x="805"/>
        <item x="384"/>
        <item x="25"/>
        <item x="190"/>
        <item x="213"/>
        <item x="956"/>
        <item x="81"/>
        <item x="735"/>
        <item x="163"/>
        <item x="80"/>
        <item x="149"/>
        <item x="382"/>
        <item x="908"/>
        <item x="828"/>
        <item x="372"/>
        <item x="684"/>
        <item x="604"/>
        <item x="282"/>
        <item x="5"/>
        <item x="507"/>
        <item x="476"/>
        <item x="934"/>
        <item x="933"/>
        <item x="871"/>
        <item x="494"/>
        <item x="888"/>
        <item x="366"/>
        <item x="696"/>
        <item x="490"/>
        <item x="292"/>
        <item x="707"/>
        <item x="959"/>
        <item x="137"/>
        <item x="678"/>
        <item x="177"/>
        <item x="225"/>
        <item x="426"/>
        <item x="794"/>
        <item x="602"/>
        <item x="334"/>
        <item x="41"/>
        <item x="135"/>
        <item x="628"/>
        <item x="708"/>
        <item x="290"/>
        <item x="263"/>
        <item x="525"/>
        <item x="694"/>
        <item x="627"/>
        <item x="931"/>
        <item x="230"/>
        <item x="460"/>
        <item x="902"/>
        <item x="272"/>
        <item x="316"/>
        <item x="881"/>
        <item x="852"/>
        <item x="555"/>
        <item x="570"/>
        <item x="243"/>
        <item x="777"/>
        <item x="571"/>
        <item x="768"/>
        <item x="39"/>
        <item x="463"/>
        <item x="51"/>
        <item x="102"/>
        <item x="632"/>
        <item x="896"/>
        <item x="179"/>
        <item x="475"/>
        <item x="982"/>
        <item x="749"/>
        <item x="332"/>
        <item x="23"/>
        <item x="516"/>
        <item x="951"/>
        <item x="231"/>
        <item x="206"/>
        <item x="136"/>
        <item x="817"/>
        <item x="228"/>
        <item x="518"/>
        <item x="118"/>
        <item x="784"/>
        <item x="596"/>
        <item x="350"/>
        <item x="487"/>
        <item x="493"/>
        <item x="819"/>
        <item x="987"/>
        <item x="289"/>
        <item x="558"/>
        <item x="148"/>
        <item x="866"/>
        <item x="989"/>
        <item x="595"/>
        <item x="649"/>
        <item x="84"/>
        <item x="599"/>
        <item x="765"/>
        <item x="830"/>
        <item x="488"/>
        <item x="641"/>
        <item x="286"/>
        <item x="405"/>
        <item x="703"/>
        <item x="22"/>
        <item x="617"/>
        <item x="205"/>
        <item x="791"/>
        <item x="455"/>
        <item x="705"/>
        <item x="393"/>
        <item x="354"/>
        <item x="157"/>
        <item x="49"/>
        <item x="701"/>
        <item x="603"/>
        <item x="223"/>
        <item x="380"/>
        <item x="237"/>
        <item x="7"/>
        <item x="248"/>
        <item x="785"/>
        <item x="962"/>
        <item x="520"/>
        <item x="329"/>
        <item x="195"/>
        <item x="2"/>
        <item x="214"/>
        <item x="439"/>
        <item x="692"/>
        <item x="552"/>
        <item x="783"/>
        <item x="431"/>
        <item x="521"/>
        <item x="721"/>
        <item x="762"/>
        <item x="712"/>
        <item x="505"/>
        <item x="647"/>
        <item x="397"/>
        <item x="661"/>
        <item x="327"/>
        <item x="100"/>
        <item x="9"/>
        <item x="897"/>
        <item x="912"/>
        <item x="471"/>
        <item x="976"/>
        <item x="802"/>
        <item x="965"/>
        <item x="415"/>
        <item x="615"/>
        <item x="639"/>
        <item x="283"/>
        <item x="173"/>
        <item x="296"/>
        <item x="175"/>
        <item x="975"/>
        <item x="340"/>
        <item x="281"/>
        <item x="207"/>
        <item x="572"/>
        <item x="395"/>
        <item x="169"/>
        <item x="127"/>
        <item x="676"/>
        <item x="24"/>
        <item x="212"/>
        <item x="33"/>
        <item x="134"/>
        <item x="94"/>
        <item x="142"/>
        <item x="508"/>
        <item x="416"/>
        <item x="970"/>
        <item x="654"/>
        <item x="622"/>
        <item x="936"/>
        <item x="390"/>
        <item x="967"/>
        <item x="417"/>
        <item x="528"/>
        <item x="226"/>
        <item x="825"/>
        <item x="323"/>
        <item x="586"/>
        <item x="95"/>
        <item x="914"/>
        <item x="115"/>
        <item x="365"/>
        <item x="666"/>
        <item x="76"/>
        <item x="374"/>
        <item x="125"/>
        <item x="168"/>
        <item x="561"/>
        <item x="449"/>
        <item x="336"/>
        <item x="183"/>
        <item x="776"/>
        <item x="331"/>
        <item x="151"/>
        <item x="273"/>
        <item x="75"/>
        <item x="747"/>
        <item x="608"/>
        <item x="672"/>
        <item x="854"/>
        <item x="549"/>
        <item x="499"/>
        <item x="124"/>
        <item x="295"/>
        <item x="61"/>
        <item x="737"/>
        <item x="695"/>
        <item x="926"/>
        <item x="444"/>
        <item x="592"/>
        <item x="456"/>
        <item x="940"/>
        <item x="172"/>
        <item x="600"/>
        <item x="309"/>
        <item x="361"/>
        <item x="804"/>
        <item x="837"/>
        <item x="98"/>
        <item x="138"/>
        <item x="679"/>
        <item x="400"/>
        <item x="461"/>
        <item x="513"/>
        <item x="952"/>
        <item x="481"/>
        <item x="101"/>
        <item x="97"/>
        <item x="130"/>
        <item x="580"/>
        <item x="194"/>
        <item x="35"/>
        <item x="947"/>
        <item x="621"/>
        <item x="909"/>
        <item x="540"/>
        <item x="275"/>
        <item x="111"/>
        <item x="208"/>
        <item x="497"/>
        <item x="816"/>
        <item x="906"/>
        <item x="634"/>
        <item x="814"/>
        <item x="988"/>
        <item x="832"/>
        <item x="420"/>
        <item x="229"/>
        <item x="40"/>
        <item x="932"/>
        <item x="614"/>
        <item x="685"/>
        <item x="376"/>
        <item x="141"/>
        <item x="826"/>
        <item x="644"/>
        <item x="919"/>
        <item x="961"/>
        <item x="82"/>
        <item x="838"/>
        <item x="560"/>
        <item x="378"/>
        <item x="64"/>
        <item x="751"/>
        <item x="665"/>
        <item x="557"/>
        <item x="68"/>
        <item x="234"/>
        <item x="3"/>
        <item x="809"/>
        <item x="955"/>
        <item x="498"/>
        <item x="620"/>
        <item x="915"/>
        <item x="52"/>
        <item x="543"/>
        <item x="903"/>
        <item x="899"/>
        <item x="152"/>
        <item x="55"/>
        <item x="320"/>
        <item x="823"/>
        <item x="65"/>
        <item x="379"/>
        <item x="775"/>
        <item x="298"/>
        <item x="352"/>
        <item x="710"/>
        <item x="690"/>
        <item x="564"/>
        <item x="980"/>
        <item x="413"/>
        <item x="38"/>
        <item x="792"/>
        <item x="880"/>
        <item x="979"/>
        <item x="739"/>
        <item x="302"/>
        <item x="658"/>
        <item x="983"/>
        <item x="14"/>
        <item x="726"/>
        <item x="669"/>
        <item x="303"/>
        <item x="923"/>
        <item x="424"/>
        <item x="6"/>
        <item x="594"/>
        <item x="328"/>
        <item x="836"/>
        <item x="625"/>
        <item x="568"/>
        <item x="855"/>
        <item x="929"/>
        <item x="500"/>
        <item x="330"/>
        <item x="54"/>
        <item x="920"/>
        <item x="807"/>
        <item x="44"/>
        <item x="99"/>
        <item x="504"/>
        <item x="215"/>
        <item x="740"/>
        <item x="261"/>
        <item x="677"/>
        <item x="946"/>
        <item x="435"/>
        <item x="741"/>
        <item x="78"/>
        <item x="843"/>
        <item x="349"/>
        <item x="468"/>
        <item x="355"/>
        <item x="827"/>
        <item x="851"/>
        <item x="199"/>
        <item x="249"/>
        <item x="10"/>
        <item x="433"/>
        <item x="591"/>
        <item x="803"/>
        <item x="326"/>
        <item x="635"/>
        <item x="527"/>
        <item x="985"/>
        <item x="116"/>
        <item x="922"/>
        <item x="610"/>
        <item x="790"/>
        <item x="746"/>
        <item x="407"/>
        <item x="143"/>
        <item x="550"/>
        <item x="898"/>
        <item x="399"/>
        <item x="893"/>
        <item x="551"/>
        <item x="218"/>
        <item x="62"/>
        <item x="158"/>
        <item x="764"/>
        <item x="110"/>
        <item x="789"/>
        <item x="153"/>
        <item x="990"/>
        <item x="318"/>
        <item x="969"/>
        <item x="222"/>
        <item x="850"/>
        <item x="593"/>
        <item x="858"/>
        <item x="317"/>
        <item x="119"/>
        <item x="176"/>
        <item x="811"/>
        <item x="798"/>
        <item x="133"/>
        <item x="428"/>
        <item x="56"/>
        <item x="950"/>
        <item x="559"/>
        <item x="1"/>
        <item x="730"/>
        <item x="453"/>
        <item x="714"/>
        <item x="217"/>
        <item x="388"/>
        <item x="873"/>
        <item x="74"/>
        <item x="398"/>
        <item x="709"/>
        <item x="612"/>
        <item x="774"/>
        <item x="422"/>
        <item x="972"/>
        <item x="307"/>
        <item x="224"/>
        <item x="756"/>
        <item x="840"/>
        <item x="359"/>
        <item x="700"/>
        <item x="122"/>
        <item x="752"/>
        <item x="402"/>
        <item x="815"/>
        <item x="538"/>
        <item x="210"/>
        <item x="968"/>
        <item x="211"/>
        <item x="986"/>
        <item x="748"/>
        <item x="70"/>
        <item x="868"/>
        <item x="43"/>
        <item x="640"/>
        <item x="473"/>
        <item x="556"/>
        <item x="85"/>
        <item x="681"/>
        <item x="27"/>
        <item x="653"/>
        <item x="46"/>
        <item x="925"/>
        <item x="655"/>
        <item x="279"/>
        <item x="874"/>
        <item x="93"/>
        <item x="629"/>
        <item x="255"/>
        <item x="96"/>
        <item x="485"/>
        <item x="939"/>
        <item x="58"/>
        <item t="default"/>
      </items>
    </pivotField>
    <pivotField showAll="0" insertBlankRow="1">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insertBlankRow="1">
      <items count="8">
        <item x="3"/>
        <item x="5"/>
        <item x="1"/>
        <item x="4"/>
        <item x="0"/>
        <item x="6"/>
        <item x="2"/>
        <item t="default"/>
      </items>
    </pivotField>
    <pivotField showAll="0" insertBlankRow="1">
      <items count="5">
        <item x="3"/>
        <item x="1"/>
        <item x="0"/>
        <item x="2"/>
        <item t="default"/>
      </items>
    </pivotField>
    <pivotField showAll="0" insertBlankRow="1"/>
    <pivotField showAll="0" insertBlankRow="1"/>
    <pivotField dataField="1" numFmtId="1" showAll="0" insertBlankRow="1"/>
    <pivotField numFmtId="167" showAll="0" insertBlankRow="1"/>
    <pivotField dataField="1" numFmtId="166" showAll="0" insertBlankRow="1"/>
    <pivotField numFmtId="9" showAll="0" insertBlankRow="1"/>
    <pivotField showAll="0" insertBlankRow="1">
      <items count="4">
        <item x="2"/>
        <item x="1"/>
        <item x="0"/>
        <item t="default"/>
      </items>
    </pivotField>
    <pivotField showAll="0" insertBlankRow="1"/>
    <pivotField showAll="0" insertBlankRow="1"/>
    <pivotField dataField="1" numFmtId="165" showAll="0" insertBlankRow="1"/>
    <pivotField dataField="1" numFmtId="166" showAll="0" insertBlankRow="1"/>
    <pivotField showAll="0" insertBlankRow="1">
      <items count="3">
        <item x="1"/>
        <item x="0"/>
        <item t="default"/>
      </items>
    </pivotField>
    <pivotField dataField="1" numFmtId="164" showAll="0" insertBlankRow="1"/>
    <pivotField showAll="0" insertBlankRow="1"/>
  </pivotFields>
  <rowItems count="1">
    <i/>
  </rowItems>
  <colFields count="1">
    <field x="-2"/>
  </colFields>
  <colItems count="6">
    <i>
      <x/>
    </i>
    <i i="1">
      <x v="1"/>
    </i>
    <i i="2">
      <x v="2"/>
    </i>
    <i i="3">
      <x v="3"/>
    </i>
    <i i="4">
      <x v="4"/>
    </i>
    <i i="5">
      <x v="5"/>
    </i>
  </colItems>
  <dataFields count="6">
    <dataField name="Total Employees" fld="0" subtotal="count" baseField="0" baseItem="1"/>
    <dataField name="Total Salary Cost" fld="9" baseField="0" baseItem="0" numFmtId="166"/>
    <dataField name="Total Bonus Cost" fld="14" baseField="0" baseItem="0" numFmtId="165"/>
    <dataField name="Total Compensation of Employees" fld="15" baseField="0" baseItem="0" numFmtId="166"/>
    <dataField name="Avg Age" fld="7" subtotal="average" baseField="0" baseItem="4" numFmtId="1"/>
    <dataField name="Avg Tenure" fld="17" subtotal="average" baseField="0" baseItem="5"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8A1DF5-4066-49F3-861D-302C90D672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2:L5" firstHeaderRow="1" firstDataRow="1" firstDataCol="1"/>
  <pivotFields count="19">
    <pivotField dataField="1"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pivotField showAll="0"/>
    <pivotField showAll="0">
      <items count="8">
        <item x="3"/>
        <item x="5"/>
        <item x="1"/>
        <item x="4"/>
        <item x="0"/>
        <item x="6"/>
        <item x="2"/>
        <item t="default"/>
      </items>
    </pivotField>
    <pivotField showAll="0">
      <items count="5">
        <item x="3"/>
        <item x="1"/>
        <item x="0"/>
        <item x="2"/>
        <item t="default"/>
      </items>
    </pivotField>
    <pivotField showAll="0"/>
    <pivotField showAll="0"/>
    <pivotField numFmtId="1" showAll="0"/>
    <pivotField numFmtId="167" showAll="0"/>
    <pivotField numFmtId="166" showAll="0"/>
    <pivotField numFmtId="9" showAll="0"/>
    <pivotField showAll="0">
      <items count="4">
        <item x="2"/>
        <item x="1"/>
        <item x="0"/>
        <item t="default"/>
      </items>
    </pivotField>
    <pivotField showAll="0"/>
    <pivotField showAll="0"/>
    <pivotField numFmtId="165" showAll="0"/>
    <pivotField numFmtId="166" showAll="0"/>
    <pivotField axis="axisRow" showAll="0">
      <items count="3">
        <item sd="0" x="1"/>
        <item sd="0" x="0"/>
        <item t="default"/>
      </items>
    </pivotField>
    <pivotField numFmtId="164" showAll="0"/>
    <pivotField showAll="0"/>
  </pivotFields>
  <rowFields count="1">
    <field x="16"/>
  </rowFields>
  <rowItems count="3">
    <i>
      <x/>
    </i>
    <i>
      <x v="1"/>
    </i>
    <i t="grand">
      <x/>
    </i>
  </rowItems>
  <colItems count="1">
    <i/>
  </colItems>
  <dataFields count="1">
    <dataField name="Employee Count" fld="0" subtotal="count" baseField="16" baseItem="0"/>
  </dataFields>
  <chartFormats count="3">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FCDB11-6FB7-4805-BD94-2931BC3AA2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35" firstHeaderRow="1" firstDataRow="1" firstDataCol="1"/>
  <pivotFields count="19">
    <pivotField showAll="0"/>
    <pivotField showAll="0"/>
    <pivotField axis="axisRow" showAll="0" sortType="descending">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autoSortScope>
        <pivotArea dataOnly="0" outline="0" fieldPosition="0">
          <references count="1">
            <reference field="4294967294" count="1" selected="0">
              <x v="0"/>
            </reference>
          </references>
        </pivotArea>
      </autoSortScope>
    </pivotField>
    <pivotField showAll="0">
      <items count="8">
        <item x="3"/>
        <item x="5"/>
        <item x="1"/>
        <item x="4"/>
        <item x="0"/>
        <item x="6"/>
        <item x="2"/>
        <item t="default"/>
      </items>
    </pivotField>
    <pivotField showAll="0">
      <items count="5">
        <item x="3"/>
        <item x="1"/>
        <item x="0"/>
        <item x="2"/>
        <item t="default"/>
      </items>
    </pivotField>
    <pivotField showAll="0"/>
    <pivotField showAll="0"/>
    <pivotField numFmtId="1" showAll="0"/>
    <pivotField numFmtId="167" showAll="0"/>
    <pivotField dataField="1" numFmtId="166" showAll="0"/>
    <pivotField numFmtId="9" showAll="0"/>
    <pivotField showAll="0">
      <items count="4">
        <item x="2"/>
        <item x="1"/>
        <item x="0"/>
        <item t="default"/>
      </items>
    </pivotField>
    <pivotField showAll="0"/>
    <pivotField showAll="0"/>
    <pivotField numFmtId="165" showAll="0"/>
    <pivotField numFmtId="166" showAll="0"/>
    <pivotField showAll="0">
      <items count="3">
        <item x="1"/>
        <item x="0"/>
        <item t="default"/>
      </items>
    </pivotField>
    <pivotField numFmtId="164" showAll="0"/>
    <pivotField showAll="0"/>
  </pivotFields>
  <rowFields count="1">
    <field x="2"/>
  </rowFields>
  <rowItems count="34">
    <i>
      <x v="32"/>
    </i>
    <i>
      <x v="9"/>
    </i>
    <i>
      <x v="27"/>
    </i>
    <i>
      <x v="16"/>
    </i>
    <i>
      <x v="10"/>
    </i>
    <i>
      <x v="20"/>
    </i>
    <i>
      <x v="7"/>
    </i>
    <i>
      <x v="3"/>
    </i>
    <i>
      <x v="5"/>
    </i>
    <i>
      <x v="25"/>
    </i>
    <i>
      <x v="26"/>
    </i>
    <i>
      <x v="24"/>
    </i>
    <i>
      <x v="11"/>
    </i>
    <i>
      <x v="21"/>
    </i>
    <i>
      <x v="22"/>
    </i>
    <i>
      <x v="15"/>
    </i>
    <i>
      <x v="6"/>
    </i>
    <i>
      <x v="18"/>
    </i>
    <i>
      <x v="28"/>
    </i>
    <i>
      <x v="30"/>
    </i>
    <i>
      <x v="12"/>
    </i>
    <i>
      <x v="23"/>
    </i>
    <i>
      <x v="8"/>
    </i>
    <i>
      <x v="17"/>
    </i>
    <i>
      <x v="31"/>
    </i>
    <i>
      <x v="19"/>
    </i>
    <i>
      <x v="2"/>
    </i>
    <i>
      <x/>
    </i>
    <i>
      <x v="13"/>
    </i>
    <i>
      <x v="1"/>
    </i>
    <i>
      <x v="4"/>
    </i>
    <i>
      <x v="29"/>
    </i>
    <i>
      <x v="14"/>
    </i>
    <i t="grand">
      <x/>
    </i>
  </rowItems>
  <colItems count="1">
    <i/>
  </colItems>
  <dataFields count="1">
    <dataField name="Average of Annual Salary" fld="9" subtotal="average" baseField="2" baseItem="0" numFmtId="166"/>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83307-49E2-4F02-B944-63B701DA13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9" firstHeaderRow="1" firstDataRow="1" firstDataCol="1"/>
  <pivotFields count="19">
    <pivotField dataField="1"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pivotField showAll="0"/>
    <pivotField axis="axisRow" showAll="0" sortType="ascending">
      <items count="8">
        <item x="3"/>
        <item x="5"/>
        <item x="1"/>
        <item x="4"/>
        <item x="0"/>
        <item x="6"/>
        <item x="2"/>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pivotField showAll="0"/>
    <pivotField numFmtId="1" showAll="0"/>
    <pivotField numFmtId="167" showAll="0"/>
    <pivotField numFmtId="166" showAll="0"/>
    <pivotField numFmtId="9" showAll="0"/>
    <pivotField showAll="0">
      <items count="4">
        <item x="2"/>
        <item x="1"/>
        <item x="0"/>
        <item t="default"/>
      </items>
    </pivotField>
    <pivotField showAll="0"/>
    <pivotField showAll="0"/>
    <pivotField numFmtId="165" showAll="0"/>
    <pivotField numFmtId="166" showAll="0"/>
    <pivotField showAll="0">
      <items count="3">
        <item x="1"/>
        <item x="0"/>
        <item t="default"/>
      </items>
    </pivotField>
    <pivotField numFmtId="164" showAll="0"/>
    <pivotField showAll="0"/>
  </pivotFields>
  <rowFields count="1">
    <field x="3"/>
  </rowFields>
  <rowItems count="8">
    <i>
      <x/>
    </i>
    <i>
      <x v="2"/>
    </i>
    <i>
      <x v="5"/>
    </i>
    <i>
      <x v="3"/>
    </i>
    <i>
      <x v="6"/>
    </i>
    <i>
      <x v="1"/>
    </i>
    <i>
      <x v="4"/>
    </i>
    <i t="grand">
      <x/>
    </i>
  </rowItems>
  <colItems count="1">
    <i/>
  </colItems>
  <dataFields count="1">
    <dataField name="Count of EEID" fld="0" subtotal="count" baseField="0" baseItem="0"/>
  </dataFields>
  <chartFormats count="3">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449CB-C06F-421C-91DA-77D30CF3CD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 firstHeaderRow="1" firstDataRow="1" firstDataCol="1"/>
  <pivotFields count="19">
    <pivotField dataField="1"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pivotField showAll="0"/>
    <pivotField showAll="0">
      <items count="8">
        <item x="3"/>
        <item x="5"/>
        <item x="1"/>
        <item x="4"/>
        <item x="0"/>
        <item x="6"/>
        <item x="2"/>
        <item t="default"/>
      </items>
    </pivotField>
    <pivotField showAll="0">
      <items count="5">
        <item x="3"/>
        <item x="1"/>
        <item x="0"/>
        <item x="2"/>
        <item t="default"/>
      </items>
    </pivotField>
    <pivotField axis="axisRow" showAll="0">
      <items count="3">
        <item x="0"/>
        <item x="1"/>
        <item t="default"/>
      </items>
    </pivotField>
    <pivotField showAll="0"/>
    <pivotField numFmtId="1" showAll="0"/>
    <pivotField numFmtId="167" showAll="0"/>
    <pivotField numFmtId="166" showAll="0"/>
    <pivotField numFmtId="9" showAll="0"/>
    <pivotField showAll="0">
      <items count="4">
        <item x="2"/>
        <item x="1"/>
        <item x="0"/>
        <item t="default"/>
      </items>
    </pivotField>
    <pivotField showAll="0"/>
    <pivotField showAll="0"/>
    <pivotField numFmtId="165" showAll="0"/>
    <pivotField numFmtId="166" showAll="0"/>
    <pivotField showAll="0">
      <items count="3">
        <item x="1"/>
        <item x="0"/>
        <item t="default"/>
      </items>
    </pivotField>
    <pivotField numFmtId="164" showAll="0"/>
    <pivotField showAll="0"/>
  </pivotFields>
  <rowFields count="1">
    <field x="5"/>
  </rowFields>
  <rowItems count="3">
    <i>
      <x/>
    </i>
    <i>
      <x v="1"/>
    </i>
    <i t="grand">
      <x/>
    </i>
  </rowItems>
  <colItems count="1">
    <i/>
  </colItems>
  <dataFields count="1">
    <dataField name="Count of EEID" fld="0"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5" count="1" selected="0">
            <x v="0"/>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6D5E49-7456-41D4-A374-8FCBC2F5D2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10" firstHeaderRow="1" firstDataRow="2" firstDataCol="1"/>
  <pivotFields count="19">
    <pivotField dataField="1"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pivotField showAll="0"/>
    <pivotField axis="axisRow" showAll="0">
      <items count="8">
        <item x="3"/>
        <item x="5"/>
        <item x="1"/>
        <item x="4"/>
        <item x="0"/>
        <item x="6"/>
        <item x="2"/>
        <item t="default"/>
      </items>
    </pivotField>
    <pivotField showAll="0">
      <items count="5">
        <item x="3"/>
        <item x="1"/>
        <item x="0"/>
        <item x="2"/>
        <item t="default"/>
      </items>
    </pivotField>
    <pivotField showAll="0"/>
    <pivotField showAll="0"/>
    <pivotField numFmtId="1" showAll="0"/>
    <pivotField numFmtId="167" showAll="0"/>
    <pivotField numFmtId="166" showAll="0"/>
    <pivotField numFmtId="9" showAll="0"/>
    <pivotField showAll="0">
      <items count="4">
        <item x="2"/>
        <item x="1"/>
        <item x="0"/>
        <item t="default"/>
      </items>
    </pivotField>
    <pivotField showAll="0"/>
    <pivotField showAll="0"/>
    <pivotField numFmtId="165" showAll="0"/>
    <pivotField numFmtId="166" showAll="0"/>
    <pivotField axis="axisCol" showAll="0">
      <items count="3">
        <item x="1"/>
        <item x="0"/>
        <item t="default"/>
      </items>
    </pivotField>
    <pivotField numFmtId="164" showAll="0"/>
    <pivotField showAll="0"/>
  </pivotFields>
  <rowFields count="1">
    <field x="3"/>
  </rowFields>
  <rowItems count="8">
    <i>
      <x/>
    </i>
    <i>
      <x v="1"/>
    </i>
    <i>
      <x v="2"/>
    </i>
    <i>
      <x v="3"/>
    </i>
    <i>
      <x v="4"/>
    </i>
    <i>
      <x v="5"/>
    </i>
    <i>
      <x v="6"/>
    </i>
    <i t="grand">
      <x/>
    </i>
  </rowItems>
  <colFields count="1">
    <field x="16"/>
  </colFields>
  <colItems count="3">
    <i>
      <x/>
    </i>
    <i>
      <x v="1"/>
    </i>
    <i t="grand">
      <x/>
    </i>
  </colItems>
  <dataFields count="1">
    <dataField name="Count of EEID" fld="0" subtotal="count" baseField="0" baseItem="0"/>
  </dataFields>
  <chartFormats count="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8" format="4" series="1">
      <pivotArea type="data" outline="0" fieldPosition="0">
        <references count="2">
          <reference field="4294967294" count="1" selected="0">
            <x v="0"/>
          </reference>
          <reference field="16" count="1" selected="0">
            <x v="0"/>
          </reference>
        </references>
      </pivotArea>
    </chartFormat>
    <chartFormat chart="8"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CDA3D9-E992-4885-8E2D-7EF76BFC2D2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6" firstHeaderRow="1" firstDataRow="1" firstDataCol="1"/>
  <pivotFields count="19">
    <pivotField dataField="1"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pivotField showAll="0"/>
    <pivotField showAll="0">
      <items count="8">
        <item x="3"/>
        <item x="5"/>
        <item x="1"/>
        <item x="4"/>
        <item x="0"/>
        <item x="6"/>
        <item x="2"/>
        <item t="default"/>
      </items>
    </pivotField>
    <pivotField showAll="0">
      <items count="5">
        <item x="3"/>
        <item x="1"/>
        <item x="0"/>
        <item x="2"/>
        <item t="default"/>
      </items>
    </pivotField>
    <pivotField showAll="0"/>
    <pivotField showAll="0"/>
    <pivotField numFmtId="1" showAll="0"/>
    <pivotField numFmtId="167" showAll="0"/>
    <pivotField numFmtId="166" showAll="0"/>
    <pivotField numFmtId="9" showAll="0"/>
    <pivotField axis="axisRow" showAll="0" sortType="descending">
      <items count="4">
        <item x="0"/>
        <item x="1"/>
        <item x="2"/>
        <item t="default"/>
      </items>
    </pivotField>
    <pivotField showAll="0"/>
    <pivotField showAll="0"/>
    <pivotField numFmtId="165" showAll="0"/>
    <pivotField numFmtId="166" showAll="0"/>
    <pivotField showAll="0">
      <items count="3">
        <item x="1"/>
        <item x="0"/>
        <item t="default"/>
      </items>
    </pivotField>
    <pivotField numFmtId="164" showAll="0"/>
    <pivotField showAll="0"/>
  </pivotFields>
  <rowFields count="1">
    <field x="11"/>
  </rowFields>
  <rowItems count="4">
    <i>
      <x/>
    </i>
    <i>
      <x v="1"/>
    </i>
    <i>
      <x v="2"/>
    </i>
    <i t="grand">
      <x/>
    </i>
  </rowItems>
  <colItems count="1">
    <i/>
  </colItems>
  <dataFields count="1">
    <dataField name="Count of EE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EC7464D-A62D-4B0D-AB34-E398BEA5DE87}" sourceName="Department">
  <pivotTables>
    <pivotTable tabId="4" name="PivotTable1"/>
    <pivotTable tabId="6" name="PivotTable3"/>
    <pivotTable tabId="8" name="PivotTable5"/>
    <pivotTable tabId="5" name="PivotTable2"/>
    <pivotTable tabId="2" name="PivotTable1"/>
    <pivotTable tabId="2" name="PivotTable2"/>
    <pivotTable tabId="2" name="PivotTable7"/>
    <pivotTable tabId="7" name="PivotTable4"/>
  </pivotTables>
  <data>
    <tabular pivotCacheId="1572293940">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6C968FDE-5D1C-4970-BEC4-F42491E81FC9}" sourceName="Business Unit">
  <pivotTables>
    <pivotTable tabId="4" name="PivotTable1"/>
    <pivotTable tabId="6" name="PivotTable3"/>
    <pivotTable tabId="8" name="PivotTable5"/>
    <pivotTable tabId="5" name="PivotTable2"/>
    <pivotTable tabId="2" name="PivotTable1"/>
    <pivotTable tabId="2" name="PivotTable2"/>
    <pivotTable tabId="2" name="PivotTable7"/>
    <pivotTable tabId="7" name="PivotTable4"/>
  </pivotTables>
  <data>
    <tabular pivotCacheId="1572293940">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B5D9BE9-9D7E-4A76-9A3A-CCA4CBA49A73}" sourceName="Country">
  <pivotTables>
    <pivotTable tabId="4" name="PivotTable1"/>
    <pivotTable tabId="6" name="PivotTable3"/>
    <pivotTable tabId="8" name="PivotTable5"/>
    <pivotTable tabId="5" name="PivotTable2"/>
    <pivotTable tabId="2" name="PivotTable1"/>
    <pivotTable tabId="2" name="PivotTable2"/>
    <pivotTable tabId="2" name="PivotTable7"/>
    <pivotTable tabId="7" name="PivotTable4"/>
  </pivotTables>
  <data>
    <tabular pivotCacheId="157229394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Status" xr10:uid="{9680AED8-4736-4FE5-9134-D779C3B0136F}" sourceName="Employee Status">
  <pivotTables>
    <pivotTable tabId="4" name="PivotTable1"/>
    <pivotTable tabId="6" name="PivotTable3"/>
    <pivotTable tabId="8" name="PivotTable5"/>
    <pivotTable tabId="5" name="PivotTable2"/>
    <pivotTable tabId="2" name="PivotTable1"/>
    <pivotTable tabId="2" name="PivotTable2"/>
    <pivotTable tabId="2" name="PivotTable7"/>
    <pivotTable tabId="7" name="PivotTable4"/>
  </pivotTables>
  <data>
    <tabular pivotCacheId="157229394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EF0CB0B-DEAD-4802-9B48-410BED0C7D70}" cache="Slicer_Department" caption="Department" style="SlicerStyleDark1" rowHeight="251883"/>
  <slicer name="Business Unit 1" xr10:uid="{D7271B48-7162-4F24-84A4-DBF1698A2598}" cache="Slicer_Business_Unit" caption="Business Unit" style="SlicerStyleDark1" rowHeight="251883"/>
  <slicer name="Country 1" xr10:uid="{FBC362E3-3F13-42FC-B879-2CC27FAA338E}" cache="Slicer_Country" caption="Country" style="SlicerStyleDark1" rowHeight="251883"/>
  <slicer name="Employee Status 1" xr10:uid="{29BBE97F-2E9C-4F93-8599-4FAD143C812B}" cache="Slicer_Employee_Status" caption="Employee Status"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BEC0F49-3D63-4CAB-9C9A-525B675B1509}" cache="Slicer_Department" caption="Department" style="SlicerStyleDark1" rowHeight="251883"/>
  <slicer name="Business Unit" xr10:uid="{A657E56E-DA96-42C7-92AF-5A3A324EE8E2}" cache="Slicer_Business_Unit" caption="Business Unit" style="SlicerStyleDark1" rowHeight="251883"/>
  <slicer name="Country" xr10:uid="{DD880528-3AA8-4DFA-BA44-A9A0964E367C}" cache="Slicer_Country" caption="Country" style="SlicerStyleDark1" rowHeight="251883"/>
  <slicer name="Employee Status" xr10:uid="{2C413C7C-FD58-4CCE-A1F3-81E4C15F4342}" cache="Slicer_Employee_Status" caption="Employee Status"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E86BFD-5F55-4974-BFEE-7C9EF3BC0F8B}" name="Table1" displayName="Table1" ref="A1:S1001" totalsRowShown="0">
  <autoFilter ref="A1:S1001" xr:uid="{A6E86BFD-5F55-4974-BFEE-7C9EF3BC0F8B}"/>
  <tableColumns count="19">
    <tableColumn id="1" xr3:uid="{DF5DA4FF-00F4-402F-8B7B-79E64C1FED8B}" name="EEID"/>
    <tableColumn id="2" xr3:uid="{92234AB3-7B41-43F2-B070-6610CBDDFE6B}" name="Full Name"/>
    <tableColumn id="3" xr3:uid="{E4C50B9A-9E59-41E8-BF3B-0B65DC2AA431}" name="Job Title"/>
    <tableColumn id="4" xr3:uid="{3E7D12D7-E854-45CC-95DE-F045519DA875}" name="Department"/>
    <tableColumn id="5" xr3:uid="{5880323E-D90A-42FC-BAB0-69E7B020088A}" name="Business Unit"/>
    <tableColumn id="6" xr3:uid="{1F17F54E-5F7E-4D41-84F6-009BB1A5DCDB}" name="Gender"/>
    <tableColumn id="7" xr3:uid="{24C8A06F-E488-4B63-9D9A-5A00EDF865FB}" name="Ethnicity"/>
    <tableColumn id="8" xr3:uid="{A8B05018-49F7-47D6-954D-29C7E0F29200}" name="Age" dataDxfId="10"/>
    <tableColumn id="9" xr3:uid="{BAA9E92B-8400-4D33-A512-F5CBCDCB7ED8}" name="Hire Date" dataDxfId="9"/>
    <tableColumn id="10" xr3:uid="{C18DD53F-CDB6-4CB0-A3E8-CC672CCD12B3}" name="Annual Salary" dataDxfId="8"/>
    <tableColumn id="11" xr3:uid="{ABC88BDB-FE0C-4CEF-801C-346D8B80F153}" name="Bonus %" dataDxfId="7"/>
    <tableColumn id="12" xr3:uid="{7894DCA4-28E3-43FB-99AD-BADB6BBB7594}" name="Country"/>
    <tableColumn id="13" xr3:uid="{5723BAD6-AE3D-4E48-B5F3-DE1D7C539F9F}" name="City"/>
    <tableColumn id="14" xr3:uid="{5A03DFAF-E830-4C72-836F-09B3CBD2B9CA}" name="Exit Date" dataDxfId="6"/>
    <tableColumn id="15" xr3:uid="{2185CCBB-FE33-4890-B7DD-4CDBBD0D145F}" name="Bonus Amount">
      <calculatedColumnFormula>J2*K2</calculatedColumnFormula>
    </tableColumn>
    <tableColumn id="16" xr3:uid="{79EE6A71-401E-4AA1-A484-06A03B829B4A}" name="Total Compensation" dataDxfId="5">
      <calculatedColumnFormula>Table1[[#This Row],[Annual Salary]]+Table1[[#This Row],[Bonus Amount]]</calculatedColumnFormula>
    </tableColumn>
    <tableColumn id="17" xr3:uid="{0FE4EAB0-BA97-4396-BE8F-DB2CE6975E71}" name="Employee Status" dataDxfId="4">
      <calculatedColumnFormula>IF(Table1[[#This Row],[Exit Date]]="", "Active","Exited")</calculatedColumnFormula>
    </tableColumn>
    <tableColumn id="18" xr3:uid="{383283CB-C653-45E3-AF08-79299DC0A483}" name="Tenure" dataDxfId="3">
      <calculatedColumnFormula>IFERROR(DATEDIF(Table1[[#This Row],[Hire Date]],IF(Table1[[#This Row],[Exit Date]]="",TODAY(),Table1[[#This Row],[Exit Date]]),"Y"),"")</calculatedColumnFormula>
    </tableColumn>
    <tableColumn id="19" xr3:uid="{3500D0CB-0B69-48AB-AF0C-F97A68A73BF6}" name="Age Band" dataDxfId="2">
      <calculatedColumnFormula array="1">_xlfn.IFS(Table1[[#This Row],[Age]]&lt;30,"Under 30",Table1[[#This Row],[Age]]&lt;=40,"30-40",Table1[[#This Row],[Age]]&lt;50,"41-50",TRUE,"50+")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8742-3879-48AA-BB2C-FB9C4AE37DB2}">
  <dimension ref="A1:S1001"/>
  <sheetViews>
    <sheetView workbookViewId="0">
      <selection activeCell="K994" sqref="K994"/>
    </sheetView>
  </sheetViews>
  <sheetFormatPr defaultRowHeight="14.5" x14ac:dyDescent="0.35"/>
  <cols>
    <col min="2" max="2" width="18.453125" bestFit="1" customWidth="1"/>
    <col min="3" max="3" width="25.1796875" bestFit="1" customWidth="1"/>
    <col min="4" max="4" width="15.6328125" bestFit="1" customWidth="1"/>
    <col min="5" max="5" width="21.36328125" bestFit="1" customWidth="1"/>
    <col min="6" max="6" width="10.54296875" customWidth="1"/>
    <col min="7" max="7" width="10.81640625" customWidth="1"/>
    <col min="8" max="8" width="10.08984375" style="3" customWidth="1"/>
    <col min="9" max="9" width="10.6328125" style="8" customWidth="1"/>
    <col min="10" max="10" width="15.26953125" style="4" customWidth="1"/>
    <col min="11" max="11" width="11.08984375" customWidth="1"/>
    <col min="12" max="12" width="13" customWidth="1"/>
    <col min="13" max="13" width="11.81640625" bestFit="1" customWidth="1"/>
    <col min="14" max="14" width="10.1796875" style="7" customWidth="1"/>
    <col min="15" max="15" width="14.90625" customWidth="1"/>
    <col min="16" max="16" width="20" bestFit="1" customWidth="1"/>
    <col min="17" max="17" width="17.08984375" bestFit="1" customWidth="1"/>
    <col min="18" max="18" width="8.81640625" style="2" bestFit="1" customWidth="1"/>
    <col min="19" max="19" width="10.7265625" bestFit="1" customWidth="1"/>
  </cols>
  <sheetData>
    <row r="1" spans="1:19" x14ac:dyDescent="0.35">
      <c r="A1" t="s">
        <v>0</v>
      </c>
      <c r="B1" t="s">
        <v>1</v>
      </c>
      <c r="C1" t="s">
        <v>2</v>
      </c>
      <c r="D1" t="s">
        <v>3</v>
      </c>
      <c r="E1" t="s">
        <v>4</v>
      </c>
      <c r="F1" t="s">
        <v>5</v>
      </c>
      <c r="G1" t="s">
        <v>6</v>
      </c>
      <c r="H1" s="3" t="s">
        <v>7</v>
      </c>
      <c r="I1" s="8" t="s">
        <v>8</v>
      </c>
      <c r="J1" s="4" t="s">
        <v>9</v>
      </c>
      <c r="K1" t="s">
        <v>10</v>
      </c>
      <c r="L1" t="s">
        <v>11</v>
      </c>
      <c r="M1" t="s">
        <v>12</v>
      </c>
      <c r="N1" s="7" t="s">
        <v>13</v>
      </c>
      <c r="O1" t="s">
        <v>1982</v>
      </c>
      <c r="P1" t="s">
        <v>1983</v>
      </c>
      <c r="Q1" t="s">
        <v>1984</v>
      </c>
      <c r="R1" s="2" t="s">
        <v>1985</v>
      </c>
      <c r="S1" t="s">
        <v>1986</v>
      </c>
    </row>
    <row r="2" spans="1:19" x14ac:dyDescent="0.35">
      <c r="A2" t="s">
        <v>14</v>
      </c>
      <c r="B2" t="s">
        <v>15</v>
      </c>
      <c r="C2" t="s">
        <v>16</v>
      </c>
      <c r="D2" t="s">
        <v>17</v>
      </c>
      <c r="E2" t="s">
        <v>18</v>
      </c>
      <c r="F2" t="s">
        <v>19</v>
      </c>
      <c r="G2" t="s">
        <v>20</v>
      </c>
      <c r="H2" s="3">
        <v>55</v>
      </c>
      <c r="I2" s="8">
        <v>42468</v>
      </c>
      <c r="J2" s="4">
        <v>141604</v>
      </c>
      <c r="K2" s="1">
        <v>0.15</v>
      </c>
      <c r="L2" t="s">
        <v>21</v>
      </c>
      <c r="M2" t="s">
        <v>22</v>
      </c>
      <c r="N2" s="7">
        <v>44485</v>
      </c>
      <c r="O2" s="5">
        <f>J2*K2</f>
        <v>21240.6</v>
      </c>
      <c r="P2" s="6">
        <f>Table1[[#This Row],[Annual Salary]]+Table1[[#This Row],[Bonus Amount]]</f>
        <v>162844.6</v>
      </c>
      <c r="Q2" t="str">
        <f>IF(Table1[[#This Row],[Exit Date]]="", "Active","Exited")</f>
        <v>Exited</v>
      </c>
      <c r="R2" s="2">
        <f ca="1">IFERROR(DATEDIF(Table1[[#This Row],[Hire Date]],IF(Table1[[#This Row],[Exit Date]]="",TODAY(),Table1[[#This Row],[Exit Date]]),"Y"),"")</f>
        <v>5</v>
      </c>
      <c r="S2" t="str" cm="1">
        <f t="array" ref="S2">_xlfn.IFS(Table1[[#This Row],[Age]]&lt;30,"Under 30",Table1[[#This Row],[Age]]&lt;=40,"30-40",Table1[[#This Row],[Age]]&lt;50,"41-50",TRUE,"50+")</f>
        <v>50+</v>
      </c>
    </row>
    <row r="3" spans="1:19" x14ac:dyDescent="0.35">
      <c r="A3" t="s">
        <v>23</v>
      </c>
      <c r="B3" t="s">
        <v>24</v>
      </c>
      <c r="C3" t="s">
        <v>25</v>
      </c>
      <c r="D3" t="s">
        <v>17</v>
      </c>
      <c r="E3" t="s">
        <v>26</v>
      </c>
      <c r="F3" t="s">
        <v>27</v>
      </c>
      <c r="G3" t="s">
        <v>28</v>
      </c>
      <c r="H3" s="3">
        <v>59</v>
      </c>
      <c r="I3" s="8">
        <v>35763</v>
      </c>
      <c r="J3" s="4">
        <v>99975</v>
      </c>
      <c r="K3" s="1">
        <v>0</v>
      </c>
      <c r="L3" t="s">
        <v>29</v>
      </c>
      <c r="M3" t="s">
        <v>30</v>
      </c>
      <c r="O3" s="5">
        <f t="shared" ref="O3:O66" si="0">J3*K3</f>
        <v>0</v>
      </c>
      <c r="P3" s="6">
        <f>Table1[[#This Row],[Annual Salary]]+Table1[[#This Row],[Bonus Amount]]</f>
        <v>99975</v>
      </c>
      <c r="Q3" t="str">
        <f>IF(Table1[[#This Row],[Exit Date]]="", "Active","Exited")</f>
        <v>Active</v>
      </c>
      <c r="R3" s="2">
        <f ca="1">IFERROR(DATEDIF(Table1[[#This Row],[Hire Date]],IF(Table1[[#This Row],[Exit Date]]="",TODAY(),Table1[[#This Row],[Exit Date]]),"Y"),"")</f>
        <v>28</v>
      </c>
      <c r="S3" t="str" cm="1">
        <f t="array" ref="S3">_xlfn.IFS(Table1[[#This Row],[Age]]&lt;30,"Under 30",Table1[[#This Row],[Age]]&lt;=40,"30-40",Table1[[#This Row],[Age]]&lt;50,"41-50",TRUE,"50+")</f>
        <v>50+</v>
      </c>
    </row>
    <row r="4" spans="1:19" x14ac:dyDescent="0.35">
      <c r="A4" t="s">
        <v>31</v>
      </c>
      <c r="B4" t="s">
        <v>32</v>
      </c>
      <c r="C4" t="s">
        <v>33</v>
      </c>
      <c r="D4" t="s">
        <v>34</v>
      </c>
      <c r="E4" t="s">
        <v>35</v>
      </c>
      <c r="F4" t="s">
        <v>19</v>
      </c>
      <c r="G4" t="s">
        <v>36</v>
      </c>
      <c r="H4" s="3">
        <v>50</v>
      </c>
      <c r="I4" s="8">
        <v>39016</v>
      </c>
      <c r="J4" s="4">
        <v>163099</v>
      </c>
      <c r="K4" s="1">
        <v>0.2</v>
      </c>
      <c r="L4" t="s">
        <v>21</v>
      </c>
      <c r="M4" t="s">
        <v>37</v>
      </c>
      <c r="O4" s="5">
        <f t="shared" si="0"/>
        <v>32619.800000000003</v>
      </c>
      <c r="P4" s="6">
        <f>Table1[[#This Row],[Annual Salary]]+Table1[[#This Row],[Bonus Amount]]</f>
        <v>195718.8</v>
      </c>
      <c r="Q4" t="str">
        <f>IF(Table1[[#This Row],[Exit Date]]="", "Active","Exited")</f>
        <v>Active</v>
      </c>
      <c r="R4" s="2">
        <f ca="1">IFERROR(DATEDIF(Table1[[#This Row],[Hire Date]],IF(Table1[[#This Row],[Exit Date]]="",TODAY(),Table1[[#This Row],[Exit Date]]),"Y"),"")</f>
        <v>19</v>
      </c>
      <c r="S4" t="str" cm="1">
        <f t="array" ref="S4">_xlfn.IFS(Table1[[#This Row],[Age]]&lt;30,"Under 30",Table1[[#This Row],[Age]]&lt;=40,"30-40",Table1[[#This Row],[Age]]&lt;50,"41-50",TRUE,"50+")</f>
        <v>50+</v>
      </c>
    </row>
    <row r="5" spans="1:19" x14ac:dyDescent="0.35">
      <c r="A5" t="s">
        <v>38</v>
      </c>
      <c r="B5" t="s">
        <v>39</v>
      </c>
      <c r="C5" t="s">
        <v>40</v>
      </c>
      <c r="D5" t="s">
        <v>17</v>
      </c>
      <c r="E5" t="s">
        <v>26</v>
      </c>
      <c r="F5" t="s">
        <v>19</v>
      </c>
      <c r="G5" t="s">
        <v>36</v>
      </c>
      <c r="H5" s="3">
        <v>26</v>
      </c>
      <c r="I5" s="8">
        <v>43735</v>
      </c>
      <c r="J5" s="4">
        <v>84913</v>
      </c>
      <c r="K5" s="1">
        <v>7.0000000000000007E-2</v>
      </c>
      <c r="L5" t="s">
        <v>21</v>
      </c>
      <c r="M5" t="s">
        <v>37</v>
      </c>
      <c r="O5" s="5">
        <f t="shared" si="0"/>
        <v>5943.9100000000008</v>
      </c>
      <c r="P5" s="6">
        <f>Table1[[#This Row],[Annual Salary]]+Table1[[#This Row],[Bonus Amount]]</f>
        <v>90856.91</v>
      </c>
      <c r="Q5" t="str">
        <f>IF(Table1[[#This Row],[Exit Date]]="", "Active","Exited")</f>
        <v>Active</v>
      </c>
      <c r="R5" s="2">
        <f ca="1">IFERROR(DATEDIF(Table1[[#This Row],[Hire Date]],IF(Table1[[#This Row],[Exit Date]]="",TODAY(),Table1[[#This Row],[Exit Date]]),"Y"),"")</f>
        <v>6</v>
      </c>
      <c r="S5" t="str" cm="1">
        <f t="array" ref="S5">_xlfn.IFS(Table1[[#This Row],[Age]]&lt;30,"Under 30",Table1[[#This Row],[Age]]&lt;=40,"30-40",Table1[[#This Row],[Age]]&lt;50,"41-50",TRUE,"50+")</f>
        <v>Under 30</v>
      </c>
    </row>
    <row r="6" spans="1:19" x14ac:dyDescent="0.35">
      <c r="A6" t="s">
        <v>41</v>
      </c>
      <c r="B6" t="s">
        <v>42</v>
      </c>
      <c r="C6" t="s">
        <v>43</v>
      </c>
      <c r="D6" t="s">
        <v>34</v>
      </c>
      <c r="E6" t="s">
        <v>26</v>
      </c>
      <c r="F6" t="s">
        <v>27</v>
      </c>
      <c r="G6" t="s">
        <v>28</v>
      </c>
      <c r="H6" s="3">
        <v>55</v>
      </c>
      <c r="I6" s="8">
        <v>35023</v>
      </c>
      <c r="J6" s="4">
        <v>95409</v>
      </c>
      <c r="K6" s="1">
        <v>0</v>
      </c>
      <c r="L6" t="s">
        <v>21</v>
      </c>
      <c r="M6" t="s">
        <v>44</v>
      </c>
      <c r="O6" s="5">
        <f t="shared" si="0"/>
        <v>0</v>
      </c>
      <c r="P6" s="6">
        <f>Table1[[#This Row],[Annual Salary]]+Table1[[#This Row],[Bonus Amount]]</f>
        <v>95409</v>
      </c>
      <c r="Q6" t="str">
        <f>IF(Table1[[#This Row],[Exit Date]]="", "Active","Exited")</f>
        <v>Active</v>
      </c>
      <c r="R6" s="2">
        <f ca="1">IFERROR(DATEDIF(Table1[[#This Row],[Hire Date]],IF(Table1[[#This Row],[Exit Date]]="",TODAY(),Table1[[#This Row],[Exit Date]]),"Y"),"")</f>
        <v>30</v>
      </c>
      <c r="S6" t="str" cm="1">
        <f t="array" ref="S6">_xlfn.IFS(Table1[[#This Row],[Age]]&lt;30,"Under 30",Table1[[#This Row],[Age]]&lt;=40,"30-40",Table1[[#This Row],[Age]]&lt;50,"41-50",TRUE,"50+")</f>
        <v>50+</v>
      </c>
    </row>
    <row r="7" spans="1:19" x14ac:dyDescent="0.35">
      <c r="A7" t="s">
        <v>45</v>
      </c>
      <c r="B7" t="s">
        <v>46</v>
      </c>
      <c r="C7" t="s">
        <v>47</v>
      </c>
      <c r="D7" t="s">
        <v>48</v>
      </c>
      <c r="E7" t="s">
        <v>49</v>
      </c>
      <c r="F7" t="s">
        <v>27</v>
      </c>
      <c r="G7" t="s">
        <v>28</v>
      </c>
      <c r="H7" s="3">
        <v>57</v>
      </c>
      <c r="I7" s="8">
        <v>42759</v>
      </c>
      <c r="J7" s="4">
        <v>50994</v>
      </c>
      <c r="K7" s="1">
        <v>0</v>
      </c>
      <c r="L7" t="s">
        <v>29</v>
      </c>
      <c r="M7" t="s">
        <v>30</v>
      </c>
      <c r="O7" s="5">
        <f t="shared" si="0"/>
        <v>0</v>
      </c>
      <c r="P7" s="6">
        <f>Table1[[#This Row],[Annual Salary]]+Table1[[#This Row],[Bonus Amount]]</f>
        <v>50994</v>
      </c>
      <c r="Q7" t="str">
        <f>IF(Table1[[#This Row],[Exit Date]]="", "Active","Exited")</f>
        <v>Active</v>
      </c>
      <c r="R7" s="2">
        <f ca="1">IFERROR(DATEDIF(Table1[[#This Row],[Hire Date]],IF(Table1[[#This Row],[Exit Date]]="",TODAY(),Table1[[#This Row],[Exit Date]]),"Y"),"")</f>
        <v>9</v>
      </c>
      <c r="S7" t="str" cm="1">
        <f t="array" ref="S7">_xlfn.IFS(Table1[[#This Row],[Age]]&lt;30,"Under 30",Table1[[#This Row],[Age]]&lt;=40,"30-40",Table1[[#This Row],[Age]]&lt;50,"41-50",TRUE,"50+")</f>
        <v>50+</v>
      </c>
    </row>
    <row r="8" spans="1:19" x14ac:dyDescent="0.35">
      <c r="A8" t="s">
        <v>50</v>
      </c>
      <c r="B8" t="s">
        <v>51</v>
      </c>
      <c r="C8" t="s">
        <v>52</v>
      </c>
      <c r="D8" t="s">
        <v>17</v>
      </c>
      <c r="E8" t="s">
        <v>49</v>
      </c>
      <c r="F8" t="s">
        <v>19</v>
      </c>
      <c r="G8" t="s">
        <v>36</v>
      </c>
      <c r="H8" s="3">
        <v>27</v>
      </c>
      <c r="I8" s="8">
        <v>44013</v>
      </c>
      <c r="J8" s="4">
        <v>119746</v>
      </c>
      <c r="K8" s="1">
        <v>0.1</v>
      </c>
      <c r="L8" t="s">
        <v>21</v>
      </c>
      <c r="M8" t="s">
        <v>44</v>
      </c>
      <c r="O8" s="5">
        <f t="shared" si="0"/>
        <v>11974.6</v>
      </c>
      <c r="P8" s="6">
        <f>Table1[[#This Row],[Annual Salary]]+Table1[[#This Row],[Bonus Amount]]</f>
        <v>131720.6</v>
      </c>
      <c r="Q8" t="str">
        <f>IF(Table1[[#This Row],[Exit Date]]="", "Active","Exited")</f>
        <v>Active</v>
      </c>
      <c r="R8" s="2">
        <f ca="1">IFERROR(DATEDIF(Table1[[#This Row],[Hire Date]],IF(Table1[[#This Row],[Exit Date]]="",TODAY(),Table1[[#This Row],[Exit Date]]),"Y"),"")</f>
        <v>5</v>
      </c>
      <c r="S8" t="str" cm="1">
        <f t="array" ref="S8">_xlfn.IFS(Table1[[#This Row],[Age]]&lt;30,"Under 30",Table1[[#This Row],[Age]]&lt;=40,"30-40",Table1[[#This Row],[Age]]&lt;50,"41-50",TRUE,"50+")</f>
        <v>Under 30</v>
      </c>
    </row>
    <row r="9" spans="1:19" x14ac:dyDescent="0.35">
      <c r="A9" t="s">
        <v>53</v>
      </c>
      <c r="B9" t="s">
        <v>54</v>
      </c>
      <c r="C9" t="s">
        <v>55</v>
      </c>
      <c r="D9" t="s">
        <v>34</v>
      </c>
      <c r="E9" t="s">
        <v>26</v>
      </c>
      <c r="F9" t="s">
        <v>27</v>
      </c>
      <c r="G9" t="s">
        <v>20</v>
      </c>
      <c r="H9" s="3">
        <v>25</v>
      </c>
      <c r="I9" s="8">
        <v>43967</v>
      </c>
      <c r="J9" s="4">
        <v>41336</v>
      </c>
      <c r="K9" s="1">
        <v>0</v>
      </c>
      <c r="L9" t="s">
        <v>21</v>
      </c>
      <c r="M9" t="s">
        <v>56</v>
      </c>
      <c r="N9" s="7">
        <v>44336</v>
      </c>
      <c r="O9" s="5">
        <f t="shared" si="0"/>
        <v>0</v>
      </c>
      <c r="P9" s="6">
        <f>Table1[[#This Row],[Annual Salary]]+Table1[[#This Row],[Bonus Amount]]</f>
        <v>41336</v>
      </c>
      <c r="Q9" t="str">
        <f>IF(Table1[[#This Row],[Exit Date]]="", "Active","Exited")</f>
        <v>Exited</v>
      </c>
      <c r="R9" s="2">
        <f ca="1">IFERROR(DATEDIF(Table1[[#This Row],[Hire Date]],IF(Table1[[#This Row],[Exit Date]]="",TODAY(),Table1[[#This Row],[Exit Date]]),"Y"),"")</f>
        <v>1</v>
      </c>
      <c r="S9" t="str" cm="1">
        <f t="array" ref="S9">_xlfn.IFS(Table1[[#This Row],[Age]]&lt;30,"Under 30",Table1[[#This Row],[Age]]&lt;=40,"30-40",Table1[[#This Row],[Age]]&lt;50,"41-50",TRUE,"50+")</f>
        <v>Under 30</v>
      </c>
    </row>
    <row r="10" spans="1:19" x14ac:dyDescent="0.35">
      <c r="A10" t="s">
        <v>57</v>
      </c>
      <c r="B10" t="s">
        <v>58</v>
      </c>
      <c r="C10" t="s">
        <v>52</v>
      </c>
      <c r="D10" t="s">
        <v>59</v>
      </c>
      <c r="E10" t="s">
        <v>26</v>
      </c>
      <c r="F10" t="s">
        <v>27</v>
      </c>
      <c r="G10" t="s">
        <v>36</v>
      </c>
      <c r="H10" s="3">
        <v>29</v>
      </c>
      <c r="I10" s="8">
        <v>43490</v>
      </c>
      <c r="J10" s="4">
        <v>113527</v>
      </c>
      <c r="K10" s="1">
        <v>0.06</v>
      </c>
      <c r="L10" t="s">
        <v>21</v>
      </c>
      <c r="M10" t="s">
        <v>60</v>
      </c>
      <c r="O10" s="5">
        <f t="shared" si="0"/>
        <v>6811.62</v>
      </c>
      <c r="P10" s="6">
        <f>Table1[[#This Row],[Annual Salary]]+Table1[[#This Row],[Bonus Amount]]</f>
        <v>120338.62</v>
      </c>
      <c r="Q10" t="str">
        <f>IF(Table1[[#This Row],[Exit Date]]="", "Active","Exited")</f>
        <v>Active</v>
      </c>
      <c r="R10" s="2">
        <f ca="1">IFERROR(DATEDIF(Table1[[#This Row],[Hire Date]],IF(Table1[[#This Row],[Exit Date]]="",TODAY(),Table1[[#This Row],[Exit Date]]),"Y"),"")</f>
        <v>7</v>
      </c>
      <c r="S10" t="str" cm="1">
        <f t="array" ref="S10">_xlfn.IFS(Table1[[#This Row],[Age]]&lt;30,"Under 30",Table1[[#This Row],[Age]]&lt;=40,"30-40",Table1[[#This Row],[Age]]&lt;50,"41-50",TRUE,"50+")</f>
        <v>Under 30</v>
      </c>
    </row>
    <row r="11" spans="1:19" x14ac:dyDescent="0.35">
      <c r="A11" t="s">
        <v>61</v>
      </c>
      <c r="B11" t="s">
        <v>62</v>
      </c>
      <c r="C11" t="s">
        <v>43</v>
      </c>
      <c r="D11" t="s">
        <v>34</v>
      </c>
      <c r="E11" t="s">
        <v>35</v>
      </c>
      <c r="F11" t="s">
        <v>19</v>
      </c>
      <c r="G11" t="s">
        <v>36</v>
      </c>
      <c r="H11" s="3">
        <v>34</v>
      </c>
      <c r="I11" s="8">
        <v>43264</v>
      </c>
      <c r="J11" s="4">
        <v>77203</v>
      </c>
      <c r="K11" s="1">
        <v>0</v>
      </c>
      <c r="L11" t="s">
        <v>21</v>
      </c>
      <c r="M11" t="s">
        <v>37</v>
      </c>
      <c r="O11" s="5">
        <f t="shared" si="0"/>
        <v>0</v>
      </c>
      <c r="P11" s="6">
        <f>Table1[[#This Row],[Annual Salary]]+Table1[[#This Row],[Bonus Amount]]</f>
        <v>77203</v>
      </c>
      <c r="Q11" t="str">
        <f>IF(Table1[[#This Row],[Exit Date]]="", "Active","Exited")</f>
        <v>Active</v>
      </c>
      <c r="R11" s="2">
        <f ca="1">IFERROR(DATEDIF(Table1[[#This Row],[Hire Date]],IF(Table1[[#This Row],[Exit Date]]="",TODAY(),Table1[[#This Row],[Exit Date]]),"Y"),"")</f>
        <v>7</v>
      </c>
      <c r="S11" t="str" cm="1">
        <f t="array" ref="S11">_xlfn.IFS(Table1[[#This Row],[Age]]&lt;30,"Under 30",Table1[[#This Row],[Age]]&lt;=40,"30-40",Table1[[#This Row],[Age]]&lt;50,"41-50",TRUE,"50+")</f>
        <v>30-40</v>
      </c>
    </row>
    <row r="12" spans="1:19" x14ac:dyDescent="0.35">
      <c r="A12" t="s">
        <v>63</v>
      </c>
      <c r="B12" t="s">
        <v>64</v>
      </c>
      <c r="C12" t="s">
        <v>16</v>
      </c>
      <c r="D12" t="s">
        <v>65</v>
      </c>
      <c r="E12" t="s">
        <v>26</v>
      </c>
      <c r="F12" t="s">
        <v>19</v>
      </c>
      <c r="G12" t="s">
        <v>28</v>
      </c>
      <c r="H12" s="3">
        <v>36</v>
      </c>
      <c r="I12" s="8">
        <v>39855</v>
      </c>
      <c r="J12" s="4">
        <v>157333</v>
      </c>
      <c r="K12" s="1">
        <v>0.15</v>
      </c>
      <c r="L12" t="s">
        <v>21</v>
      </c>
      <c r="M12" t="s">
        <v>56</v>
      </c>
      <c r="O12" s="5">
        <f t="shared" si="0"/>
        <v>23599.95</v>
      </c>
      <c r="P12" s="6">
        <f>Table1[[#This Row],[Annual Salary]]+Table1[[#This Row],[Bonus Amount]]</f>
        <v>180932.95</v>
      </c>
      <c r="Q12" t="str">
        <f>IF(Table1[[#This Row],[Exit Date]]="", "Active","Exited")</f>
        <v>Active</v>
      </c>
      <c r="R12" s="2">
        <f ca="1">IFERROR(DATEDIF(Table1[[#This Row],[Hire Date]],IF(Table1[[#This Row],[Exit Date]]="",TODAY(),Table1[[#This Row],[Exit Date]]),"Y"),"")</f>
        <v>17</v>
      </c>
      <c r="S12" t="str" cm="1">
        <f t="array" ref="S12">_xlfn.IFS(Table1[[#This Row],[Age]]&lt;30,"Under 30",Table1[[#This Row],[Age]]&lt;=40,"30-40",Table1[[#This Row],[Age]]&lt;50,"41-50",TRUE,"50+")</f>
        <v>30-40</v>
      </c>
    </row>
    <row r="13" spans="1:19" x14ac:dyDescent="0.35">
      <c r="A13" t="s">
        <v>66</v>
      </c>
      <c r="B13" t="s">
        <v>67</v>
      </c>
      <c r="C13" t="s">
        <v>68</v>
      </c>
      <c r="D13" t="s">
        <v>69</v>
      </c>
      <c r="E13" t="s">
        <v>35</v>
      </c>
      <c r="F13" t="s">
        <v>19</v>
      </c>
      <c r="G13" t="s">
        <v>36</v>
      </c>
      <c r="H13" s="3">
        <v>27</v>
      </c>
      <c r="I13" s="8">
        <v>44490</v>
      </c>
      <c r="J13" s="4">
        <v>109851</v>
      </c>
      <c r="K13" s="1">
        <v>0</v>
      </c>
      <c r="L13" t="s">
        <v>21</v>
      </c>
      <c r="M13" t="s">
        <v>22</v>
      </c>
      <c r="O13" s="5">
        <f t="shared" si="0"/>
        <v>0</v>
      </c>
      <c r="P13" s="6">
        <f>Table1[[#This Row],[Annual Salary]]+Table1[[#This Row],[Bonus Amount]]</f>
        <v>109851</v>
      </c>
      <c r="Q13" t="str">
        <f>IF(Table1[[#This Row],[Exit Date]]="", "Active","Exited")</f>
        <v>Active</v>
      </c>
      <c r="R13" s="2">
        <f ca="1">IFERROR(DATEDIF(Table1[[#This Row],[Hire Date]],IF(Table1[[#This Row],[Exit Date]]="",TODAY(),Table1[[#This Row],[Exit Date]]),"Y"),"")</f>
        <v>4</v>
      </c>
      <c r="S13" t="str" cm="1">
        <f t="array" ref="S13">_xlfn.IFS(Table1[[#This Row],[Age]]&lt;30,"Under 30",Table1[[#This Row],[Age]]&lt;=40,"30-40",Table1[[#This Row],[Age]]&lt;50,"41-50",TRUE,"50+")</f>
        <v>Under 30</v>
      </c>
    </row>
    <row r="14" spans="1:19" x14ac:dyDescent="0.35">
      <c r="A14" t="s">
        <v>70</v>
      </c>
      <c r="B14" t="s">
        <v>71</v>
      </c>
      <c r="C14" t="s">
        <v>52</v>
      </c>
      <c r="D14" t="s">
        <v>65</v>
      </c>
      <c r="E14" t="s">
        <v>26</v>
      </c>
      <c r="F14" t="s">
        <v>27</v>
      </c>
      <c r="G14" t="s">
        <v>36</v>
      </c>
      <c r="H14" s="3">
        <v>59</v>
      </c>
      <c r="I14" s="8">
        <v>36233</v>
      </c>
      <c r="J14" s="4">
        <v>105086</v>
      </c>
      <c r="K14" s="1">
        <v>0.09</v>
      </c>
      <c r="L14" t="s">
        <v>21</v>
      </c>
      <c r="M14" t="s">
        <v>60</v>
      </c>
      <c r="O14" s="5">
        <f t="shared" si="0"/>
        <v>9457.74</v>
      </c>
      <c r="P14" s="6">
        <f>Table1[[#This Row],[Annual Salary]]+Table1[[#This Row],[Bonus Amount]]</f>
        <v>114543.74</v>
      </c>
      <c r="Q14" t="str">
        <f>IF(Table1[[#This Row],[Exit Date]]="", "Active","Exited")</f>
        <v>Active</v>
      </c>
      <c r="R14" s="2">
        <f ca="1">IFERROR(DATEDIF(Table1[[#This Row],[Hire Date]],IF(Table1[[#This Row],[Exit Date]]="",TODAY(),Table1[[#This Row],[Exit Date]]),"Y"),"")</f>
        <v>27</v>
      </c>
      <c r="S14" t="str" cm="1">
        <f t="array" ref="S14">_xlfn.IFS(Table1[[#This Row],[Age]]&lt;30,"Under 30",Table1[[#This Row],[Age]]&lt;=40,"30-40",Table1[[#This Row],[Age]]&lt;50,"41-50",TRUE,"50+")</f>
        <v>50+</v>
      </c>
    </row>
    <row r="15" spans="1:19" x14ac:dyDescent="0.35">
      <c r="A15" t="s">
        <v>72</v>
      </c>
      <c r="B15" t="s">
        <v>73</v>
      </c>
      <c r="C15" t="s">
        <v>16</v>
      </c>
      <c r="D15" t="s">
        <v>34</v>
      </c>
      <c r="E15" t="s">
        <v>18</v>
      </c>
      <c r="F15" t="s">
        <v>19</v>
      </c>
      <c r="G15" t="s">
        <v>28</v>
      </c>
      <c r="H15" s="3">
        <v>51</v>
      </c>
      <c r="I15" s="8">
        <v>44357</v>
      </c>
      <c r="J15" s="4">
        <v>146742</v>
      </c>
      <c r="K15" s="1">
        <v>0.1</v>
      </c>
      <c r="L15" t="s">
        <v>29</v>
      </c>
      <c r="M15" t="s">
        <v>74</v>
      </c>
      <c r="O15" s="5">
        <f t="shared" si="0"/>
        <v>14674.2</v>
      </c>
      <c r="P15" s="6">
        <f>Table1[[#This Row],[Annual Salary]]+Table1[[#This Row],[Bonus Amount]]</f>
        <v>161416.20000000001</v>
      </c>
      <c r="Q15" t="str">
        <f>IF(Table1[[#This Row],[Exit Date]]="", "Active","Exited")</f>
        <v>Active</v>
      </c>
      <c r="R15" s="2">
        <f ca="1">IFERROR(DATEDIF(Table1[[#This Row],[Hire Date]],IF(Table1[[#This Row],[Exit Date]]="",TODAY(),Table1[[#This Row],[Exit Date]]),"Y"),"")</f>
        <v>4</v>
      </c>
      <c r="S15" t="str" cm="1">
        <f t="array" ref="S15">_xlfn.IFS(Table1[[#This Row],[Age]]&lt;30,"Under 30",Table1[[#This Row],[Age]]&lt;=40,"30-40",Table1[[#This Row],[Age]]&lt;50,"41-50",TRUE,"50+")</f>
        <v>50+</v>
      </c>
    </row>
    <row r="16" spans="1:19" x14ac:dyDescent="0.35">
      <c r="A16" t="s">
        <v>75</v>
      </c>
      <c r="B16" t="s">
        <v>76</v>
      </c>
      <c r="C16" t="s">
        <v>43</v>
      </c>
      <c r="D16" t="s">
        <v>59</v>
      </c>
      <c r="E16" t="s">
        <v>35</v>
      </c>
      <c r="F16" t="s">
        <v>27</v>
      </c>
      <c r="G16" t="s">
        <v>28</v>
      </c>
      <c r="H16" s="3">
        <v>31</v>
      </c>
      <c r="I16" s="8">
        <v>43043</v>
      </c>
      <c r="J16" s="4">
        <v>97078</v>
      </c>
      <c r="K16" s="1">
        <v>0</v>
      </c>
      <c r="L16" t="s">
        <v>21</v>
      </c>
      <c r="M16" t="s">
        <v>60</v>
      </c>
      <c r="N16" s="7">
        <v>43899</v>
      </c>
      <c r="O16" s="5">
        <f t="shared" si="0"/>
        <v>0</v>
      </c>
      <c r="P16" s="6">
        <f>Table1[[#This Row],[Annual Salary]]+Table1[[#This Row],[Bonus Amount]]</f>
        <v>97078</v>
      </c>
      <c r="Q16" t="str">
        <f>IF(Table1[[#This Row],[Exit Date]]="", "Active","Exited")</f>
        <v>Exited</v>
      </c>
      <c r="R16" s="2">
        <f ca="1">IFERROR(DATEDIF(Table1[[#This Row],[Hire Date]],IF(Table1[[#This Row],[Exit Date]]="",TODAY(),Table1[[#This Row],[Exit Date]]),"Y"),"")</f>
        <v>2</v>
      </c>
      <c r="S16" t="str" cm="1">
        <f t="array" ref="S16">_xlfn.IFS(Table1[[#This Row],[Age]]&lt;30,"Under 30",Table1[[#This Row],[Age]]&lt;=40,"30-40",Table1[[#This Row],[Age]]&lt;50,"41-50",TRUE,"50+")</f>
        <v>30-40</v>
      </c>
    </row>
    <row r="17" spans="1:19" x14ac:dyDescent="0.35">
      <c r="A17" t="s">
        <v>77</v>
      </c>
      <c r="B17" t="s">
        <v>78</v>
      </c>
      <c r="C17" t="s">
        <v>79</v>
      </c>
      <c r="D17" t="s">
        <v>80</v>
      </c>
      <c r="E17" t="s">
        <v>18</v>
      </c>
      <c r="F17" t="s">
        <v>19</v>
      </c>
      <c r="G17" t="s">
        <v>28</v>
      </c>
      <c r="H17" s="3">
        <v>41</v>
      </c>
      <c r="I17" s="8">
        <v>41346</v>
      </c>
      <c r="J17" s="4">
        <v>249270</v>
      </c>
      <c r="K17" s="1">
        <v>0.3</v>
      </c>
      <c r="L17" t="s">
        <v>21</v>
      </c>
      <c r="M17" t="s">
        <v>22</v>
      </c>
      <c r="O17" s="5">
        <f t="shared" si="0"/>
        <v>74781</v>
      </c>
      <c r="P17" s="6">
        <f>Table1[[#This Row],[Annual Salary]]+Table1[[#This Row],[Bonus Amount]]</f>
        <v>324051</v>
      </c>
      <c r="Q17" t="str">
        <f>IF(Table1[[#This Row],[Exit Date]]="", "Active","Exited")</f>
        <v>Active</v>
      </c>
      <c r="R17" s="2">
        <f ca="1">IFERROR(DATEDIF(Table1[[#This Row],[Hire Date]],IF(Table1[[#This Row],[Exit Date]]="",TODAY(),Table1[[#This Row],[Exit Date]]),"Y"),"")</f>
        <v>13</v>
      </c>
      <c r="S17" t="str" cm="1">
        <f t="array" ref="S17">_xlfn.IFS(Table1[[#This Row],[Age]]&lt;30,"Under 30",Table1[[#This Row],[Age]]&lt;=40,"30-40",Table1[[#This Row],[Age]]&lt;50,"41-50",TRUE,"50+")</f>
        <v>41-50</v>
      </c>
    </row>
    <row r="18" spans="1:19" x14ac:dyDescent="0.35">
      <c r="A18" t="s">
        <v>81</v>
      </c>
      <c r="B18" t="s">
        <v>82</v>
      </c>
      <c r="C18" t="s">
        <v>33</v>
      </c>
      <c r="D18" t="s">
        <v>34</v>
      </c>
      <c r="E18" t="s">
        <v>18</v>
      </c>
      <c r="F18" t="s">
        <v>19</v>
      </c>
      <c r="G18" t="s">
        <v>20</v>
      </c>
      <c r="H18" s="3">
        <v>65</v>
      </c>
      <c r="I18" s="8">
        <v>37319</v>
      </c>
      <c r="J18" s="4">
        <v>175837</v>
      </c>
      <c r="K18" s="1">
        <v>0.2</v>
      </c>
      <c r="L18" t="s">
        <v>21</v>
      </c>
      <c r="M18" t="s">
        <v>44</v>
      </c>
      <c r="O18" s="5">
        <f t="shared" si="0"/>
        <v>35167.4</v>
      </c>
      <c r="P18" s="6">
        <f>Table1[[#This Row],[Annual Salary]]+Table1[[#This Row],[Bonus Amount]]</f>
        <v>211004.4</v>
      </c>
      <c r="Q18" t="str">
        <f>IF(Table1[[#This Row],[Exit Date]]="", "Active","Exited")</f>
        <v>Active</v>
      </c>
      <c r="R18" s="2">
        <f ca="1">IFERROR(DATEDIF(Table1[[#This Row],[Hire Date]],IF(Table1[[#This Row],[Exit Date]]="",TODAY(),Table1[[#This Row],[Exit Date]]),"Y"),"")</f>
        <v>24</v>
      </c>
      <c r="S18" t="str" cm="1">
        <f t="array" ref="S18">_xlfn.IFS(Table1[[#This Row],[Age]]&lt;30,"Under 30",Table1[[#This Row],[Age]]&lt;=40,"30-40",Table1[[#This Row],[Age]]&lt;50,"41-50",TRUE,"50+")</f>
        <v>50+</v>
      </c>
    </row>
    <row r="19" spans="1:19" x14ac:dyDescent="0.35">
      <c r="A19" t="s">
        <v>83</v>
      </c>
      <c r="B19" t="s">
        <v>84</v>
      </c>
      <c r="C19" t="s">
        <v>16</v>
      </c>
      <c r="D19" t="s">
        <v>80</v>
      </c>
      <c r="E19" t="s">
        <v>35</v>
      </c>
      <c r="F19" t="s">
        <v>19</v>
      </c>
      <c r="G19" t="s">
        <v>85</v>
      </c>
      <c r="H19" s="3">
        <v>64</v>
      </c>
      <c r="I19" s="8">
        <v>37956</v>
      </c>
      <c r="J19" s="4">
        <v>154828</v>
      </c>
      <c r="K19" s="1">
        <v>0.13</v>
      </c>
      <c r="L19" t="s">
        <v>21</v>
      </c>
      <c r="M19" t="s">
        <v>22</v>
      </c>
      <c r="O19" s="5">
        <f t="shared" si="0"/>
        <v>20127.64</v>
      </c>
      <c r="P19" s="6">
        <f>Table1[[#This Row],[Annual Salary]]+Table1[[#This Row],[Bonus Amount]]</f>
        <v>174955.64</v>
      </c>
      <c r="Q19" t="str">
        <f>IF(Table1[[#This Row],[Exit Date]]="", "Active","Exited")</f>
        <v>Active</v>
      </c>
      <c r="R19" s="2">
        <f ca="1">IFERROR(DATEDIF(Table1[[#This Row],[Hire Date]],IF(Table1[[#This Row],[Exit Date]]="",TODAY(),Table1[[#This Row],[Exit Date]]),"Y"),"")</f>
        <v>22</v>
      </c>
      <c r="S19" t="str" cm="1">
        <f t="array" ref="S19">_xlfn.IFS(Table1[[#This Row],[Age]]&lt;30,"Under 30",Table1[[#This Row],[Age]]&lt;=40,"30-40",Table1[[#This Row],[Age]]&lt;50,"41-50",TRUE,"50+")</f>
        <v>50+</v>
      </c>
    </row>
    <row r="20" spans="1:19" x14ac:dyDescent="0.35">
      <c r="A20" t="s">
        <v>86</v>
      </c>
      <c r="B20" t="s">
        <v>87</v>
      </c>
      <c r="C20" t="s">
        <v>33</v>
      </c>
      <c r="D20" t="s">
        <v>17</v>
      </c>
      <c r="E20" t="s">
        <v>49</v>
      </c>
      <c r="F20" t="s">
        <v>27</v>
      </c>
      <c r="G20" t="s">
        <v>36</v>
      </c>
      <c r="H20" s="3">
        <v>64</v>
      </c>
      <c r="I20" s="8">
        <v>41581</v>
      </c>
      <c r="J20" s="4">
        <v>186503</v>
      </c>
      <c r="K20" s="1">
        <v>0.24</v>
      </c>
      <c r="L20" t="s">
        <v>21</v>
      </c>
      <c r="M20" t="s">
        <v>88</v>
      </c>
      <c r="O20" s="5">
        <f t="shared" si="0"/>
        <v>44760.72</v>
      </c>
      <c r="P20" s="6">
        <f>Table1[[#This Row],[Annual Salary]]+Table1[[#This Row],[Bonus Amount]]</f>
        <v>231263.72</v>
      </c>
      <c r="Q20" t="str">
        <f>IF(Table1[[#This Row],[Exit Date]]="", "Active","Exited")</f>
        <v>Active</v>
      </c>
      <c r="R20" s="2">
        <f ca="1">IFERROR(DATEDIF(Table1[[#This Row],[Hire Date]],IF(Table1[[#This Row],[Exit Date]]="",TODAY(),Table1[[#This Row],[Exit Date]]),"Y"),"")</f>
        <v>12</v>
      </c>
      <c r="S20" t="str" cm="1">
        <f t="array" ref="S20">_xlfn.IFS(Table1[[#This Row],[Age]]&lt;30,"Under 30",Table1[[#This Row],[Age]]&lt;=40,"30-40",Table1[[#This Row],[Age]]&lt;50,"41-50",TRUE,"50+")</f>
        <v>50+</v>
      </c>
    </row>
    <row r="21" spans="1:19" x14ac:dyDescent="0.35">
      <c r="A21" t="s">
        <v>89</v>
      </c>
      <c r="B21" t="s">
        <v>90</v>
      </c>
      <c r="C21" t="s">
        <v>33</v>
      </c>
      <c r="D21" t="s">
        <v>48</v>
      </c>
      <c r="E21" t="s">
        <v>18</v>
      </c>
      <c r="F21" t="s">
        <v>27</v>
      </c>
      <c r="G21" t="s">
        <v>28</v>
      </c>
      <c r="H21" s="3">
        <v>45</v>
      </c>
      <c r="I21" s="8">
        <v>37446</v>
      </c>
      <c r="J21" s="4">
        <v>166331</v>
      </c>
      <c r="K21" s="1">
        <v>0.18</v>
      </c>
      <c r="L21" t="s">
        <v>29</v>
      </c>
      <c r="M21" t="s">
        <v>30</v>
      </c>
      <c r="O21" s="5">
        <f t="shared" si="0"/>
        <v>29939.579999999998</v>
      </c>
      <c r="P21" s="6">
        <f>Table1[[#This Row],[Annual Salary]]+Table1[[#This Row],[Bonus Amount]]</f>
        <v>196270.58</v>
      </c>
      <c r="Q21" t="str">
        <f>IF(Table1[[#This Row],[Exit Date]]="", "Active","Exited")</f>
        <v>Active</v>
      </c>
      <c r="R21" s="2">
        <f ca="1">IFERROR(DATEDIF(Table1[[#This Row],[Hire Date]],IF(Table1[[#This Row],[Exit Date]]="",TODAY(),Table1[[#This Row],[Exit Date]]),"Y"),"")</f>
        <v>23</v>
      </c>
      <c r="S21" t="str" cm="1">
        <f t="array" ref="S21">_xlfn.IFS(Table1[[#This Row],[Age]]&lt;30,"Under 30",Table1[[#This Row],[Age]]&lt;=40,"30-40",Table1[[#This Row],[Age]]&lt;50,"41-50",TRUE,"50+")</f>
        <v>41-50</v>
      </c>
    </row>
    <row r="22" spans="1:19" x14ac:dyDescent="0.35">
      <c r="A22" t="s">
        <v>91</v>
      </c>
      <c r="B22" t="s">
        <v>92</v>
      </c>
      <c r="C22" t="s">
        <v>16</v>
      </c>
      <c r="D22" t="s">
        <v>17</v>
      </c>
      <c r="E22" t="s">
        <v>26</v>
      </c>
      <c r="F22" t="s">
        <v>27</v>
      </c>
      <c r="G22" t="s">
        <v>85</v>
      </c>
      <c r="H22" s="3">
        <v>56</v>
      </c>
      <c r="I22" s="8">
        <v>40917</v>
      </c>
      <c r="J22" s="4">
        <v>146140</v>
      </c>
      <c r="K22" s="1">
        <v>0.1</v>
      </c>
      <c r="L22" t="s">
        <v>93</v>
      </c>
      <c r="M22" t="s">
        <v>94</v>
      </c>
      <c r="O22" s="5">
        <f t="shared" si="0"/>
        <v>14614</v>
      </c>
      <c r="P22" s="6">
        <f>Table1[[#This Row],[Annual Salary]]+Table1[[#This Row],[Bonus Amount]]</f>
        <v>160754</v>
      </c>
      <c r="Q22" t="str">
        <f>IF(Table1[[#This Row],[Exit Date]]="", "Active","Exited")</f>
        <v>Active</v>
      </c>
      <c r="R22" s="2">
        <f ca="1">IFERROR(DATEDIF(Table1[[#This Row],[Hire Date]],IF(Table1[[#This Row],[Exit Date]]="",TODAY(),Table1[[#This Row],[Exit Date]]),"Y"),"")</f>
        <v>14</v>
      </c>
      <c r="S22" t="str" cm="1">
        <f t="array" ref="S22">_xlfn.IFS(Table1[[#This Row],[Age]]&lt;30,"Under 30",Table1[[#This Row],[Age]]&lt;=40,"30-40",Table1[[#This Row],[Age]]&lt;50,"41-50",TRUE,"50+")</f>
        <v>50+</v>
      </c>
    </row>
    <row r="23" spans="1:19" x14ac:dyDescent="0.35">
      <c r="A23" t="s">
        <v>95</v>
      </c>
      <c r="B23" t="s">
        <v>96</v>
      </c>
      <c r="C23" t="s">
        <v>33</v>
      </c>
      <c r="D23" t="s">
        <v>48</v>
      </c>
      <c r="E23" t="s">
        <v>26</v>
      </c>
      <c r="F23" t="s">
        <v>19</v>
      </c>
      <c r="G23" t="s">
        <v>85</v>
      </c>
      <c r="H23" s="3">
        <v>36</v>
      </c>
      <c r="I23" s="8">
        <v>44288</v>
      </c>
      <c r="J23" s="4">
        <v>151703</v>
      </c>
      <c r="K23" s="1">
        <v>0.21</v>
      </c>
      <c r="L23" t="s">
        <v>21</v>
      </c>
      <c r="M23" t="s">
        <v>56</v>
      </c>
      <c r="O23" s="5">
        <f t="shared" si="0"/>
        <v>31857.629999999997</v>
      </c>
      <c r="P23" s="6">
        <f>Table1[[#This Row],[Annual Salary]]+Table1[[#This Row],[Bonus Amount]]</f>
        <v>183560.63</v>
      </c>
      <c r="Q23" t="str">
        <f>IF(Table1[[#This Row],[Exit Date]]="", "Active","Exited")</f>
        <v>Active</v>
      </c>
      <c r="R23" s="2">
        <f ca="1">IFERROR(DATEDIF(Table1[[#This Row],[Hire Date]],IF(Table1[[#This Row],[Exit Date]]="",TODAY(),Table1[[#This Row],[Exit Date]]),"Y"),"")</f>
        <v>4</v>
      </c>
      <c r="S23" t="str" cm="1">
        <f t="array" ref="S23">_xlfn.IFS(Table1[[#This Row],[Age]]&lt;30,"Under 30",Table1[[#This Row],[Age]]&lt;=40,"30-40",Table1[[#This Row],[Age]]&lt;50,"41-50",TRUE,"50+")</f>
        <v>30-40</v>
      </c>
    </row>
    <row r="24" spans="1:19" x14ac:dyDescent="0.35">
      <c r="A24" t="s">
        <v>97</v>
      </c>
      <c r="B24" t="s">
        <v>98</v>
      </c>
      <c r="C24" t="s">
        <v>33</v>
      </c>
      <c r="D24" t="s">
        <v>17</v>
      </c>
      <c r="E24" t="s">
        <v>18</v>
      </c>
      <c r="F24" t="s">
        <v>27</v>
      </c>
      <c r="G24" t="s">
        <v>85</v>
      </c>
      <c r="H24" s="3">
        <v>59</v>
      </c>
      <c r="I24" s="8">
        <v>37400</v>
      </c>
      <c r="J24" s="4">
        <v>172787</v>
      </c>
      <c r="K24" s="1">
        <v>0.28000000000000003</v>
      </c>
      <c r="L24" t="s">
        <v>93</v>
      </c>
      <c r="M24" t="s">
        <v>99</v>
      </c>
      <c r="O24" s="5">
        <f t="shared" si="0"/>
        <v>48380.360000000008</v>
      </c>
      <c r="P24" s="6">
        <f>Table1[[#This Row],[Annual Salary]]+Table1[[#This Row],[Bonus Amount]]</f>
        <v>221167.36000000002</v>
      </c>
      <c r="Q24" t="str">
        <f>IF(Table1[[#This Row],[Exit Date]]="", "Active","Exited")</f>
        <v>Active</v>
      </c>
      <c r="R24" s="2">
        <f ca="1">IFERROR(DATEDIF(Table1[[#This Row],[Hire Date]],IF(Table1[[#This Row],[Exit Date]]="",TODAY(),Table1[[#This Row],[Exit Date]]),"Y"),"")</f>
        <v>23</v>
      </c>
      <c r="S24" t="str" cm="1">
        <f t="array" ref="S24">_xlfn.IFS(Table1[[#This Row],[Age]]&lt;30,"Under 30",Table1[[#This Row],[Age]]&lt;=40,"30-40",Table1[[#This Row],[Age]]&lt;50,"41-50",TRUE,"50+")</f>
        <v>50+</v>
      </c>
    </row>
    <row r="25" spans="1:19" x14ac:dyDescent="0.35">
      <c r="A25" t="s">
        <v>100</v>
      </c>
      <c r="B25" t="s">
        <v>101</v>
      </c>
      <c r="C25" t="s">
        <v>55</v>
      </c>
      <c r="D25" t="s">
        <v>48</v>
      </c>
      <c r="E25" t="s">
        <v>35</v>
      </c>
      <c r="F25" t="s">
        <v>27</v>
      </c>
      <c r="G25" t="s">
        <v>36</v>
      </c>
      <c r="H25" s="3">
        <v>37</v>
      </c>
      <c r="I25" s="8">
        <v>43713</v>
      </c>
      <c r="J25" s="4">
        <v>49998</v>
      </c>
      <c r="K25" s="1">
        <v>0</v>
      </c>
      <c r="L25" t="s">
        <v>21</v>
      </c>
      <c r="M25" t="s">
        <v>22</v>
      </c>
      <c r="O25" s="5">
        <f t="shared" si="0"/>
        <v>0</v>
      </c>
      <c r="P25" s="6">
        <f>Table1[[#This Row],[Annual Salary]]+Table1[[#This Row],[Bonus Amount]]</f>
        <v>49998</v>
      </c>
      <c r="Q25" t="str">
        <f>IF(Table1[[#This Row],[Exit Date]]="", "Active","Exited")</f>
        <v>Active</v>
      </c>
      <c r="R25" s="2">
        <f ca="1">IFERROR(DATEDIF(Table1[[#This Row],[Hire Date]],IF(Table1[[#This Row],[Exit Date]]="",TODAY(),Table1[[#This Row],[Exit Date]]),"Y"),"")</f>
        <v>6</v>
      </c>
      <c r="S25" t="str" cm="1">
        <f t="array" ref="S25">_xlfn.IFS(Table1[[#This Row],[Age]]&lt;30,"Under 30",Table1[[#This Row],[Age]]&lt;=40,"30-40",Table1[[#This Row],[Age]]&lt;50,"41-50",TRUE,"50+")</f>
        <v>30-40</v>
      </c>
    </row>
    <row r="26" spans="1:19" x14ac:dyDescent="0.35">
      <c r="A26" t="s">
        <v>102</v>
      </c>
      <c r="B26" t="s">
        <v>103</v>
      </c>
      <c r="C26" t="s">
        <v>79</v>
      </c>
      <c r="D26" t="s">
        <v>48</v>
      </c>
      <c r="E26" t="s">
        <v>35</v>
      </c>
      <c r="F26" t="s">
        <v>27</v>
      </c>
      <c r="G26" t="s">
        <v>28</v>
      </c>
      <c r="H26" s="3">
        <v>44</v>
      </c>
      <c r="I26" s="8">
        <v>41700</v>
      </c>
      <c r="J26" s="4">
        <v>207172</v>
      </c>
      <c r="K26" s="1">
        <v>0.31</v>
      </c>
      <c r="L26" t="s">
        <v>29</v>
      </c>
      <c r="M26" t="s">
        <v>30</v>
      </c>
      <c r="O26" s="5">
        <f t="shared" si="0"/>
        <v>64223.32</v>
      </c>
      <c r="P26" s="6">
        <f>Table1[[#This Row],[Annual Salary]]+Table1[[#This Row],[Bonus Amount]]</f>
        <v>271395.32</v>
      </c>
      <c r="Q26" t="str">
        <f>IF(Table1[[#This Row],[Exit Date]]="", "Active","Exited")</f>
        <v>Active</v>
      </c>
      <c r="R26" s="2">
        <f ca="1">IFERROR(DATEDIF(Table1[[#This Row],[Hire Date]],IF(Table1[[#This Row],[Exit Date]]="",TODAY(),Table1[[#This Row],[Exit Date]]),"Y"),"")</f>
        <v>12</v>
      </c>
      <c r="S26" t="str" cm="1">
        <f t="array" ref="S26">_xlfn.IFS(Table1[[#This Row],[Age]]&lt;30,"Under 30",Table1[[#This Row],[Age]]&lt;=40,"30-40",Table1[[#This Row],[Age]]&lt;50,"41-50",TRUE,"50+")</f>
        <v>41-50</v>
      </c>
    </row>
    <row r="27" spans="1:19" x14ac:dyDescent="0.35">
      <c r="A27" t="s">
        <v>104</v>
      </c>
      <c r="B27" t="s">
        <v>105</v>
      </c>
      <c r="C27" t="s">
        <v>33</v>
      </c>
      <c r="D27" t="s">
        <v>65</v>
      </c>
      <c r="E27" t="s">
        <v>35</v>
      </c>
      <c r="F27" t="s">
        <v>27</v>
      </c>
      <c r="G27" t="s">
        <v>20</v>
      </c>
      <c r="H27" s="3">
        <v>41</v>
      </c>
      <c r="I27" s="8">
        <v>42111</v>
      </c>
      <c r="J27" s="4">
        <v>152239</v>
      </c>
      <c r="K27" s="1">
        <v>0.23</v>
      </c>
      <c r="L27" t="s">
        <v>21</v>
      </c>
      <c r="M27" t="s">
        <v>88</v>
      </c>
      <c r="O27" s="5">
        <f t="shared" si="0"/>
        <v>35014.97</v>
      </c>
      <c r="P27" s="6">
        <f>Table1[[#This Row],[Annual Salary]]+Table1[[#This Row],[Bonus Amount]]</f>
        <v>187253.97</v>
      </c>
      <c r="Q27" t="str">
        <f>IF(Table1[[#This Row],[Exit Date]]="", "Active","Exited")</f>
        <v>Active</v>
      </c>
      <c r="R27" s="2">
        <f ca="1">IFERROR(DATEDIF(Table1[[#This Row],[Hire Date]],IF(Table1[[#This Row],[Exit Date]]="",TODAY(),Table1[[#This Row],[Exit Date]]),"Y"),"")</f>
        <v>10</v>
      </c>
      <c r="S27" t="str" cm="1">
        <f t="array" ref="S27">_xlfn.IFS(Table1[[#This Row],[Age]]&lt;30,"Under 30",Table1[[#This Row],[Age]]&lt;=40,"30-40",Table1[[#This Row],[Age]]&lt;50,"41-50",TRUE,"50+")</f>
        <v>41-50</v>
      </c>
    </row>
    <row r="28" spans="1:19" x14ac:dyDescent="0.35">
      <c r="A28" t="s">
        <v>106</v>
      </c>
      <c r="B28" t="s">
        <v>107</v>
      </c>
      <c r="C28" t="s">
        <v>108</v>
      </c>
      <c r="D28" t="s">
        <v>69</v>
      </c>
      <c r="E28" t="s">
        <v>49</v>
      </c>
      <c r="F28" t="s">
        <v>19</v>
      </c>
      <c r="G28" t="s">
        <v>85</v>
      </c>
      <c r="H28" s="3">
        <v>56</v>
      </c>
      <c r="I28" s="8">
        <v>38388</v>
      </c>
      <c r="J28" s="4">
        <v>98581</v>
      </c>
      <c r="K28" s="1">
        <v>0</v>
      </c>
      <c r="L28" t="s">
        <v>93</v>
      </c>
      <c r="M28" t="s">
        <v>99</v>
      </c>
      <c r="O28" s="5">
        <f t="shared" si="0"/>
        <v>0</v>
      </c>
      <c r="P28" s="6">
        <f>Table1[[#This Row],[Annual Salary]]+Table1[[#This Row],[Bonus Amount]]</f>
        <v>98581</v>
      </c>
      <c r="Q28" t="str">
        <f>IF(Table1[[#This Row],[Exit Date]]="", "Active","Exited")</f>
        <v>Active</v>
      </c>
      <c r="R28" s="2">
        <f ca="1">IFERROR(DATEDIF(Table1[[#This Row],[Hire Date]],IF(Table1[[#This Row],[Exit Date]]="",TODAY(),Table1[[#This Row],[Exit Date]]),"Y"),"")</f>
        <v>21</v>
      </c>
      <c r="S28" t="str" cm="1">
        <f t="array" ref="S28">_xlfn.IFS(Table1[[#This Row],[Age]]&lt;30,"Under 30",Table1[[#This Row],[Age]]&lt;=40,"30-40",Table1[[#This Row],[Age]]&lt;50,"41-50",TRUE,"50+")</f>
        <v>50+</v>
      </c>
    </row>
    <row r="29" spans="1:19" x14ac:dyDescent="0.35">
      <c r="A29" t="s">
        <v>109</v>
      </c>
      <c r="B29" t="s">
        <v>110</v>
      </c>
      <c r="C29" t="s">
        <v>79</v>
      </c>
      <c r="D29" t="s">
        <v>69</v>
      </c>
      <c r="E29" t="s">
        <v>35</v>
      </c>
      <c r="F29" t="s">
        <v>27</v>
      </c>
      <c r="G29" t="s">
        <v>28</v>
      </c>
      <c r="H29" s="3">
        <v>43</v>
      </c>
      <c r="I29" s="8">
        <v>38145</v>
      </c>
      <c r="J29" s="4">
        <v>246231</v>
      </c>
      <c r="K29" s="1">
        <v>0.31</v>
      </c>
      <c r="L29" t="s">
        <v>21</v>
      </c>
      <c r="M29" t="s">
        <v>22</v>
      </c>
      <c r="O29" s="5">
        <f t="shared" si="0"/>
        <v>76331.61</v>
      </c>
      <c r="P29" s="6">
        <f>Table1[[#This Row],[Annual Salary]]+Table1[[#This Row],[Bonus Amount]]</f>
        <v>322562.61</v>
      </c>
      <c r="Q29" t="str">
        <f>IF(Table1[[#This Row],[Exit Date]]="", "Active","Exited")</f>
        <v>Active</v>
      </c>
      <c r="R29" s="2">
        <f ca="1">IFERROR(DATEDIF(Table1[[#This Row],[Hire Date]],IF(Table1[[#This Row],[Exit Date]]="",TODAY(),Table1[[#This Row],[Exit Date]]),"Y"),"")</f>
        <v>21</v>
      </c>
      <c r="S29" t="str" cm="1">
        <f t="array" ref="S29">_xlfn.IFS(Table1[[#This Row],[Age]]&lt;30,"Under 30",Table1[[#This Row],[Age]]&lt;=40,"30-40",Table1[[#This Row],[Age]]&lt;50,"41-50",TRUE,"50+")</f>
        <v>41-50</v>
      </c>
    </row>
    <row r="30" spans="1:19" x14ac:dyDescent="0.35">
      <c r="A30" t="s">
        <v>111</v>
      </c>
      <c r="B30" t="s">
        <v>112</v>
      </c>
      <c r="C30" t="s">
        <v>113</v>
      </c>
      <c r="D30" t="s">
        <v>69</v>
      </c>
      <c r="E30" t="s">
        <v>35</v>
      </c>
      <c r="F30" t="s">
        <v>27</v>
      </c>
      <c r="G30" t="s">
        <v>28</v>
      </c>
      <c r="H30" s="3">
        <v>64</v>
      </c>
      <c r="I30" s="8">
        <v>35403</v>
      </c>
      <c r="J30" s="4">
        <v>99354</v>
      </c>
      <c r="K30" s="1">
        <v>0.12</v>
      </c>
      <c r="L30" t="s">
        <v>29</v>
      </c>
      <c r="M30" t="s">
        <v>114</v>
      </c>
      <c r="O30" s="5">
        <f t="shared" si="0"/>
        <v>11922.48</v>
      </c>
      <c r="P30" s="6">
        <f>Table1[[#This Row],[Annual Salary]]+Table1[[#This Row],[Bonus Amount]]</f>
        <v>111276.48</v>
      </c>
      <c r="Q30" t="str">
        <f>IF(Table1[[#This Row],[Exit Date]]="", "Active","Exited")</f>
        <v>Active</v>
      </c>
      <c r="R30" s="2">
        <f ca="1">IFERROR(DATEDIF(Table1[[#This Row],[Hire Date]],IF(Table1[[#This Row],[Exit Date]]="",TODAY(),Table1[[#This Row],[Exit Date]]),"Y"),"")</f>
        <v>29</v>
      </c>
      <c r="S30" t="str" cm="1">
        <f t="array" ref="S30">_xlfn.IFS(Table1[[#This Row],[Age]]&lt;30,"Under 30",Table1[[#This Row],[Age]]&lt;=40,"30-40",Table1[[#This Row],[Age]]&lt;50,"41-50",TRUE,"50+")</f>
        <v>50+</v>
      </c>
    </row>
    <row r="31" spans="1:19" x14ac:dyDescent="0.35">
      <c r="A31" t="s">
        <v>115</v>
      </c>
      <c r="B31" t="s">
        <v>116</v>
      </c>
      <c r="C31" t="s">
        <v>79</v>
      </c>
      <c r="D31" t="s">
        <v>17</v>
      </c>
      <c r="E31" t="s">
        <v>49</v>
      </c>
      <c r="F31" t="s">
        <v>27</v>
      </c>
      <c r="G31" t="s">
        <v>28</v>
      </c>
      <c r="H31" s="3">
        <v>63</v>
      </c>
      <c r="I31" s="8">
        <v>41040</v>
      </c>
      <c r="J31" s="4">
        <v>231141</v>
      </c>
      <c r="K31" s="1">
        <v>0.34</v>
      </c>
      <c r="L31" t="s">
        <v>29</v>
      </c>
      <c r="M31" t="s">
        <v>114</v>
      </c>
      <c r="O31" s="5">
        <f t="shared" si="0"/>
        <v>78587.94</v>
      </c>
      <c r="P31" s="6">
        <f>Table1[[#This Row],[Annual Salary]]+Table1[[#This Row],[Bonus Amount]]</f>
        <v>309728.94</v>
      </c>
      <c r="Q31" t="str">
        <f>IF(Table1[[#This Row],[Exit Date]]="", "Active","Exited")</f>
        <v>Active</v>
      </c>
      <c r="R31" s="2">
        <f ca="1">IFERROR(DATEDIF(Table1[[#This Row],[Hire Date]],IF(Table1[[#This Row],[Exit Date]]="",TODAY(),Table1[[#This Row],[Exit Date]]),"Y"),"")</f>
        <v>13</v>
      </c>
      <c r="S31" t="str" cm="1">
        <f t="array" ref="S31">_xlfn.IFS(Table1[[#This Row],[Age]]&lt;30,"Under 30",Table1[[#This Row],[Age]]&lt;=40,"30-40",Table1[[#This Row],[Age]]&lt;50,"41-50",TRUE,"50+")</f>
        <v>50+</v>
      </c>
    </row>
    <row r="32" spans="1:19" x14ac:dyDescent="0.35">
      <c r="A32" t="s">
        <v>117</v>
      </c>
      <c r="B32" t="s">
        <v>118</v>
      </c>
      <c r="C32" t="s">
        <v>119</v>
      </c>
      <c r="D32" t="s">
        <v>17</v>
      </c>
      <c r="E32" t="s">
        <v>18</v>
      </c>
      <c r="F32" t="s">
        <v>27</v>
      </c>
      <c r="G32" t="s">
        <v>28</v>
      </c>
      <c r="H32" s="3">
        <v>28</v>
      </c>
      <c r="I32" s="8">
        <v>42911</v>
      </c>
      <c r="J32" s="4">
        <v>54775</v>
      </c>
      <c r="K32" s="1">
        <v>0</v>
      </c>
      <c r="L32" t="s">
        <v>21</v>
      </c>
      <c r="M32" t="s">
        <v>88</v>
      </c>
      <c r="O32" s="5">
        <f t="shared" si="0"/>
        <v>0</v>
      </c>
      <c r="P32" s="6">
        <f>Table1[[#This Row],[Annual Salary]]+Table1[[#This Row],[Bonus Amount]]</f>
        <v>54775</v>
      </c>
      <c r="Q32" t="str">
        <f>IF(Table1[[#This Row],[Exit Date]]="", "Active","Exited")</f>
        <v>Active</v>
      </c>
      <c r="R32" s="2">
        <f ca="1">IFERROR(DATEDIF(Table1[[#This Row],[Hire Date]],IF(Table1[[#This Row],[Exit Date]]="",TODAY(),Table1[[#This Row],[Exit Date]]),"Y"),"")</f>
        <v>8</v>
      </c>
      <c r="S32" t="str" cm="1">
        <f t="array" ref="S32">_xlfn.IFS(Table1[[#This Row],[Age]]&lt;30,"Under 30",Table1[[#This Row],[Age]]&lt;=40,"30-40",Table1[[#This Row],[Age]]&lt;50,"41-50",TRUE,"50+")</f>
        <v>Under 30</v>
      </c>
    </row>
    <row r="33" spans="1:19" x14ac:dyDescent="0.35">
      <c r="A33" t="s">
        <v>120</v>
      </c>
      <c r="B33" t="s">
        <v>121</v>
      </c>
      <c r="C33" t="s">
        <v>55</v>
      </c>
      <c r="D33" t="s">
        <v>34</v>
      </c>
      <c r="E33" t="s">
        <v>26</v>
      </c>
      <c r="F33" t="s">
        <v>27</v>
      </c>
      <c r="G33" t="s">
        <v>85</v>
      </c>
      <c r="H33" s="3">
        <v>65</v>
      </c>
      <c r="I33" s="8">
        <v>38123</v>
      </c>
      <c r="J33" s="4">
        <v>55499</v>
      </c>
      <c r="K33" s="1">
        <v>0</v>
      </c>
      <c r="L33" t="s">
        <v>93</v>
      </c>
      <c r="M33" t="s">
        <v>94</v>
      </c>
      <c r="O33" s="5">
        <f t="shared" si="0"/>
        <v>0</v>
      </c>
      <c r="P33" s="6">
        <f>Table1[[#This Row],[Annual Salary]]+Table1[[#This Row],[Bonus Amount]]</f>
        <v>55499</v>
      </c>
      <c r="Q33" t="str">
        <f>IF(Table1[[#This Row],[Exit Date]]="", "Active","Exited")</f>
        <v>Active</v>
      </c>
      <c r="R33" s="2">
        <f ca="1">IFERROR(DATEDIF(Table1[[#This Row],[Hire Date]],IF(Table1[[#This Row],[Exit Date]]="",TODAY(),Table1[[#This Row],[Exit Date]]),"Y"),"")</f>
        <v>21</v>
      </c>
      <c r="S33" t="str" cm="1">
        <f t="array" ref="S33">_xlfn.IFS(Table1[[#This Row],[Age]]&lt;30,"Under 30",Table1[[#This Row],[Age]]&lt;=40,"30-40",Table1[[#This Row],[Age]]&lt;50,"41-50",TRUE,"50+")</f>
        <v>50+</v>
      </c>
    </row>
    <row r="34" spans="1:19" x14ac:dyDescent="0.35">
      <c r="A34" t="s">
        <v>122</v>
      </c>
      <c r="B34" t="s">
        <v>123</v>
      </c>
      <c r="C34" t="s">
        <v>124</v>
      </c>
      <c r="D34" t="s">
        <v>48</v>
      </c>
      <c r="E34" t="s">
        <v>18</v>
      </c>
      <c r="F34" t="s">
        <v>27</v>
      </c>
      <c r="G34" t="s">
        <v>36</v>
      </c>
      <c r="H34" s="3">
        <v>61</v>
      </c>
      <c r="I34" s="8">
        <v>39640</v>
      </c>
      <c r="J34" s="4">
        <v>66521</v>
      </c>
      <c r="K34" s="1">
        <v>0</v>
      </c>
      <c r="L34" t="s">
        <v>21</v>
      </c>
      <c r="M34" t="s">
        <v>22</v>
      </c>
      <c r="O34" s="5">
        <f t="shared" si="0"/>
        <v>0</v>
      </c>
      <c r="P34" s="6">
        <f>Table1[[#This Row],[Annual Salary]]+Table1[[#This Row],[Bonus Amount]]</f>
        <v>66521</v>
      </c>
      <c r="Q34" t="str">
        <f>IF(Table1[[#This Row],[Exit Date]]="", "Active","Exited")</f>
        <v>Active</v>
      </c>
      <c r="R34" s="2">
        <f ca="1">IFERROR(DATEDIF(Table1[[#This Row],[Hire Date]],IF(Table1[[#This Row],[Exit Date]]="",TODAY(),Table1[[#This Row],[Exit Date]]),"Y"),"")</f>
        <v>17</v>
      </c>
      <c r="S34" t="str" cm="1">
        <f t="array" ref="S34">_xlfn.IFS(Table1[[#This Row],[Age]]&lt;30,"Under 30",Table1[[#This Row],[Age]]&lt;=40,"30-40",Table1[[#This Row],[Age]]&lt;50,"41-50",TRUE,"50+")</f>
        <v>50+</v>
      </c>
    </row>
    <row r="35" spans="1:19" x14ac:dyDescent="0.35">
      <c r="A35" t="s">
        <v>125</v>
      </c>
      <c r="B35" t="s">
        <v>126</v>
      </c>
      <c r="C35" t="s">
        <v>47</v>
      </c>
      <c r="D35" t="s">
        <v>48</v>
      </c>
      <c r="E35" t="s">
        <v>35</v>
      </c>
      <c r="F35" t="s">
        <v>27</v>
      </c>
      <c r="G35" t="s">
        <v>28</v>
      </c>
      <c r="H35" s="3">
        <v>30</v>
      </c>
      <c r="I35" s="8">
        <v>42642</v>
      </c>
      <c r="J35" s="4">
        <v>59100</v>
      </c>
      <c r="K35" s="1">
        <v>0</v>
      </c>
      <c r="L35" t="s">
        <v>29</v>
      </c>
      <c r="M35" t="s">
        <v>30</v>
      </c>
      <c r="O35" s="5">
        <f t="shared" si="0"/>
        <v>0</v>
      </c>
      <c r="P35" s="6">
        <f>Table1[[#This Row],[Annual Salary]]+Table1[[#This Row],[Bonus Amount]]</f>
        <v>59100</v>
      </c>
      <c r="Q35" t="str">
        <f>IF(Table1[[#This Row],[Exit Date]]="", "Active","Exited")</f>
        <v>Active</v>
      </c>
      <c r="R35" s="2">
        <f ca="1">IFERROR(DATEDIF(Table1[[#This Row],[Hire Date]],IF(Table1[[#This Row],[Exit Date]]="",TODAY(),Table1[[#This Row],[Exit Date]]),"Y"),"")</f>
        <v>9</v>
      </c>
      <c r="S35" t="str" cm="1">
        <f t="array" ref="S35">_xlfn.IFS(Table1[[#This Row],[Age]]&lt;30,"Under 30",Table1[[#This Row],[Age]]&lt;=40,"30-40",Table1[[#This Row],[Age]]&lt;50,"41-50",TRUE,"50+")</f>
        <v>30-40</v>
      </c>
    </row>
    <row r="36" spans="1:19" x14ac:dyDescent="0.35">
      <c r="A36" t="s">
        <v>127</v>
      </c>
      <c r="B36" t="s">
        <v>128</v>
      </c>
      <c r="C36" t="s">
        <v>55</v>
      </c>
      <c r="D36" t="s">
        <v>34</v>
      </c>
      <c r="E36" t="s">
        <v>18</v>
      </c>
      <c r="F36" t="s">
        <v>19</v>
      </c>
      <c r="G36" t="s">
        <v>36</v>
      </c>
      <c r="H36" s="3">
        <v>27</v>
      </c>
      <c r="I36" s="8">
        <v>43226</v>
      </c>
      <c r="J36" s="4">
        <v>49011</v>
      </c>
      <c r="K36" s="1">
        <v>0</v>
      </c>
      <c r="L36" t="s">
        <v>21</v>
      </c>
      <c r="M36" t="s">
        <v>37</v>
      </c>
      <c r="O36" s="5">
        <f t="shared" si="0"/>
        <v>0</v>
      </c>
      <c r="P36" s="6">
        <f>Table1[[#This Row],[Annual Salary]]+Table1[[#This Row],[Bonus Amount]]</f>
        <v>49011</v>
      </c>
      <c r="Q36" t="str">
        <f>IF(Table1[[#This Row],[Exit Date]]="", "Active","Exited")</f>
        <v>Active</v>
      </c>
      <c r="R36" s="2">
        <f ca="1">IFERROR(DATEDIF(Table1[[#This Row],[Hire Date]],IF(Table1[[#This Row],[Exit Date]]="",TODAY(),Table1[[#This Row],[Exit Date]]),"Y"),"")</f>
        <v>7</v>
      </c>
      <c r="S36" t="str" cm="1">
        <f t="array" ref="S36">_xlfn.IFS(Table1[[#This Row],[Age]]&lt;30,"Under 30",Table1[[#This Row],[Age]]&lt;=40,"30-40",Table1[[#This Row],[Age]]&lt;50,"41-50",TRUE,"50+")</f>
        <v>Under 30</v>
      </c>
    </row>
    <row r="37" spans="1:19" x14ac:dyDescent="0.35">
      <c r="A37" t="s">
        <v>129</v>
      </c>
      <c r="B37" t="s">
        <v>130</v>
      </c>
      <c r="C37" t="s">
        <v>131</v>
      </c>
      <c r="D37" t="s">
        <v>17</v>
      </c>
      <c r="E37" t="s">
        <v>26</v>
      </c>
      <c r="F37" t="s">
        <v>19</v>
      </c>
      <c r="G37" t="s">
        <v>36</v>
      </c>
      <c r="H37" s="3">
        <v>32</v>
      </c>
      <c r="I37" s="8">
        <v>41681</v>
      </c>
      <c r="J37" s="4">
        <v>99575</v>
      </c>
      <c r="K37" s="1">
        <v>0</v>
      </c>
      <c r="L37" t="s">
        <v>21</v>
      </c>
      <c r="M37" t="s">
        <v>60</v>
      </c>
      <c r="O37" s="5">
        <f t="shared" si="0"/>
        <v>0</v>
      </c>
      <c r="P37" s="6">
        <f>Table1[[#This Row],[Annual Salary]]+Table1[[#This Row],[Bonus Amount]]</f>
        <v>99575</v>
      </c>
      <c r="Q37" t="str">
        <f>IF(Table1[[#This Row],[Exit Date]]="", "Active","Exited")</f>
        <v>Active</v>
      </c>
      <c r="R37" s="2">
        <f ca="1">IFERROR(DATEDIF(Table1[[#This Row],[Hire Date]],IF(Table1[[#This Row],[Exit Date]]="",TODAY(),Table1[[#This Row],[Exit Date]]),"Y"),"")</f>
        <v>12</v>
      </c>
      <c r="S37" t="str" cm="1">
        <f t="array" ref="S37">_xlfn.IFS(Table1[[#This Row],[Age]]&lt;30,"Under 30",Table1[[#This Row],[Age]]&lt;=40,"30-40",Table1[[#This Row],[Age]]&lt;50,"41-50",TRUE,"50+")</f>
        <v>30-40</v>
      </c>
    </row>
    <row r="38" spans="1:19" x14ac:dyDescent="0.35">
      <c r="A38" t="s">
        <v>132</v>
      </c>
      <c r="B38" t="s">
        <v>133</v>
      </c>
      <c r="C38" t="s">
        <v>68</v>
      </c>
      <c r="D38" t="s">
        <v>69</v>
      </c>
      <c r="E38" t="s">
        <v>26</v>
      </c>
      <c r="F38" t="s">
        <v>19</v>
      </c>
      <c r="G38" t="s">
        <v>28</v>
      </c>
      <c r="H38" s="3">
        <v>34</v>
      </c>
      <c r="I38" s="8">
        <v>43815</v>
      </c>
      <c r="J38" s="4">
        <v>99989</v>
      </c>
      <c r="K38" s="1">
        <v>0</v>
      </c>
      <c r="L38" t="s">
        <v>29</v>
      </c>
      <c r="M38" t="s">
        <v>134</v>
      </c>
      <c r="O38" s="5">
        <f t="shared" si="0"/>
        <v>0</v>
      </c>
      <c r="P38" s="6">
        <f>Table1[[#This Row],[Annual Salary]]+Table1[[#This Row],[Bonus Amount]]</f>
        <v>99989</v>
      </c>
      <c r="Q38" t="str">
        <f>IF(Table1[[#This Row],[Exit Date]]="", "Active","Exited")</f>
        <v>Active</v>
      </c>
      <c r="R38" s="2">
        <f ca="1">IFERROR(DATEDIF(Table1[[#This Row],[Hire Date]],IF(Table1[[#This Row],[Exit Date]]="",TODAY(),Table1[[#This Row],[Exit Date]]),"Y"),"")</f>
        <v>6</v>
      </c>
      <c r="S38" t="str" cm="1">
        <f t="array" ref="S38">_xlfn.IFS(Table1[[#This Row],[Age]]&lt;30,"Under 30",Table1[[#This Row],[Age]]&lt;=40,"30-40",Table1[[#This Row],[Age]]&lt;50,"41-50",TRUE,"50+")</f>
        <v>30-40</v>
      </c>
    </row>
    <row r="39" spans="1:19" x14ac:dyDescent="0.35">
      <c r="A39" t="s">
        <v>135</v>
      </c>
      <c r="B39" t="s">
        <v>136</v>
      </c>
      <c r="C39" t="s">
        <v>79</v>
      </c>
      <c r="D39" t="s">
        <v>80</v>
      </c>
      <c r="E39" t="s">
        <v>18</v>
      </c>
      <c r="F39" t="s">
        <v>27</v>
      </c>
      <c r="G39" t="s">
        <v>36</v>
      </c>
      <c r="H39" s="3">
        <v>27</v>
      </c>
      <c r="I39" s="8">
        <v>43758</v>
      </c>
      <c r="J39" s="4">
        <v>256420</v>
      </c>
      <c r="K39" s="1">
        <v>0.3</v>
      </c>
      <c r="L39" t="s">
        <v>21</v>
      </c>
      <c r="M39" t="s">
        <v>44</v>
      </c>
      <c r="O39" s="5">
        <f t="shared" si="0"/>
        <v>76926</v>
      </c>
      <c r="P39" s="6">
        <f>Table1[[#This Row],[Annual Salary]]+Table1[[#This Row],[Bonus Amount]]</f>
        <v>333346</v>
      </c>
      <c r="Q39" t="str">
        <f>IF(Table1[[#This Row],[Exit Date]]="", "Active","Exited")</f>
        <v>Active</v>
      </c>
      <c r="R39" s="2">
        <f ca="1">IFERROR(DATEDIF(Table1[[#This Row],[Hire Date]],IF(Table1[[#This Row],[Exit Date]]="",TODAY(),Table1[[#This Row],[Exit Date]]),"Y"),"")</f>
        <v>6</v>
      </c>
      <c r="S39" t="str" cm="1">
        <f t="array" ref="S39">_xlfn.IFS(Table1[[#This Row],[Age]]&lt;30,"Under 30",Table1[[#This Row],[Age]]&lt;=40,"30-40",Table1[[#This Row],[Age]]&lt;50,"41-50",TRUE,"50+")</f>
        <v>Under 30</v>
      </c>
    </row>
    <row r="40" spans="1:19" x14ac:dyDescent="0.35">
      <c r="A40" t="s">
        <v>137</v>
      </c>
      <c r="B40" t="s">
        <v>138</v>
      </c>
      <c r="C40" t="s">
        <v>25</v>
      </c>
      <c r="D40" t="s">
        <v>17</v>
      </c>
      <c r="E40" t="s">
        <v>26</v>
      </c>
      <c r="F40" t="s">
        <v>19</v>
      </c>
      <c r="G40" t="s">
        <v>85</v>
      </c>
      <c r="H40" s="3">
        <v>35</v>
      </c>
      <c r="I40" s="8">
        <v>41409</v>
      </c>
      <c r="J40" s="4">
        <v>78940</v>
      </c>
      <c r="K40" s="1">
        <v>0</v>
      </c>
      <c r="L40" t="s">
        <v>21</v>
      </c>
      <c r="M40" t="s">
        <v>56</v>
      </c>
      <c r="O40" s="5">
        <f t="shared" si="0"/>
        <v>0</v>
      </c>
      <c r="P40" s="6">
        <f>Table1[[#This Row],[Annual Salary]]+Table1[[#This Row],[Bonus Amount]]</f>
        <v>78940</v>
      </c>
      <c r="Q40" t="str">
        <f>IF(Table1[[#This Row],[Exit Date]]="", "Active","Exited")</f>
        <v>Active</v>
      </c>
      <c r="R40" s="2">
        <f ca="1">IFERROR(DATEDIF(Table1[[#This Row],[Hire Date]],IF(Table1[[#This Row],[Exit Date]]="",TODAY(),Table1[[#This Row],[Exit Date]]),"Y"),"")</f>
        <v>12</v>
      </c>
      <c r="S40" t="str" cm="1">
        <f t="array" ref="S40">_xlfn.IFS(Table1[[#This Row],[Age]]&lt;30,"Under 30",Table1[[#This Row],[Age]]&lt;=40,"30-40",Table1[[#This Row],[Age]]&lt;50,"41-50",TRUE,"50+")</f>
        <v>30-40</v>
      </c>
    </row>
    <row r="41" spans="1:19" x14ac:dyDescent="0.35">
      <c r="A41" t="s">
        <v>139</v>
      </c>
      <c r="B41" t="s">
        <v>140</v>
      </c>
      <c r="C41" t="s">
        <v>131</v>
      </c>
      <c r="D41" t="s">
        <v>17</v>
      </c>
      <c r="E41" t="s">
        <v>49</v>
      </c>
      <c r="F41" t="s">
        <v>19</v>
      </c>
      <c r="G41" t="s">
        <v>85</v>
      </c>
      <c r="H41" s="3">
        <v>57</v>
      </c>
      <c r="I41" s="8">
        <v>34337</v>
      </c>
      <c r="J41" s="4">
        <v>82872</v>
      </c>
      <c r="K41" s="1">
        <v>0</v>
      </c>
      <c r="L41" t="s">
        <v>93</v>
      </c>
      <c r="M41" t="s">
        <v>94</v>
      </c>
      <c r="O41" s="5">
        <f t="shared" si="0"/>
        <v>0</v>
      </c>
      <c r="P41" s="6">
        <f>Table1[[#This Row],[Annual Salary]]+Table1[[#This Row],[Bonus Amount]]</f>
        <v>82872</v>
      </c>
      <c r="Q41" t="str">
        <f>IF(Table1[[#This Row],[Exit Date]]="", "Active","Exited")</f>
        <v>Active</v>
      </c>
      <c r="R41" s="2">
        <f ca="1">IFERROR(DATEDIF(Table1[[#This Row],[Hire Date]],IF(Table1[[#This Row],[Exit Date]]="",TODAY(),Table1[[#This Row],[Exit Date]]),"Y"),"")</f>
        <v>32</v>
      </c>
      <c r="S41" t="str" cm="1">
        <f t="array" ref="S41">_xlfn.IFS(Table1[[#This Row],[Age]]&lt;30,"Under 30",Table1[[#This Row],[Age]]&lt;=40,"30-40",Table1[[#This Row],[Age]]&lt;50,"41-50",TRUE,"50+")</f>
        <v>50+</v>
      </c>
    </row>
    <row r="42" spans="1:19" x14ac:dyDescent="0.35">
      <c r="A42" t="s">
        <v>141</v>
      </c>
      <c r="B42" t="s">
        <v>142</v>
      </c>
      <c r="C42" t="s">
        <v>143</v>
      </c>
      <c r="D42" t="s">
        <v>65</v>
      </c>
      <c r="E42" t="s">
        <v>35</v>
      </c>
      <c r="F42" t="s">
        <v>27</v>
      </c>
      <c r="G42" t="s">
        <v>28</v>
      </c>
      <c r="H42" s="3">
        <v>30</v>
      </c>
      <c r="I42" s="8">
        <v>42884</v>
      </c>
      <c r="J42" s="4">
        <v>86317</v>
      </c>
      <c r="K42" s="1">
        <v>0</v>
      </c>
      <c r="L42" t="s">
        <v>29</v>
      </c>
      <c r="M42" t="s">
        <v>134</v>
      </c>
      <c r="N42" s="7">
        <v>42932</v>
      </c>
      <c r="O42" s="5">
        <f t="shared" si="0"/>
        <v>0</v>
      </c>
      <c r="P42" s="6">
        <f>Table1[[#This Row],[Annual Salary]]+Table1[[#This Row],[Bonus Amount]]</f>
        <v>86317</v>
      </c>
      <c r="Q42" t="str">
        <f>IF(Table1[[#This Row],[Exit Date]]="", "Active","Exited")</f>
        <v>Exited</v>
      </c>
      <c r="R42" s="2">
        <f ca="1">IFERROR(DATEDIF(Table1[[#This Row],[Hire Date]],IF(Table1[[#This Row],[Exit Date]]="",TODAY(),Table1[[#This Row],[Exit Date]]),"Y"),"")</f>
        <v>0</v>
      </c>
      <c r="S42" t="str" cm="1">
        <f t="array" ref="S42">_xlfn.IFS(Table1[[#This Row],[Age]]&lt;30,"Under 30",Table1[[#This Row],[Age]]&lt;=40,"30-40",Table1[[#This Row],[Age]]&lt;50,"41-50",TRUE,"50+")</f>
        <v>30-40</v>
      </c>
    </row>
    <row r="43" spans="1:19" x14ac:dyDescent="0.35">
      <c r="A43" t="s">
        <v>144</v>
      </c>
      <c r="B43" t="s">
        <v>145</v>
      </c>
      <c r="C43" t="s">
        <v>52</v>
      </c>
      <c r="D43" t="s">
        <v>80</v>
      </c>
      <c r="E43" t="s">
        <v>35</v>
      </c>
      <c r="F43" t="s">
        <v>19</v>
      </c>
      <c r="G43" t="s">
        <v>36</v>
      </c>
      <c r="H43" s="3">
        <v>53</v>
      </c>
      <c r="I43" s="8">
        <v>41601</v>
      </c>
      <c r="J43" s="4">
        <v>113135</v>
      </c>
      <c r="K43" s="1">
        <v>0.05</v>
      </c>
      <c r="L43" t="s">
        <v>21</v>
      </c>
      <c r="M43" t="s">
        <v>60</v>
      </c>
      <c r="O43" s="5">
        <f t="shared" si="0"/>
        <v>5656.75</v>
      </c>
      <c r="P43" s="6">
        <f>Table1[[#This Row],[Annual Salary]]+Table1[[#This Row],[Bonus Amount]]</f>
        <v>118791.75</v>
      </c>
      <c r="Q43" t="str">
        <f>IF(Table1[[#This Row],[Exit Date]]="", "Active","Exited")</f>
        <v>Active</v>
      </c>
      <c r="R43" s="2">
        <f ca="1">IFERROR(DATEDIF(Table1[[#This Row],[Hire Date]],IF(Table1[[#This Row],[Exit Date]]="",TODAY(),Table1[[#This Row],[Exit Date]]),"Y"),"")</f>
        <v>12</v>
      </c>
      <c r="S43" t="str" cm="1">
        <f t="array" ref="S43">_xlfn.IFS(Table1[[#This Row],[Age]]&lt;30,"Under 30",Table1[[#This Row],[Age]]&lt;=40,"30-40",Table1[[#This Row],[Age]]&lt;50,"41-50",TRUE,"50+")</f>
        <v>50+</v>
      </c>
    </row>
    <row r="44" spans="1:19" x14ac:dyDescent="0.35">
      <c r="A44" t="s">
        <v>146</v>
      </c>
      <c r="B44" t="s">
        <v>147</v>
      </c>
      <c r="C44" t="s">
        <v>79</v>
      </c>
      <c r="D44" t="s">
        <v>17</v>
      </c>
      <c r="E44" t="s">
        <v>35</v>
      </c>
      <c r="F44" t="s">
        <v>27</v>
      </c>
      <c r="G44" t="s">
        <v>36</v>
      </c>
      <c r="H44" s="3">
        <v>52</v>
      </c>
      <c r="I44" s="8">
        <v>38664</v>
      </c>
      <c r="J44" s="4">
        <v>199808</v>
      </c>
      <c r="K44" s="1">
        <v>0.32</v>
      </c>
      <c r="L44" t="s">
        <v>21</v>
      </c>
      <c r="M44" t="s">
        <v>22</v>
      </c>
      <c r="O44" s="5">
        <f t="shared" si="0"/>
        <v>63938.560000000005</v>
      </c>
      <c r="P44" s="6">
        <f>Table1[[#This Row],[Annual Salary]]+Table1[[#This Row],[Bonus Amount]]</f>
        <v>263746.56</v>
      </c>
      <c r="Q44" t="str">
        <f>IF(Table1[[#This Row],[Exit Date]]="", "Active","Exited")</f>
        <v>Active</v>
      </c>
      <c r="R44" s="2">
        <f ca="1">IFERROR(DATEDIF(Table1[[#This Row],[Hire Date]],IF(Table1[[#This Row],[Exit Date]]="",TODAY(),Table1[[#This Row],[Exit Date]]),"Y"),"")</f>
        <v>20</v>
      </c>
      <c r="S44" t="str" cm="1">
        <f t="array" ref="S44">_xlfn.IFS(Table1[[#This Row],[Age]]&lt;30,"Under 30",Table1[[#This Row],[Age]]&lt;=40,"30-40",Table1[[#This Row],[Age]]&lt;50,"41-50",TRUE,"50+")</f>
        <v>50+</v>
      </c>
    </row>
    <row r="45" spans="1:19" x14ac:dyDescent="0.35">
      <c r="A45" t="s">
        <v>148</v>
      </c>
      <c r="B45" t="s">
        <v>149</v>
      </c>
      <c r="C45" t="s">
        <v>47</v>
      </c>
      <c r="D45" t="s">
        <v>48</v>
      </c>
      <c r="E45" t="s">
        <v>35</v>
      </c>
      <c r="F45" t="s">
        <v>27</v>
      </c>
      <c r="G45" t="s">
        <v>28</v>
      </c>
      <c r="H45" s="3">
        <v>37</v>
      </c>
      <c r="I45" s="8">
        <v>41592</v>
      </c>
      <c r="J45" s="4">
        <v>56037</v>
      </c>
      <c r="K45" s="1">
        <v>0</v>
      </c>
      <c r="L45" t="s">
        <v>29</v>
      </c>
      <c r="M45" t="s">
        <v>74</v>
      </c>
      <c r="O45" s="5">
        <f t="shared" si="0"/>
        <v>0</v>
      </c>
      <c r="P45" s="6">
        <f>Table1[[#This Row],[Annual Salary]]+Table1[[#This Row],[Bonus Amount]]</f>
        <v>56037</v>
      </c>
      <c r="Q45" t="str">
        <f>IF(Table1[[#This Row],[Exit Date]]="", "Active","Exited")</f>
        <v>Active</v>
      </c>
      <c r="R45" s="2">
        <f ca="1">IFERROR(DATEDIF(Table1[[#This Row],[Hire Date]],IF(Table1[[#This Row],[Exit Date]]="",TODAY(),Table1[[#This Row],[Exit Date]]),"Y"),"")</f>
        <v>12</v>
      </c>
      <c r="S45" t="str" cm="1">
        <f t="array" ref="S45">_xlfn.IFS(Table1[[#This Row],[Age]]&lt;30,"Under 30",Table1[[#This Row],[Age]]&lt;=40,"30-40",Table1[[#This Row],[Age]]&lt;50,"41-50",TRUE,"50+")</f>
        <v>30-40</v>
      </c>
    </row>
    <row r="46" spans="1:19" x14ac:dyDescent="0.35">
      <c r="A46" t="s">
        <v>150</v>
      </c>
      <c r="B46" t="s">
        <v>151</v>
      </c>
      <c r="C46" t="s">
        <v>16</v>
      </c>
      <c r="D46" t="s">
        <v>80</v>
      </c>
      <c r="E46" t="s">
        <v>18</v>
      </c>
      <c r="F46" t="s">
        <v>19</v>
      </c>
      <c r="G46" t="s">
        <v>36</v>
      </c>
      <c r="H46" s="3">
        <v>29</v>
      </c>
      <c r="I46" s="8">
        <v>43609</v>
      </c>
      <c r="J46" s="4">
        <v>122350</v>
      </c>
      <c r="K46" s="1">
        <v>0.12</v>
      </c>
      <c r="L46" t="s">
        <v>21</v>
      </c>
      <c r="M46" t="s">
        <v>44</v>
      </c>
      <c r="O46" s="5">
        <f t="shared" si="0"/>
        <v>14682</v>
      </c>
      <c r="P46" s="6">
        <f>Table1[[#This Row],[Annual Salary]]+Table1[[#This Row],[Bonus Amount]]</f>
        <v>137032</v>
      </c>
      <c r="Q46" t="str">
        <f>IF(Table1[[#This Row],[Exit Date]]="", "Active","Exited")</f>
        <v>Active</v>
      </c>
      <c r="R46" s="2">
        <f ca="1">IFERROR(DATEDIF(Table1[[#This Row],[Hire Date]],IF(Table1[[#This Row],[Exit Date]]="",TODAY(),Table1[[#This Row],[Exit Date]]),"Y"),"")</f>
        <v>6</v>
      </c>
      <c r="S46" t="str" cm="1">
        <f t="array" ref="S46">_xlfn.IFS(Table1[[#This Row],[Age]]&lt;30,"Under 30",Table1[[#This Row],[Age]]&lt;=40,"30-40",Table1[[#This Row],[Age]]&lt;50,"41-50",TRUE,"50+")</f>
        <v>Under 30</v>
      </c>
    </row>
    <row r="47" spans="1:19" x14ac:dyDescent="0.35">
      <c r="A47" t="s">
        <v>152</v>
      </c>
      <c r="B47" t="s">
        <v>153</v>
      </c>
      <c r="C47" t="s">
        <v>131</v>
      </c>
      <c r="D47" t="s">
        <v>17</v>
      </c>
      <c r="E47" t="s">
        <v>18</v>
      </c>
      <c r="F47" t="s">
        <v>27</v>
      </c>
      <c r="G47" t="s">
        <v>36</v>
      </c>
      <c r="H47" s="3">
        <v>40</v>
      </c>
      <c r="I47" s="8">
        <v>40486</v>
      </c>
      <c r="J47" s="4">
        <v>92952</v>
      </c>
      <c r="K47" s="1">
        <v>0</v>
      </c>
      <c r="L47" t="s">
        <v>21</v>
      </c>
      <c r="M47" t="s">
        <v>22</v>
      </c>
      <c r="O47" s="5">
        <f t="shared" si="0"/>
        <v>0</v>
      </c>
      <c r="P47" s="6">
        <f>Table1[[#This Row],[Annual Salary]]+Table1[[#This Row],[Bonus Amount]]</f>
        <v>92952</v>
      </c>
      <c r="Q47" t="str">
        <f>IF(Table1[[#This Row],[Exit Date]]="", "Active","Exited")</f>
        <v>Active</v>
      </c>
      <c r="R47" s="2">
        <f ca="1">IFERROR(DATEDIF(Table1[[#This Row],[Hire Date]],IF(Table1[[#This Row],[Exit Date]]="",TODAY(),Table1[[#This Row],[Exit Date]]),"Y"),"")</f>
        <v>15</v>
      </c>
      <c r="S47" t="str" cm="1">
        <f t="array" ref="S47">_xlfn.IFS(Table1[[#This Row],[Age]]&lt;30,"Under 30",Table1[[#This Row],[Age]]&lt;=40,"30-40",Table1[[#This Row],[Age]]&lt;50,"41-50",TRUE,"50+")</f>
        <v>30-40</v>
      </c>
    </row>
    <row r="48" spans="1:19" x14ac:dyDescent="0.35">
      <c r="A48" t="s">
        <v>154</v>
      </c>
      <c r="B48" t="s">
        <v>155</v>
      </c>
      <c r="C48" t="s">
        <v>40</v>
      </c>
      <c r="D48" t="s">
        <v>17</v>
      </c>
      <c r="E48" t="s">
        <v>49</v>
      </c>
      <c r="F48" t="s">
        <v>27</v>
      </c>
      <c r="G48" t="s">
        <v>85</v>
      </c>
      <c r="H48" s="3">
        <v>32</v>
      </c>
      <c r="I48" s="8">
        <v>41353</v>
      </c>
      <c r="J48" s="4">
        <v>79921</v>
      </c>
      <c r="K48" s="1">
        <v>0.05</v>
      </c>
      <c r="L48" t="s">
        <v>21</v>
      </c>
      <c r="M48" t="s">
        <v>60</v>
      </c>
      <c r="O48" s="5">
        <f t="shared" si="0"/>
        <v>3996.05</v>
      </c>
      <c r="P48" s="6">
        <f>Table1[[#This Row],[Annual Salary]]+Table1[[#This Row],[Bonus Amount]]</f>
        <v>83917.05</v>
      </c>
      <c r="Q48" t="str">
        <f>IF(Table1[[#This Row],[Exit Date]]="", "Active","Exited")</f>
        <v>Active</v>
      </c>
      <c r="R48" s="2">
        <f ca="1">IFERROR(DATEDIF(Table1[[#This Row],[Hire Date]],IF(Table1[[#This Row],[Exit Date]]="",TODAY(),Table1[[#This Row],[Exit Date]]),"Y"),"")</f>
        <v>13</v>
      </c>
      <c r="S48" t="str" cm="1">
        <f t="array" ref="S48">_xlfn.IFS(Table1[[#This Row],[Age]]&lt;30,"Under 30",Table1[[#This Row],[Age]]&lt;=40,"30-40",Table1[[#This Row],[Age]]&lt;50,"41-50",TRUE,"50+")</f>
        <v>30-40</v>
      </c>
    </row>
    <row r="49" spans="1:19" x14ac:dyDescent="0.35">
      <c r="A49" t="s">
        <v>156</v>
      </c>
      <c r="B49" t="s">
        <v>157</v>
      </c>
      <c r="C49" t="s">
        <v>33</v>
      </c>
      <c r="D49" t="s">
        <v>17</v>
      </c>
      <c r="E49" t="s">
        <v>18</v>
      </c>
      <c r="F49" t="s">
        <v>19</v>
      </c>
      <c r="G49" t="s">
        <v>20</v>
      </c>
      <c r="H49" s="3">
        <v>37</v>
      </c>
      <c r="I49" s="8">
        <v>40076</v>
      </c>
      <c r="J49" s="4">
        <v>167199</v>
      </c>
      <c r="K49" s="1">
        <v>0.2</v>
      </c>
      <c r="L49" t="s">
        <v>21</v>
      </c>
      <c r="M49" t="s">
        <v>22</v>
      </c>
      <c r="O49" s="5">
        <f t="shared" si="0"/>
        <v>33439.800000000003</v>
      </c>
      <c r="P49" s="6">
        <f>Table1[[#This Row],[Annual Salary]]+Table1[[#This Row],[Bonus Amount]]</f>
        <v>200638.8</v>
      </c>
      <c r="Q49" t="str">
        <f>IF(Table1[[#This Row],[Exit Date]]="", "Active","Exited")</f>
        <v>Active</v>
      </c>
      <c r="R49" s="2">
        <f ca="1">IFERROR(DATEDIF(Table1[[#This Row],[Hire Date]],IF(Table1[[#This Row],[Exit Date]]="",TODAY(),Table1[[#This Row],[Exit Date]]),"Y"),"")</f>
        <v>16</v>
      </c>
      <c r="S49" t="str" cm="1">
        <f t="array" ref="S49">_xlfn.IFS(Table1[[#This Row],[Age]]&lt;30,"Under 30",Table1[[#This Row],[Age]]&lt;=40,"30-40",Table1[[#This Row],[Age]]&lt;50,"41-50",TRUE,"50+")</f>
        <v>30-40</v>
      </c>
    </row>
    <row r="50" spans="1:19" x14ac:dyDescent="0.35">
      <c r="A50" t="s">
        <v>158</v>
      </c>
      <c r="B50" t="s">
        <v>159</v>
      </c>
      <c r="C50" t="s">
        <v>108</v>
      </c>
      <c r="D50" t="s">
        <v>69</v>
      </c>
      <c r="E50" t="s">
        <v>18</v>
      </c>
      <c r="F50" t="s">
        <v>27</v>
      </c>
      <c r="G50" t="s">
        <v>36</v>
      </c>
      <c r="H50" s="3">
        <v>52</v>
      </c>
      <c r="I50" s="8">
        <v>41199</v>
      </c>
      <c r="J50" s="4">
        <v>71476</v>
      </c>
      <c r="K50" s="1">
        <v>0</v>
      </c>
      <c r="L50" t="s">
        <v>21</v>
      </c>
      <c r="M50" t="s">
        <v>44</v>
      </c>
      <c r="O50" s="5">
        <f t="shared" si="0"/>
        <v>0</v>
      </c>
      <c r="P50" s="6">
        <f>Table1[[#This Row],[Annual Salary]]+Table1[[#This Row],[Bonus Amount]]</f>
        <v>71476</v>
      </c>
      <c r="Q50" t="str">
        <f>IF(Table1[[#This Row],[Exit Date]]="", "Active","Exited")</f>
        <v>Active</v>
      </c>
      <c r="R50" s="2">
        <f ca="1">IFERROR(DATEDIF(Table1[[#This Row],[Hire Date]],IF(Table1[[#This Row],[Exit Date]]="",TODAY(),Table1[[#This Row],[Exit Date]]),"Y"),"")</f>
        <v>13</v>
      </c>
      <c r="S50" t="str" cm="1">
        <f t="array" ref="S50">_xlfn.IFS(Table1[[#This Row],[Age]]&lt;30,"Under 30",Table1[[#This Row],[Age]]&lt;=40,"30-40",Table1[[#This Row],[Age]]&lt;50,"41-50",TRUE,"50+")</f>
        <v>50+</v>
      </c>
    </row>
    <row r="51" spans="1:19" x14ac:dyDescent="0.35">
      <c r="A51" t="s">
        <v>160</v>
      </c>
      <c r="B51" t="s">
        <v>161</v>
      </c>
      <c r="C51" t="s">
        <v>33</v>
      </c>
      <c r="D51" t="s">
        <v>69</v>
      </c>
      <c r="E51" t="s">
        <v>26</v>
      </c>
      <c r="F51" t="s">
        <v>19</v>
      </c>
      <c r="G51" t="s">
        <v>36</v>
      </c>
      <c r="H51" s="3">
        <v>45</v>
      </c>
      <c r="I51" s="8">
        <v>41941</v>
      </c>
      <c r="J51" s="4">
        <v>189420</v>
      </c>
      <c r="K51" s="1">
        <v>0.2</v>
      </c>
      <c r="L51" t="s">
        <v>21</v>
      </c>
      <c r="M51" t="s">
        <v>22</v>
      </c>
      <c r="O51" s="5">
        <f t="shared" si="0"/>
        <v>37884</v>
      </c>
      <c r="P51" s="6">
        <f>Table1[[#This Row],[Annual Salary]]+Table1[[#This Row],[Bonus Amount]]</f>
        <v>227304</v>
      </c>
      <c r="Q51" t="str">
        <f>IF(Table1[[#This Row],[Exit Date]]="", "Active","Exited")</f>
        <v>Active</v>
      </c>
      <c r="R51" s="2">
        <f ca="1">IFERROR(DATEDIF(Table1[[#This Row],[Hire Date]],IF(Table1[[#This Row],[Exit Date]]="",TODAY(),Table1[[#This Row],[Exit Date]]),"Y"),"")</f>
        <v>11</v>
      </c>
      <c r="S51" t="str" cm="1">
        <f t="array" ref="S51">_xlfn.IFS(Table1[[#This Row],[Age]]&lt;30,"Under 30",Table1[[#This Row],[Age]]&lt;=40,"30-40",Table1[[#This Row],[Age]]&lt;50,"41-50",TRUE,"50+")</f>
        <v>41-50</v>
      </c>
    </row>
    <row r="52" spans="1:19" x14ac:dyDescent="0.35">
      <c r="A52" t="s">
        <v>162</v>
      </c>
      <c r="B52" t="s">
        <v>163</v>
      </c>
      <c r="C52" t="s">
        <v>164</v>
      </c>
      <c r="D52" t="s">
        <v>65</v>
      </c>
      <c r="E52" t="s">
        <v>18</v>
      </c>
      <c r="F52" t="s">
        <v>19</v>
      </c>
      <c r="G52" t="s">
        <v>36</v>
      </c>
      <c r="H52" s="3">
        <v>64</v>
      </c>
      <c r="I52" s="8">
        <v>37184</v>
      </c>
      <c r="J52" s="4">
        <v>64057</v>
      </c>
      <c r="K52" s="1">
        <v>0</v>
      </c>
      <c r="L52" t="s">
        <v>21</v>
      </c>
      <c r="M52" t="s">
        <v>44</v>
      </c>
      <c r="O52" s="5">
        <f t="shared" si="0"/>
        <v>0</v>
      </c>
      <c r="P52" s="6">
        <f>Table1[[#This Row],[Annual Salary]]+Table1[[#This Row],[Bonus Amount]]</f>
        <v>64057</v>
      </c>
      <c r="Q52" t="str">
        <f>IF(Table1[[#This Row],[Exit Date]]="", "Active","Exited")</f>
        <v>Active</v>
      </c>
      <c r="R52" s="2">
        <f ca="1">IFERROR(DATEDIF(Table1[[#This Row],[Hire Date]],IF(Table1[[#This Row],[Exit Date]]="",TODAY(),Table1[[#This Row],[Exit Date]]),"Y"),"")</f>
        <v>24</v>
      </c>
      <c r="S52" t="str" cm="1">
        <f t="array" ref="S52">_xlfn.IFS(Table1[[#This Row],[Age]]&lt;30,"Under 30",Table1[[#This Row],[Age]]&lt;=40,"30-40",Table1[[#This Row],[Age]]&lt;50,"41-50",TRUE,"50+")</f>
        <v>50+</v>
      </c>
    </row>
    <row r="53" spans="1:19" x14ac:dyDescent="0.35">
      <c r="A53" t="s">
        <v>165</v>
      </c>
      <c r="B53" t="s">
        <v>166</v>
      </c>
      <c r="C53" t="s">
        <v>124</v>
      </c>
      <c r="D53" t="s">
        <v>80</v>
      </c>
      <c r="E53" t="s">
        <v>26</v>
      </c>
      <c r="F53" t="s">
        <v>19</v>
      </c>
      <c r="G53" t="s">
        <v>20</v>
      </c>
      <c r="H53" s="3">
        <v>27</v>
      </c>
      <c r="I53" s="8">
        <v>44460</v>
      </c>
      <c r="J53" s="4">
        <v>68728</v>
      </c>
      <c r="K53" s="1">
        <v>0</v>
      </c>
      <c r="L53" t="s">
        <v>21</v>
      </c>
      <c r="M53" t="s">
        <v>44</v>
      </c>
      <c r="O53" s="5">
        <f t="shared" si="0"/>
        <v>0</v>
      </c>
      <c r="P53" s="6">
        <f>Table1[[#This Row],[Annual Salary]]+Table1[[#This Row],[Bonus Amount]]</f>
        <v>68728</v>
      </c>
      <c r="Q53" t="str">
        <f>IF(Table1[[#This Row],[Exit Date]]="", "Active","Exited")</f>
        <v>Active</v>
      </c>
      <c r="R53" s="2">
        <f ca="1">IFERROR(DATEDIF(Table1[[#This Row],[Hire Date]],IF(Table1[[#This Row],[Exit Date]]="",TODAY(),Table1[[#This Row],[Exit Date]]),"Y"),"")</f>
        <v>4</v>
      </c>
      <c r="S53" t="str" cm="1">
        <f t="array" ref="S53">_xlfn.IFS(Table1[[#This Row],[Age]]&lt;30,"Under 30",Table1[[#This Row],[Age]]&lt;=40,"30-40",Table1[[#This Row],[Age]]&lt;50,"41-50",TRUE,"50+")</f>
        <v>Under 30</v>
      </c>
    </row>
    <row r="54" spans="1:19" x14ac:dyDescent="0.35">
      <c r="A54" t="s">
        <v>167</v>
      </c>
      <c r="B54" t="s">
        <v>168</v>
      </c>
      <c r="C54" t="s">
        <v>16</v>
      </c>
      <c r="D54" t="s">
        <v>17</v>
      </c>
      <c r="E54" t="s">
        <v>26</v>
      </c>
      <c r="F54" t="s">
        <v>19</v>
      </c>
      <c r="G54" t="s">
        <v>28</v>
      </c>
      <c r="H54" s="3">
        <v>25</v>
      </c>
      <c r="I54" s="8">
        <v>44379</v>
      </c>
      <c r="J54" s="4">
        <v>125633</v>
      </c>
      <c r="K54" s="1">
        <v>0.11</v>
      </c>
      <c r="L54" t="s">
        <v>29</v>
      </c>
      <c r="M54" t="s">
        <v>114</v>
      </c>
      <c r="O54" s="5">
        <f t="shared" si="0"/>
        <v>13819.63</v>
      </c>
      <c r="P54" s="6">
        <f>Table1[[#This Row],[Annual Salary]]+Table1[[#This Row],[Bonus Amount]]</f>
        <v>139452.63</v>
      </c>
      <c r="Q54" t="str">
        <f>IF(Table1[[#This Row],[Exit Date]]="", "Active","Exited")</f>
        <v>Active</v>
      </c>
      <c r="R54" s="2">
        <f ca="1">IFERROR(DATEDIF(Table1[[#This Row],[Hire Date]],IF(Table1[[#This Row],[Exit Date]]="",TODAY(),Table1[[#This Row],[Exit Date]]),"Y"),"")</f>
        <v>4</v>
      </c>
      <c r="S54" t="str" cm="1">
        <f t="array" ref="S54">_xlfn.IFS(Table1[[#This Row],[Age]]&lt;30,"Under 30",Table1[[#This Row],[Age]]&lt;=40,"30-40",Table1[[#This Row],[Age]]&lt;50,"41-50",TRUE,"50+")</f>
        <v>Under 30</v>
      </c>
    </row>
    <row r="55" spans="1:19" x14ac:dyDescent="0.35">
      <c r="A55" t="s">
        <v>169</v>
      </c>
      <c r="B55" t="s">
        <v>170</v>
      </c>
      <c r="C55" t="s">
        <v>124</v>
      </c>
      <c r="D55" t="s">
        <v>80</v>
      </c>
      <c r="E55" t="s">
        <v>26</v>
      </c>
      <c r="F55" t="s">
        <v>27</v>
      </c>
      <c r="G55" t="s">
        <v>85</v>
      </c>
      <c r="H55" s="3">
        <v>35</v>
      </c>
      <c r="I55" s="8">
        <v>40678</v>
      </c>
      <c r="J55" s="4">
        <v>66889</v>
      </c>
      <c r="K55" s="1">
        <v>0</v>
      </c>
      <c r="L55" t="s">
        <v>21</v>
      </c>
      <c r="M55" t="s">
        <v>88</v>
      </c>
      <c r="O55" s="5">
        <f t="shared" si="0"/>
        <v>0</v>
      </c>
      <c r="P55" s="6">
        <f>Table1[[#This Row],[Annual Salary]]+Table1[[#This Row],[Bonus Amount]]</f>
        <v>66889</v>
      </c>
      <c r="Q55" t="str">
        <f>IF(Table1[[#This Row],[Exit Date]]="", "Active","Exited")</f>
        <v>Active</v>
      </c>
      <c r="R55" s="2">
        <f ca="1">IFERROR(DATEDIF(Table1[[#This Row],[Hire Date]],IF(Table1[[#This Row],[Exit Date]]="",TODAY(),Table1[[#This Row],[Exit Date]]),"Y"),"")</f>
        <v>14</v>
      </c>
      <c r="S55" t="str" cm="1">
        <f t="array" ref="S55">_xlfn.IFS(Table1[[#This Row],[Age]]&lt;30,"Under 30",Table1[[#This Row],[Age]]&lt;=40,"30-40",Table1[[#This Row],[Age]]&lt;50,"41-50",TRUE,"50+")</f>
        <v>30-40</v>
      </c>
    </row>
    <row r="56" spans="1:19" x14ac:dyDescent="0.35">
      <c r="A56" t="s">
        <v>171</v>
      </c>
      <c r="B56" t="s">
        <v>172</v>
      </c>
      <c r="C56" t="s">
        <v>33</v>
      </c>
      <c r="D56" t="s">
        <v>59</v>
      </c>
      <c r="E56" t="s">
        <v>18</v>
      </c>
      <c r="F56" t="s">
        <v>19</v>
      </c>
      <c r="G56" t="s">
        <v>28</v>
      </c>
      <c r="H56" s="3">
        <v>36</v>
      </c>
      <c r="I56" s="8">
        <v>42276</v>
      </c>
      <c r="J56" s="4">
        <v>178700</v>
      </c>
      <c r="K56" s="1">
        <v>0.28999999999999998</v>
      </c>
      <c r="L56" t="s">
        <v>21</v>
      </c>
      <c r="M56" t="s">
        <v>22</v>
      </c>
      <c r="O56" s="5">
        <f t="shared" si="0"/>
        <v>51823</v>
      </c>
      <c r="P56" s="6">
        <f>Table1[[#This Row],[Annual Salary]]+Table1[[#This Row],[Bonus Amount]]</f>
        <v>230523</v>
      </c>
      <c r="Q56" t="str">
        <f>IF(Table1[[#This Row],[Exit Date]]="", "Active","Exited")</f>
        <v>Active</v>
      </c>
      <c r="R56" s="2">
        <f ca="1">IFERROR(DATEDIF(Table1[[#This Row],[Hire Date]],IF(Table1[[#This Row],[Exit Date]]="",TODAY(),Table1[[#This Row],[Exit Date]]),"Y"),"")</f>
        <v>10</v>
      </c>
      <c r="S56" t="str" cm="1">
        <f t="array" ref="S56">_xlfn.IFS(Table1[[#This Row],[Age]]&lt;30,"Under 30",Table1[[#This Row],[Age]]&lt;=40,"30-40",Table1[[#This Row],[Age]]&lt;50,"41-50",TRUE,"50+")</f>
        <v>30-40</v>
      </c>
    </row>
    <row r="57" spans="1:19" x14ac:dyDescent="0.35">
      <c r="A57" t="s">
        <v>173</v>
      </c>
      <c r="B57" t="s">
        <v>174</v>
      </c>
      <c r="C57" t="s">
        <v>175</v>
      </c>
      <c r="D57" t="s">
        <v>69</v>
      </c>
      <c r="E57" t="s">
        <v>18</v>
      </c>
      <c r="F57" t="s">
        <v>19</v>
      </c>
      <c r="G57" t="s">
        <v>36</v>
      </c>
      <c r="H57" s="3">
        <v>33</v>
      </c>
      <c r="I57" s="8">
        <v>43456</v>
      </c>
      <c r="J57" s="4">
        <v>83990</v>
      </c>
      <c r="K57" s="1">
        <v>0</v>
      </c>
      <c r="L57" t="s">
        <v>21</v>
      </c>
      <c r="M57" t="s">
        <v>37</v>
      </c>
      <c r="O57" s="5">
        <f t="shared" si="0"/>
        <v>0</v>
      </c>
      <c r="P57" s="6">
        <f>Table1[[#This Row],[Annual Salary]]+Table1[[#This Row],[Bonus Amount]]</f>
        <v>83990</v>
      </c>
      <c r="Q57" t="str">
        <f>IF(Table1[[#This Row],[Exit Date]]="", "Active","Exited")</f>
        <v>Active</v>
      </c>
      <c r="R57" s="2">
        <f ca="1">IFERROR(DATEDIF(Table1[[#This Row],[Hire Date]],IF(Table1[[#This Row],[Exit Date]]="",TODAY(),Table1[[#This Row],[Exit Date]]),"Y"),"")</f>
        <v>7</v>
      </c>
      <c r="S57" t="str" cm="1">
        <f t="array" ref="S57">_xlfn.IFS(Table1[[#This Row],[Age]]&lt;30,"Under 30",Table1[[#This Row],[Age]]&lt;=40,"30-40",Table1[[#This Row],[Age]]&lt;50,"41-50",TRUE,"50+")</f>
        <v>30-40</v>
      </c>
    </row>
    <row r="58" spans="1:19" x14ac:dyDescent="0.35">
      <c r="A58" t="s">
        <v>176</v>
      </c>
      <c r="B58" t="s">
        <v>177</v>
      </c>
      <c r="C58" t="s">
        <v>178</v>
      </c>
      <c r="D58" t="s">
        <v>69</v>
      </c>
      <c r="E58" t="s">
        <v>49</v>
      </c>
      <c r="F58" t="s">
        <v>19</v>
      </c>
      <c r="G58" t="s">
        <v>36</v>
      </c>
      <c r="H58" s="3">
        <v>52</v>
      </c>
      <c r="I58" s="8">
        <v>38696</v>
      </c>
      <c r="J58" s="4">
        <v>102043</v>
      </c>
      <c r="K58" s="1">
        <v>0</v>
      </c>
      <c r="L58" t="s">
        <v>21</v>
      </c>
      <c r="M58" t="s">
        <v>37</v>
      </c>
      <c r="O58" s="5">
        <f t="shared" si="0"/>
        <v>0</v>
      </c>
      <c r="P58" s="6">
        <f>Table1[[#This Row],[Annual Salary]]+Table1[[#This Row],[Bonus Amount]]</f>
        <v>102043</v>
      </c>
      <c r="Q58" t="str">
        <f>IF(Table1[[#This Row],[Exit Date]]="", "Active","Exited")</f>
        <v>Active</v>
      </c>
      <c r="R58" s="2">
        <f ca="1">IFERROR(DATEDIF(Table1[[#This Row],[Hire Date]],IF(Table1[[#This Row],[Exit Date]]="",TODAY(),Table1[[#This Row],[Exit Date]]),"Y"),"")</f>
        <v>20</v>
      </c>
      <c r="S58" t="str" cm="1">
        <f t="array" ref="S58">_xlfn.IFS(Table1[[#This Row],[Age]]&lt;30,"Under 30",Table1[[#This Row],[Age]]&lt;=40,"30-40",Table1[[#This Row],[Age]]&lt;50,"41-50",TRUE,"50+")</f>
        <v>50+</v>
      </c>
    </row>
    <row r="59" spans="1:19" x14ac:dyDescent="0.35">
      <c r="A59" t="s">
        <v>179</v>
      </c>
      <c r="B59" t="s">
        <v>180</v>
      </c>
      <c r="C59" t="s">
        <v>181</v>
      </c>
      <c r="D59" t="s">
        <v>69</v>
      </c>
      <c r="E59" t="s">
        <v>26</v>
      </c>
      <c r="F59" t="s">
        <v>19</v>
      </c>
      <c r="G59" t="s">
        <v>28</v>
      </c>
      <c r="H59" s="3">
        <v>46</v>
      </c>
      <c r="I59" s="8">
        <v>37041</v>
      </c>
      <c r="J59" s="4">
        <v>90678</v>
      </c>
      <c r="K59" s="1">
        <v>0</v>
      </c>
      <c r="L59" t="s">
        <v>21</v>
      </c>
      <c r="M59" t="s">
        <v>88</v>
      </c>
      <c r="O59" s="5">
        <f t="shared" si="0"/>
        <v>0</v>
      </c>
      <c r="P59" s="6">
        <f>Table1[[#This Row],[Annual Salary]]+Table1[[#This Row],[Bonus Amount]]</f>
        <v>90678</v>
      </c>
      <c r="Q59" t="str">
        <f>IF(Table1[[#This Row],[Exit Date]]="", "Active","Exited")</f>
        <v>Active</v>
      </c>
      <c r="R59" s="2">
        <f ca="1">IFERROR(DATEDIF(Table1[[#This Row],[Hire Date]],IF(Table1[[#This Row],[Exit Date]]="",TODAY(),Table1[[#This Row],[Exit Date]]),"Y"),"")</f>
        <v>24</v>
      </c>
      <c r="S59" t="str" cm="1">
        <f t="array" ref="S59">_xlfn.IFS(Table1[[#This Row],[Age]]&lt;30,"Under 30",Table1[[#This Row],[Age]]&lt;=40,"30-40",Table1[[#This Row],[Age]]&lt;50,"41-50",TRUE,"50+")</f>
        <v>41-50</v>
      </c>
    </row>
    <row r="60" spans="1:19" x14ac:dyDescent="0.35">
      <c r="A60" t="s">
        <v>182</v>
      </c>
      <c r="B60" t="s">
        <v>183</v>
      </c>
      <c r="C60" t="s">
        <v>184</v>
      </c>
      <c r="D60" t="s">
        <v>65</v>
      </c>
      <c r="E60" t="s">
        <v>26</v>
      </c>
      <c r="F60" t="s">
        <v>19</v>
      </c>
      <c r="G60" t="s">
        <v>20</v>
      </c>
      <c r="H60" s="3">
        <v>46</v>
      </c>
      <c r="I60" s="8">
        <v>39681</v>
      </c>
      <c r="J60" s="4">
        <v>59067</v>
      </c>
      <c r="K60" s="1">
        <v>0</v>
      </c>
      <c r="L60" t="s">
        <v>21</v>
      </c>
      <c r="M60" t="s">
        <v>56</v>
      </c>
      <c r="O60" s="5">
        <f t="shared" si="0"/>
        <v>0</v>
      </c>
      <c r="P60" s="6">
        <f>Table1[[#This Row],[Annual Salary]]+Table1[[#This Row],[Bonus Amount]]</f>
        <v>59067</v>
      </c>
      <c r="Q60" t="str">
        <f>IF(Table1[[#This Row],[Exit Date]]="", "Active","Exited")</f>
        <v>Active</v>
      </c>
      <c r="R60" s="2">
        <f ca="1">IFERROR(DATEDIF(Table1[[#This Row],[Hire Date]],IF(Table1[[#This Row],[Exit Date]]="",TODAY(),Table1[[#This Row],[Exit Date]]),"Y"),"")</f>
        <v>17</v>
      </c>
      <c r="S60" t="str" cm="1">
        <f t="array" ref="S60">_xlfn.IFS(Table1[[#This Row],[Age]]&lt;30,"Under 30",Table1[[#This Row],[Age]]&lt;=40,"30-40",Table1[[#This Row],[Age]]&lt;50,"41-50",TRUE,"50+")</f>
        <v>41-50</v>
      </c>
    </row>
    <row r="61" spans="1:19" x14ac:dyDescent="0.35">
      <c r="A61" t="s">
        <v>185</v>
      </c>
      <c r="B61" t="s">
        <v>186</v>
      </c>
      <c r="C61" t="s">
        <v>16</v>
      </c>
      <c r="D61" t="s">
        <v>80</v>
      </c>
      <c r="E61" t="s">
        <v>18</v>
      </c>
      <c r="F61" t="s">
        <v>27</v>
      </c>
      <c r="G61" t="s">
        <v>28</v>
      </c>
      <c r="H61" s="3">
        <v>45</v>
      </c>
      <c r="I61" s="8">
        <v>44266</v>
      </c>
      <c r="J61" s="4">
        <v>135062</v>
      </c>
      <c r="K61" s="1">
        <v>0.15</v>
      </c>
      <c r="L61" t="s">
        <v>29</v>
      </c>
      <c r="M61" t="s">
        <v>134</v>
      </c>
      <c r="O61" s="5">
        <f t="shared" si="0"/>
        <v>20259.3</v>
      </c>
      <c r="P61" s="6">
        <f>Table1[[#This Row],[Annual Salary]]+Table1[[#This Row],[Bonus Amount]]</f>
        <v>155321.29999999999</v>
      </c>
      <c r="Q61" t="str">
        <f>IF(Table1[[#This Row],[Exit Date]]="", "Active","Exited")</f>
        <v>Active</v>
      </c>
      <c r="R61" s="2">
        <f ca="1">IFERROR(DATEDIF(Table1[[#This Row],[Hire Date]],IF(Table1[[#This Row],[Exit Date]]="",TODAY(),Table1[[#This Row],[Exit Date]]),"Y"),"")</f>
        <v>5</v>
      </c>
      <c r="S61" t="str" cm="1">
        <f t="array" ref="S61">_xlfn.IFS(Table1[[#This Row],[Age]]&lt;30,"Under 30",Table1[[#This Row],[Age]]&lt;=40,"30-40",Table1[[#This Row],[Age]]&lt;50,"41-50",TRUE,"50+")</f>
        <v>41-50</v>
      </c>
    </row>
    <row r="62" spans="1:19" x14ac:dyDescent="0.35">
      <c r="A62" t="s">
        <v>187</v>
      </c>
      <c r="B62" t="s">
        <v>188</v>
      </c>
      <c r="C62" t="s">
        <v>16</v>
      </c>
      <c r="D62" t="s">
        <v>17</v>
      </c>
      <c r="E62" t="s">
        <v>49</v>
      </c>
      <c r="F62" t="s">
        <v>19</v>
      </c>
      <c r="G62" t="s">
        <v>85</v>
      </c>
      <c r="H62" s="3">
        <v>55</v>
      </c>
      <c r="I62" s="8">
        <v>38945</v>
      </c>
      <c r="J62" s="4">
        <v>159044</v>
      </c>
      <c r="K62" s="1">
        <v>0.1</v>
      </c>
      <c r="L62" t="s">
        <v>93</v>
      </c>
      <c r="M62" t="s">
        <v>94</v>
      </c>
      <c r="O62" s="5">
        <f t="shared" si="0"/>
        <v>15904.400000000001</v>
      </c>
      <c r="P62" s="6">
        <f>Table1[[#This Row],[Annual Salary]]+Table1[[#This Row],[Bonus Amount]]</f>
        <v>174948.4</v>
      </c>
      <c r="Q62" t="str">
        <f>IF(Table1[[#This Row],[Exit Date]]="", "Active","Exited")</f>
        <v>Active</v>
      </c>
      <c r="R62" s="2">
        <f ca="1">IFERROR(DATEDIF(Table1[[#This Row],[Hire Date]],IF(Table1[[#This Row],[Exit Date]]="",TODAY(),Table1[[#This Row],[Exit Date]]),"Y"),"")</f>
        <v>19</v>
      </c>
      <c r="S62" t="str" cm="1">
        <f t="array" ref="S62">_xlfn.IFS(Table1[[#This Row],[Age]]&lt;30,"Under 30",Table1[[#This Row],[Age]]&lt;=40,"30-40",Table1[[#This Row],[Age]]&lt;50,"41-50",TRUE,"50+")</f>
        <v>50+</v>
      </c>
    </row>
    <row r="63" spans="1:19" x14ac:dyDescent="0.35">
      <c r="A63" t="s">
        <v>189</v>
      </c>
      <c r="B63" t="s">
        <v>190</v>
      </c>
      <c r="C63" t="s">
        <v>43</v>
      </c>
      <c r="D63" t="s">
        <v>59</v>
      </c>
      <c r="E63" t="s">
        <v>26</v>
      </c>
      <c r="F63" t="s">
        <v>19</v>
      </c>
      <c r="G63" t="s">
        <v>85</v>
      </c>
      <c r="H63" s="3">
        <v>44</v>
      </c>
      <c r="I63" s="8">
        <v>43467</v>
      </c>
      <c r="J63" s="4">
        <v>74691</v>
      </c>
      <c r="K63" s="1">
        <v>0</v>
      </c>
      <c r="L63" t="s">
        <v>93</v>
      </c>
      <c r="M63" t="s">
        <v>94</v>
      </c>
      <c r="N63" s="7">
        <v>44020</v>
      </c>
      <c r="O63" s="5">
        <f t="shared" si="0"/>
        <v>0</v>
      </c>
      <c r="P63" s="6">
        <f>Table1[[#This Row],[Annual Salary]]+Table1[[#This Row],[Bonus Amount]]</f>
        <v>74691</v>
      </c>
      <c r="Q63" t="str">
        <f>IF(Table1[[#This Row],[Exit Date]]="", "Active","Exited")</f>
        <v>Exited</v>
      </c>
      <c r="R63" s="2">
        <f ca="1">IFERROR(DATEDIF(Table1[[#This Row],[Hire Date]],IF(Table1[[#This Row],[Exit Date]]="",TODAY(),Table1[[#This Row],[Exit Date]]),"Y"),"")</f>
        <v>1</v>
      </c>
      <c r="S63" t="str" cm="1">
        <f t="array" ref="S63">_xlfn.IFS(Table1[[#This Row],[Age]]&lt;30,"Under 30",Table1[[#This Row],[Age]]&lt;=40,"30-40",Table1[[#This Row],[Age]]&lt;50,"41-50",TRUE,"50+")</f>
        <v>41-50</v>
      </c>
    </row>
    <row r="64" spans="1:19" x14ac:dyDescent="0.35">
      <c r="A64" t="s">
        <v>191</v>
      </c>
      <c r="B64" t="s">
        <v>192</v>
      </c>
      <c r="C64" t="s">
        <v>113</v>
      </c>
      <c r="D64" t="s">
        <v>69</v>
      </c>
      <c r="E64" t="s">
        <v>49</v>
      </c>
      <c r="F64" t="s">
        <v>19</v>
      </c>
      <c r="G64" t="s">
        <v>85</v>
      </c>
      <c r="H64" s="3">
        <v>44</v>
      </c>
      <c r="I64" s="8">
        <v>39800</v>
      </c>
      <c r="J64" s="4">
        <v>92753</v>
      </c>
      <c r="K64" s="1">
        <v>0.13</v>
      </c>
      <c r="L64" t="s">
        <v>21</v>
      </c>
      <c r="M64" t="s">
        <v>60</v>
      </c>
      <c r="N64" s="7">
        <v>44371</v>
      </c>
      <c r="O64" s="5">
        <f t="shared" si="0"/>
        <v>12057.890000000001</v>
      </c>
      <c r="P64" s="6">
        <f>Table1[[#This Row],[Annual Salary]]+Table1[[#This Row],[Bonus Amount]]</f>
        <v>104810.89</v>
      </c>
      <c r="Q64" t="str">
        <f>IF(Table1[[#This Row],[Exit Date]]="", "Active","Exited")</f>
        <v>Exited</v>
      </c>
      <c r="R64" s="2">
        <f ca="1">IFERROR(DATEDIF(Table1[[#This Row],[Hire Date]],IF(Table1[[#This Row],[Exit Date]]="",TODAY(),Table1[[#This Row],[Exit Date]]),"Y"),"")</f>
        <v>12</v>
      </c>
      <c r="S64" t="str" cm="1">
        <f t="array" ref="S64">_xlfn.IFS(Table1[[#This Row],[Age]]&lt;30,"Under 30",Table1[[#This Row],[Age]]&lt;=40,"30-40",Table1[[#This Row],[Age]]&lt;50,"41-50",TRUE,"50+")</f>
        <v>41-50</v>
      </c>
    </row>
    <row r="65" spans="1:19" x14ac:dyDescent="0.35">
      <c r="A65" t="s">
        <v>193</v>
      </c>
      <c r="B65" t="s">
        <v>194</v>
      </c>
      <c r="C65" t="s">
        <v>79</v>
      </c>
      <c r="D65" t="s">
        <v>65</v>
      </c>
      <c r="E65" t="s">
        <v>35</v>
      </c>
      <c r="F65" t="s">
        <v>27</v>
      </c>
      <c r="G65" t="s">
        <v>20</v>
      </c>
      <c r="H65" s="3">
        <v>45</v>
      </c>
      <c r="I65" s="8">
        <v>41493</v>
      </c>
      <c r="J65" s="4">
        <v>236946</v>
      </c>
      <c r="K65" s="1">
        <v>0.37</v>
      </c>
      <c r="L65" t="s">
        <v>21</v>
      </c>
      <c r="M65" t="s">
        <v>22</v>
      </c>
      <c r="O65" s="5">
        <f t="shared" si="0"/>
        <v>87670.02</v>
      </c>
      <c r="P65" s="6">
        <f>Table1[[#This Row],[Annual Salary]]+Table1[[#This Row],[Bonus Amount]]</f>
        <v>324616.02</v>
      </c>
      <c r="Q65" t="str">
        <f>IF(Table1[[#This Row],[Exit Date]]="", "Active","Exited")</f>
        <v>Active</v>
      </c>
      <c r="R65" s="2">
        <f ca="1">IFERROR(DATEDIF(Table1[[#This Row],[Hire Date]],IF(Table1[[#This Row],[Exit Date]]="",TODAY(),Table1[[#This Row],[Exit Date]]),"Y"),"")</f>
        <v>12</v>
      </c>
      <c r="S65" t="str" cm="1">
        <f t="array" ref="S65">_xlfn.IFS(Table1[[#This Row],[Age]]&lt;30,"Under 30",Table1[[#This Row],[Age]]&lt;=40,"30-40",Table1[[#This Row],[Age]]&lt;50,"41-50",TRUE,"50+")</f>
        <v>41-50</v>
      </c>
    </row>
    <row r="66" spans="1:19" x14ac:dyDescent="0.35">
      <c r="A66" t="s">
        <v>195</v>
      </c>
      <c r="B66" t="s">
        <v>196</v>
      </c>
      <c r="C66" t="s">
        <v>55</v>
      </c>
      <c r="D66" t="s">
        <v>34</v>
      </c>
      <c r="E66" t="s">
        <v>49</v>
      </c>
      <c r="F66" t="s">
        <v>19</v>
      </c>
      <c r="G66" t="s">
        <v>20</v>
      </c>
      <c r="H66" s="3">
        <v>36</v>
      </c>
      <c r="I66" s="8">
        <v>44435</v>
      </c>
      <c r="J66" s="4">
        <v>48906</v>
      </c>
      <c r="K66" s="1">
        <v>0</v>
      </c>
      <c r="L66" t="s">
        <v>21</v>
      </c>
      <c r="M66" t="s">
        <v>56</v>
      </c>
      <c r="O66" s="5">
        <f t="shared" si="0"/>
        <v>0</v>
      </c>
      <c r="P66" s="6">
        <f>Table1[[#This Row],[Annual Salary]]+Table1[[#This Row],[Bonus Amount]]</f>
        <v>48906</v>
      </c>
      <c r="Q66" t="str">
        <f>IF(Table1[[#This Row],[Exit Date]]="", "Active","Exited")</f>
        <v>Active</v>
      </c>
      <c r="R66" s="2">
        <f ca="1">IFERROR(DATEDIF(Table1[[#This Row],[Hire Date]],IF(Table1[[#This Row],[Exit Date]]="",TODAY(),Table1[[#This Row],[Exit Date]]),"Y"),"")</f>
        <v>4</v>
      </c>
      <c r="S66" t="str" cm="1">
        <f t="array" ref="S66">_xlfn.IFS(Table1[[#This Row],[Age]]&lt;30,"Under 30",Table1[[#This Row],[Age]]&lt;=40,"30-40",Table1[[#This Row],[Age]]&lt;50,"41-50",TRUE,"50+")</f>
        <v>30-40</v>
      </c>
    </row>
    <row r="67" spans="1:19" x14ac:dyDescent="0.35">
      <c r="A67" t="s">
        <v>197</v>
      </c>
      <c r="B67" t="s">
        <v>198</v>
      </c>
      <c r="C67" t="s">
        <v>43</v>
      </c>
      <c r="D67" t="s">
        <v>48</v>
      </c>
      <c r="E67" t="s">
        <v>49</v>
      </c>
      <c r="F67" t="s">
        <v>19</v>
      </c>
      <c r="G67" t="s">
        <v>36</v>
      </c>
      <c r="H67" s="3">
        <v>38</v>
      </c>
      <c r="I67" s="8">
        <v>39474</v>
      </c>
      <c r="J67" s="4">
        <v>80024</v>
      </c>
      <c r="K67" s="1">
        <v>0</v>
      </c>
      <c r="L67" t="s">
        <v>21</v>
      </c>
      <c r="M67" t="s">
        <v>88</v>
      </c>
      <c r="O67" s="5">
        <f t="shared" ref="O67:O130" si="1">J67*K67</f>
        <v>0</v>
      </c>
      <c r="P67" s="6">
        <f>Table1[[#This Row],[Annual Salary]]+Table1[[#This Row],[Bonus Amount]]</f>
        <v>80024</v>
      </c>
      <c r="Q67" t="str">
        <f>IF(Table1[[#This Row],[Exit Date]]="", "Active","Exited")</f>
        <v>Active</v>
      </c>
      <c r="R67" s="2">
        <f ca="1">IFERROR(DATEDIF(Table1[[#This Row],[Hire Date]],IF(Table1[[#This Row],[Exit Date]]="",TODAY(),Table1[[#This Row],[Exit Date]]),"Y"),"")</f>
        <v>18</v>
      </c>
      <c r="S67" t="str" cm="1">
        <f t="array" ref="S67">_xlfn.IFS(Table1[[#This Row],[Age]]&lt;30,"Under 30",Table1[[#This Row],[Age]]&lt;=40,"30-40",Table1[[#This Row],[Age]]&lt;50,"41-50",TRUE,"50+")</f>
        <v>30-40</v>
      </c>
    </row>
    <row r="68" spans="1:19" x14ac:dyDescent="0.35">
      <c r="A68" t="s">
        <v>199</v>
      </c>
      <c r="B68" t="s">
        <v>200</v>
      </c>
      <c r="C68" t="s">
        <v>164</v>
      </c>
      <c r="D68" t="s">
        <v>65</v>
      </c>
      <c r="E68" t="s">
        <v>35</v>
      </c>
      <c r="F68" t="s">
        <v>19</v>
      </c>
      <c r="G68" t="s">
        <v>36</v>
      </c>
      <c r="H68" s="3">
        <v>41</v>
      </c>
      <c r="I68" s="8">
        <v>40109</v>
      </c>
      <c r="J68" s="4">
        <v>54415</v>
      </c>
      <c r="K68" s="1">
        <v>0</v>
      </c>
      <c r="L68" t="s">
        <v>21</v>
      </c>
      <c r="M68" t="s">
        <v>22</v>
      </c>
      <c r="N68" s="7">
        <v>41661</v>
      </c>
      <c r="O68" s="5">
        <f t="shared" si="1"/>
        <v>0</v>
      </c>
      <c r="P68" s="6">
        <f>Table1[[#This Row],[Annual Salary]]+Table1[[#This Row],[Bonus Amount]]</f>
        <v>54415</v>
      </c>
      <c r="Q68" t="str">
        <f>IF(Table1[[#This Row],[Exit Date]]="", "Active","Exited")</f>
        <v>Exited</v>
      </c>
      <c r="R68" s="2">
        <f ca="1">IFERROR(DATEDIF(Table1[[#This Row],[Hire Date]],IF(Table1[[#This Row],[Exit Date]]="",TODAY(),Table1[[#This Row],[Exit Date]]),"Y"),"")</f>
        <v>4</v>
      </c>
      <c r="S68" t="str" cm="1">
        <f t="array" ref="S68">_xlfn.IFS(Table1[[#This Row],[Age]]&lt;30,"Under 30",Table1[[#This Row],[Age]]&lt;=40,"30-40",Table1[[#This Row],[Age]]&lt;50,"41-50",TRUE,"50+")</f>
        <v>41-50</v>
      </c>
    </row>
    <row r="69" spans="1:19" x14ac:dyDescent="0.35">
      <c r="A69" t="s">
        <v>201</v>
      </c>
      <c r="B69" t="s">
        <v>202</v>
      </c>
      <c r="C69" t="s">
        <v>52</v>
      </c>
      <c r="D69" t="s">
        <v>80</v>
      </c>
      <c r="E69" t="s">
        <v>18</v>
      </c>
      <c r="F69" t="s">
        <v>19</v>
      </c>
      <c r="G69" t="s">
        <v>28</v>
      </c>
      <c r="H69" s="3">
        <v>30</v>
      </c>
      <c r="I69" s="8">
        <v>42484</v>
      </c>
      <c r="J69" s="4">
        <v>120341</v>
      </c>
      <c r="K69" s="1">
        <v>7.0000000000000007E-2</v>
      </c>
      <c r="L69" t="s">
        <v>21</v>
      </c>
      <c r="M69" t="s">
        <v>22</v>
      </c>
      <c r="O69" s="5">
        <f t="shared" si="1"/>
        <v>8423.8700000000008</v>
      </c>
      <c r="P69" s="6">
        <f>Table1[[#This Row],[Annual Salary]]+Table1[[#This Row],[Bonus Amount]]</f>
        <v>128764.87</v>
      </c>
      <c r="Q69" t="str">
        <f>IF(Table1[[#This Row],[Exit Date]]="", "Active","Exited")</f>
        <v>Active</v>
      </c>
      <c r="R69" s="2">
        <f ca="1">IFERROR(DATEDIF(Table1[[#This Row],[Hire Date]],IF(Table1[[#This Row],[Exit Date]]="",TODAY(),Table1[[#This Row],[Exit Date]]),"Y"),"")</f>
        <v>9</v>
      </c>
      <c r="S69" t="str" cm="1">
        <f t="array" ref="S69">_xlfn.IFS(Table1[[#This Row],[Age]]&lt;30,"Under 30",Table1[[#This Row],[Age]]&lt;=40,"30-40",Table1[[#This Row],[Age]]&lt;50,"41-50",TRUE,"50+")</f>
        <v>30-40</v>
      </c>
    </row>
    <row r="70" spans="1:19" x14ac:dyDescent="0.35">
      <c r="A70" t="s">
        <v>203</v>
      </c>
      <c r="B70" t="s">
        <v>204</v>
      </c>
      <c r="C70" t="s">
        <v>79</v>
      </c>
      <c r="D70" t="s">
        <v>17</v>
      </c>
      <c r="E70" t="s">
        <v>35</v>
      </c>
      <c r="F70" t="s">
        <v>19</v>
      </c>
      <c r="G70" t="s">
        <v>85</v>
      </c>
      <c r="H70" s="3">
        <v>43</v>
      </c>
      <c r="I70" s="8">
        <v>40029</v>
      </c>
      <c r="J70" s="4">
        <v>208415</v>
      </c>
      <c r="K70" s="1">
        <v>0.35</v>
      </c>
      <c r="L70" t="s">
        <v>21</v>
      </c>
      <c r="M70" t="s">
        <v>22</v>
      </c>
      <c r="O70" s="5">
        <f t="shared" si="1"/>
        <v>72945.25</v>
      </c>
      <c r="P70" s="6">
        <f>Table1[[#This Row],[Annual Salary]]+Table1[[#This Row],[Bonus Amount]]</f>
        <v>281360.25</v>
      </c>
      <c r="Q70" t="str">
        <f>IF(Table1[[#This Row],[Exit Date]]="", "Active","Exited")</f>
        <v>Active</v>
      </c>
      <c r="R70" s="2">
        <f ca="1">IFERROR(DATEDIF(Table1[[#This Row],[Hire Date]],IF(Table1[[#This Row],[Exit Date]]="",TODAY(),Table1[[#This Row],[Exit Date]]),"Y"),"")</f>
        <v>16</v>
      </c>
      <c r="S70" t="str" cm="1">
        <f t="array" ref="S70">_xlfn.IFS(Table1[[#This Row],[Age]]&lt;30,"Under 30",Table1[[#This Row],[Age]]&lt;=40,"30-40",Table1[[#This Row],[Age]]&lt;50,"41-50",TRUE,"50+")</f>
        <v>41-50</v>
      </c>
    </row>
    <row r="71" spans="1:19" x14ac:dyDescent="0.35">
      <c r="A71" t="s">
        <v>205</v>
      </c>
      <c r="B71" t="s">
        <v>206</v>
      </c>
      <c r="C71" t="s">
        <v>207</v>
      </c>
      <c r="D71" t="s">
        <v>17</v>
      </c>
      <c r="E71" t="s">
        <v>35</v>
      </c>
      <c r="F71" t="s">
        <v>19</v>
      </c>
      <c r="G71" t="s">
        <v>28</v>
      </c>
      <c r="H71" s="3">
        <v>32</v>
      </c>
      <c r="I71" s="8">
        <v>43835</v>
      </c>
      <c r="J71" s="4">
        <v>78844</v>
      </c>
      <c r="K71" s="1">
        <v>0</v>
      </c>
      <c r="L71" t="s">
        <v>21</v>
      </c>
      <c r="M71" t="s">
        <v>22</v>
      </c>
      <c r="O71" s="5">
        <f t="shared" si="1"/>
        <v>0</v>
      </c>
      <c r="P71" s="6">
        <f>Table1[[#This Row],[Annual Salary]]+Table1[[#This Row],[Bonus Amount]]</f>
        <v>78844</v>
      </c>
      <c r="Q71" t="str">
        <f>IF(Table1[[#This Row],[Exit Date]]="", "Active","Exited")</f>
        <v>Active</v>
      </c>
      <c r="R71" s="2">
        <f ca="1">IFERROR(DATEDIF(Table1[[#This Row],[Hire Date]],IF(Table1[[#This Row],[Exit Date]]="",TODAY(),Table1[[#This Row],[Exit Date]]),"Y"),"")</f>
        <v>6</v>
      </c>
      <c r="S71" t="str" cm="1">
        <f t="array" ref="S71">_xlfn.IFS(Table1[[#This Row],[Age]]&lt;30,"Under 30",Table1[[#This Row],[Age]]&lt;=40,"30-40",Table1[[#This Row],[Age]]&lt;50,"41-50",TRUE,"50+")</f>
        <v>30-40</v>
      </c>
    </row>
    <row r="72" spans="1:19" x14ac:dyDescent="0.35">
      <c r="A72" t="s">
        <v>208</v>
      </c>
      <c r="B72" t="s">
        <v>209</v>
      </c>
      <c r="C72" t="s">
        <v>175</v>
      </c>
      <c r="D72" t="s">
        <v>69</v>
      </c>
      <c r="E72" t="s">
        <v>26</v>
      </c>
      <c r="F72" t="s">
        <v>27</v>
      </c>
      <c r="G72" t="s">
        <v>36</v>
      </c>
      <c r="H72" s="3">
        <v>58</v>
      </c>
      <c r="I72" s="8">
        <v>37399</v>
      </c>
      <c r="J72" s="4">
        <v>76354</v>
      </c>
      <c r="K72" s="1">
        <v>0</v>
      </c>
      <c r="L72" t="s">
        <v>21</v>
      </c>
      <c r="M72" t="s">
        <v>44</v>
      </c>
      <c r="N72" s="7">
        <v>44465</v>
      </c>
      <c r="O72" s="5">
        <f t="shared" si="1"/>
        <v>0</v>
      </c>
      <c r="P72" s="6">
        <f>Table1[[#This Row],[Annual Salary]]+Table1[[#This Row],[Bonus Amount]]</f>
        <v>76354</v>
      </c>
      <c r="Q72" t="str">
        <f>IF(Table1[[#This Row],[Exit Date]]="", "Active","Exited")</f>
        <v>Exited</v>
      </c>
      <c r="R72" s="2">
        <f ca="1">IFERROR(DATEDIF(Table1[[#This Row],[Hire Date]],IF(Table1[[#This Row],[Exit Date]]="",TODAY(),Table1[[#This Row],[Exit Date]]),"Y"),"")</f>
        <v>19</v>
      </c>
      <c r="S72" t="str" cm="1">
        <f t="array" ref="S72">_xlfn.IFS(Table1[[#This Row],[Age]]&lt;30,"Under 30",Table1[[#This Row],[Age]]&lt;=40,"30-40",Table1[[#This Row],[Age]]&lt;50,"41-50",TRUE,"50+")</f>
        <v>50+</v>
      </c>
    </row>
    <row r="73" spans="1:19" x14ac:dyDescent="0.35">
      <c r="A73" t="s">
        <v>210</v>
      </c>
      <c r="B73" t="s">
        <v>211</v>
      </c>
      <c r="C73" t="s">
        <v>33</v>
      </c>
      <c r="D73" t="s">
        <v>34</v>
      </c>
      <c r="E73" t="s">
        <v>35</v>
      </c>
      <c r="F73" t="s">
        <v>19</v>
      </c>
      <c r="G73" t="s">
        <v>85</v>
      </c>
      <c r="H73" s="3">
        <v>37</v>
      </c>
      <c r="I73" s="8">
        <v>43493</v>
      </c>
      <c r="J73" s="4">
        <v>165927</v>
      </c>
      <c r="K73" s="1">
        <v>0.2</v>
      </c>
      <c r="L73" t="s">
        <v>21</v>
      </c>
      <c r="M73" t="s">
        <v>44</v>
      </c>
      <c r="O73" s="5">
        <f t="shared" si="1"/>
        <v>33185.4</v>
      </c>
      <c r="P73" s="6">
        <f>Table1[[#This Row],[Annual Salary]]+Table1[[#This Row],[Bonus Amount]]</f>
        <v>199112.4</v>
      </c>
      <c r="Q73" t="str">
        <f>IF(Table1[[#This Row],[Exit Date]]="", "Active","Exited")</f>
        <v>Active</v>
      </c>
      <c r="R73" s="2">
        <f ca="1">IFERROR(DATEDIF(Table1[[#This Row],[Hire Date]],IF(Table1[[#This Row],[Exit Date]]="",TODAY(),Table1[[#This Row],[Exit Date]]),"Y"),"")</f>
        <v>7</v>
      </c>
      <c r="S73" t="str" cm="1">
        <f t="array" ref="S73">_xlfn.IFS(Table1[[#This Row],[Age]]&lt;30,"Under 30",Table1[[#This Row],[Age]]&lt;=40,"30-40",Table1[[#This Row],[Age]]&lt;50,"41-50",TRUE,"50+")</f>
        <v>30-40</v>
      </c>
    </row>
    <row r="74" spans="1:19" x14ac:dyDescent="0.35">
      <c r="A74" t="s">
        <v>212</v>
      </c>
      <c r="B74" t="s">
        <v>213</v>
      </c>
      <c r="C74" t="s">
        <v>52</v>
      </c>
      <c r="D74" t="s">
        <v>59</v>
      </c>
      <c r="E74" t="s">
        <v>35</v>
      </c>
      <c r="F74" t="s">
        <v>19</v>
      </c>
      <c r="G74" t="s">
        <v>85</v>
      </c>
      <c r="H74" s="3">
        <v>38</v>
      </c>
      <c r="I74" s="8">
        <v>44516</v>
      </c>
      <c r="J74" s="4">
        <v>109812</v>
      </c>
      <c r="K74" s="1">
        <v>0.09</v>
      </c>
      <c r="L74" t="s">
        <v>93</v>
      </c>
      <c r="M74" t="s">
        <v>94</v>
      </c>
      <c r="O74" s="5">
        <f t="shared" si="1"/>
        <v>9883.08</v>
      </c>
      <c r="P74" s="6">
        <f>Table1[[#This Row],[Annual Salary]]+Table1[[#This Row],[Bonus Amount]]</f>
        <v>119695.08</v>
      </c>
      <c r="Q74" t="str">
        <f>IF(Table1[[#This Row],[Exit Date]]="", "Active","Exited")</f>
        <v>Active</v>
      </c>
      <c r="R74" s="2">
        <f ca="1">IFERROR(DATEDIF(Table1[[#This Row],[Hire Date]],IF(Table1[[#This Row],[Exit Date]]="",TODAY(),Table1[[#This Row],[Exit Date]]),"Y"),"")</f>
        <v>4</v>
      </c>
      <c r="S74" t="str" cm="1">
        <f t="array" ref="S74">_xlfn.IFS(Table1[[#This Row],[Age]]&lt;30,"Under 30",Table1[[#This Row],[Age]]&lt;=40,"30-40",Table1[[#This Row],[Age]]&lt;50,"41-50",TRUE,"50+")</f>
        <v>30-40</v>
      </c>
    </row>
    <row r="75" spans="1:19" x14ac:dyDescent="0.35">
      <c r="A75" t="s">
        <v>214</v>
      </c>
      <c r="B75" t="s">
        <v>215</v>
      </c>
      <c r="C75" t="s">
        <v>68</v>
      </c>
      <c r="D75" t="s">
        <v>69</v>
      </c>
      <c r="E75" t="s">
        <v>49</v>
      </c>
      <c r="F75" t="s">
        <v>27</v>
      </c>
      <c r="G75" t="s">
        <v>28</v>
      </c>
      <c r="H75" s="3">
        <v>55</v>
      </c>
      <c r="I75" s="8">
        <v>36041</v>
      </c>
      <c r="J75" s="4">
        <v>86299</v>
      </c>
      <c r="K75" s="1">
        <v>0</v>
      </c>
      <c r="L75" t="s">
        <v>21</v>
      </c>
      <c r="M75" t="s">
        <v>22</v>
      </c>
      <c r="O75" s="5">
        <f t="shared" si="1"/>
        <v>0</v>
      </c>
      <c r="P75" s="6">
        <f>Table1[[#This Row],[Annual Salary]]+Table1[[#This Row],[Bonus Amount]]</f>
        <v>86299</v>
      </c>
      <c r="Q75" t="str">
        <f>IF(Table1[[#This Row],[Exit Date]]="", "Active","Exited")</f>
        <v>Active</v>
      </c>
      <c r="R75" s="2">
        <f ca="1">IFERROR(DATEDIF(Table1[[#This Row],[Hire Date]],IF(Table1[[#This Row],[Exit Date]]="",TODAY(),Table1[[#This Row],[Exit Date]]),"Y"),"")</f>
        <v>27</v>
      </c>
      <c r="S75" t="str" cm="1">
        <f t="array" ref="S75">_xlfn.IFS(Table1[[#This Row],[Age]]&lt;30,"Under 30",Table1[[#This Row],[Age]]&lt;=40,"30-40",Table1[[#This Row],[Age]]&lt;50,"41-50",TRUE,"50+")</f>
        <v>50+</v>
      </c>
    </row>
    <row r="76" spans="1:19" x14ac:dyDescent="0.35">
      <c r="A76" t="s">
        <v>216</v>
      </c>
      <c r="B76" t="s">
        <v>217</v>
      </c>
      <c r="C76" t="s">
        <v>79</v>
      </c>
      <c r="D76" t="s">
        <v>80</v>
      </c>
      <c r="E76" t="s">
        <v>18</v>
      </c>
      <c r="F76" t="s">
        <v>27</v>
      </c>
      <c r="G76" t="s">
        <v>85</v>
      </c>
      <c r="H76" s="3">
        <v>57</v>
      </c>
      <c r="I76" s="8">
        <v>37828</v>
      </c>
      <c r="J76" s="4">
        <v>206624</v>
      </c>
      <c r="K76" s="1">
        <v>0.4</v>
      </c>
      <c r="L76" t="s">
        <v>93</v>
      </c>
      <c r="M76" t="s">
        <v>218</v>
      </c>
      <c r="O76" s="5">
        <f t="shared" si="1"/>
        <v>82649.600000000006</v>
      </c>
      <c r="P76" s="6">
        <f>Table1[[#This Row],[Annual Salary]]+Table1[[#This Row],[Bonus Amount]]</f>
        <v>289273.59999999998</v>
      </c>
      <c r="Q76" t="str">
        <f>IF(Table1[[#This Row],[Exit Date]]="", "Active","Exited")</f>
        <v>Active</v>
      </c>
      <c r="R76" s="2">
        <f ca="1">IFERROR(DATEDIF(Table1[[#This Row],[Hire Date]],IF(Table1[[#This Row],[Exit Date]]="",TODAY(),Table1[[#This Row],[Exit Date]]),"Y"),"")</f>
        <v>22</v>
      </c>
      <c r="S76" t="str" cm="1">
        <f t="array" ref="S76">_xlfn.IFS(Table1[[#This Row],[Age]]&lt;30,"Under 30",Table1[[#This Row],[Age]]&lt;=40,"30-40",Table1[[#This Row],[Age]]&lt;50,"41-50",TRUE,"50+")</f>
        <v>50+</v>
      </c>
    </row>
    <row r="77" spans="1:19" x14ac:dyDescent="0.35">
      <c r="A77" t="s">
        <v>219</v>
      </c>
      <c r="B77" t="s">
        <v>220</v>
      </c>
      <c r="C77" t="s">
        <v>119</v>
      </c>
      <c r="D77" t="s">
        <v>17</v>
      </c>
      <c r="E77" t="s">
        <v>26</v>
      </c>
      <c r="F77" t="s">
        <v>27</v>
      </c>
      <c r="G77" t="s">
        <v>85</v>
      </c>
      <c r="H77" s="3">
        <v>36</v>
      </c>
      <c r="I77" s="8">
        <v>40535</v>
      </c>
      <c r="J77" s="4">
        <v>53215</v>
      </c>
      <c r="K77" s="1">
        <v>0</v>
      </c>
      <c r="L77" t="s">
        <v>93</v>
      </c>
      <c r="M77" t="s">
        <v>218</v>
      </c>
      <c r="N77" s="7">
        <v>41725</v>
      </c>
      <c r="O77" s="5">
        <f t="shared" si="1"/>
        <v>0</v>
      </c>
      <c r="P77" s="6">
        <f>Table1[[#This Row],[Annual Salary]]+Table1[[#This Row],[Bonus Amount]]</f>
        <v>53215</v>
      </c>
      <c r="Q77" t="str">
        <f>IF(Table1[[#This Row],[Exit Date]]="", "Active","Exited")</f>
        <v>Exited</v>
      </c>
      <c r="R77" s="2">
        <f ca="1">IFERROR(DATEDIF(Table1[[#This Row],[Hire Date]],IF(Table1[[#This Row],[Exit Date]]="",TODAY(),Table1[[#This Row],[Exit Date]]),"Y"),"")</f>
        <v>3</v>
      </c>
      <c r="S77" t="str" cm="1">
        <f t="array" ref="S77">_xlfn.IFS(Table1[[#This Row],[Age]]&lt;30,"Under 30",Table1[[#This Row],[Age]]&lt;=40,"30-40",Table1[[#This Row],[Age]]&lt;50,"41-50",TRUE,"50+")</f>
        <v>30-40</v>
      </c>
    </row>
    <row r="78" spans="1:19" x14ac:dyDescent="0.35">
      <c r="A78" t="s">
        <v>221</v>
      </c>
      <c r="B78" t="s">
        <v>222</v>
      </c>
      <c r="C78" t="s">
        <v>223</v>
      </c>
      <c r="D78" t="s">
        <v>69</v>
      </c>
      <c r="E78" t="s">
        <v>18</v>
      </c>
      <c r="F78" t="s">
        <v>19</v>
      </c>
      <c r="G78" t="s">
        <v>28</v>
      </c>
      <c r="H78" s="3">
        <v>30</v>
      </c>
      <c r="I78" s="8">
        <v>42877</v>
      </c>
      <c r="J78" s="4">
        <v>86858</v>
      </c>
      <c r="K78" s="1">
        <v>0</v>
      </c>
      <c r="L78" t="s">
        <v>29</v>
      </c>
      <c r="M78" t="s">
        <v>30</v>
      </c>
      <c r="N78" s="7">
        <v>43016</v>
      </c>
      <c r="O78" s="5">
        <f t="shared" si="1"/>
        <v>0</v>
      </c>
      <c r="P78" s="6">
        <f>Table1[[#This Row],[Annual Salary]]+Table1[[#This Row],[Bonus Amount]]</f>
        <v>86858</v>
      </c>
      <c r="Q78" t="str">
        <f>IF(Table1[[#This Row],[Exit Date]]="", "Active","Exited")</f>
        <v>Exited</v>
      </c>
      <c r="R78" s="2">
        <f ca="1">IFERROR(DATEDIF(Table1[[#This Row],[Hire Date]],IF(Table1[[#This Row],[Exit Date]]="",TODAY(),Table1[[#This Row],[Exit Date]]),"Y"),"")</f>
        <v>0</v>
      </c>
      <c r="S78" t="str" cm="1">
        <f t="array" ref="S78">_xlfn.IFS(Table1[[#This Row],[Age]]&lt;30,"Under 30",Table1[[#This Row],[Age]]&lt;=40,"30-40",Table1[[#This Row],[Age]]&lt;50,"41-50",TRUE,"50+")</f>
        <v>30-40</v>
      </c>
    </row>
    <row r="79" spans="1:19" x14ac:dyDescent="0.35">
      <c r="A79" t="s">
        <v>224</v>
      </c>
      <c r="B79" t="s">
        <v>225</v>
      </c>
      <c r="C79" t="s">
        <v>40</v>
      </c>
      <c r="D79" t="s">
        <v>17</v>
      </c>
      <c r="E79" t="s">
        <v>26</v>
      </c>
      <c r="F79" t="s">
        <v>27</v>
      </c>
      <c r="G79" t="s">
        <v>28</v>
      </c>
      <c r="H79" s="3">
        <v>40</v>
      </c>
      <c r="I79" s="8">
        <v>39265</v>
      </c>
      <c r="J79" s="4">
        <v>93971</v>
      </c>
      <c r="K79" s="1">
        <v>0.08</v>
      </c>
      <c r="L79" t="s">
        <v>29</v>
      </c>
      <c r="M79" t="s">
        <v>30</v>
      </c>
      <c r="O79" s="5">
        <f t="shared" si="1"/>
        <v>7517.68</v>
      </c>
      <c r="P79" s="6">
        <f>Table1[[#This Row],[Annual Salary]]+Table1[[#This Row],[Bonus Amount]]</f>
        <v>101488.68</v>
      </c>
      <c r="Q79" t="str">
        <f>IF(Table1[[#This Row],[Exit Date]]="", "Active","Exited")</f>
        <v>Active</v>
      </c>
      <c r="R79" s="2">
        <f ca="1">IFERROR(DATEDIF(Table1[[#This Row],[Hire Date]],IF(Table1[[#This Row],[Exit Date]]="",TODAY(),Table1[[#This Row],[Exit Date]]),"Y"),"")</f>
        <v>18</v>
      </c>
      <c r="S79" t="str" cm="1">
        <f t="array" ref="S79">_xlfn.IFS(Table1[[#This Row],[Age]]&lt;30,"Under 30",Table1[[#This Row],[Age]]&lt;=40,"30-40",Table1[[#This Row],[Age]]&lt;50,"41-50",TRUE,"50+")</f>
        <v>30-40</v>
      </c>
    </row>
    <row r="80" spans="1:19" x14ac:dyDescent="0.35">
      <c r="A80" t="s">
        <v>226</v>
      </c>
      <c r="B80" t="s">
        <v>227</v>
      </c>
      <c r="C80" t="s">
        <v>124</v>
      </c>
      <c r="D80" t="s">
        <v>34</v>
      </c>
      <c r="E80" t="s">
        <v>49</v>
      </c>
      <c r="F80" t="s">
        <v>27</v>
      </c>
      <c r="G80" t="s">
        <v>85</v>
      </c>
      <c r="H80" s="3">
        <v>34</v>
      </c>
      <c r="I80" s="8">
        <v>42182</v>
      </c>
      <c r="J80" s="4">
        <v>57008</v>
      </c>
      <c r="K80" s="1">
        <v>0</v>
      </c>
      <c r="L80" t="s">
        <v>21</v>
      </c>
      <c r="M80" t="s">
        <v>44</v>
      </c>
      <c r="O80" s="5">
        <f t="shared" si="1"/>
        <v>0</v>
      </c>
      <c r="P80" s="6">
        <f>Table1[[#This Row],[Annual Salary]]+Table1[[#This Row],[Bonus Amount]]</f>
        <v>57008</v>
      </c>
      <c r="Q80" t="str">
        <f>IF(Table1[[#This Row],[Exit Date]]="", "Active","Exited")</f>
        <v>Active</v>
      </c>
      <c r="R80" s="2">
        <f ca="1">IFERROR(DATEDIF(Table1[[#This Row],[Hire Date]],IF(Table1[[#This Row],[Exit Date]]="",TODAY(),Table1[[#This Row],[Exit Date]]),"Y"),"")</f>
        <v>10</v>
      </c>
      <c r="S80" t="str" cm="1">
        <f t="array" ref="S80">_xlfn.IFS(Table1[[#This Row],[Age]]&lt;30,"Under 30",Table1[[#This Row],[Age]]&lt;=40,"30-40",Table1[[#This Row],[Age]]&lt;50,"41-50",TRUE,"50+")</f>
        <v>30-40</v>
      </c>
    </row>
    <row r="81" spans="1:19" x14ac:dyDescent="0.35">
      <c r="A81" t="s">
        <v>228</v>
      </c>
      <c r="B81" t="s">
        <v>229</v>
      </c>
      <c r="C81" t="s">
        <v>16</v>
      </c>
      <c r="D81" t="s">
        <v>34</v>
      </c>
      <c r="E81" t="s">
        <v>26</v>
      </c>
      <c r="F81" t="s">
        <v>27</v>
      </c>
      <c r="G81" t="s">
        <v>85</v>
      </c>
      <c r="H81" s="3">
        <v>60</v>
      </c>
      <c r="I81" s="8">
        <v>42270</v>
      </c>
      <c r="J81" s="4">
        <v>141899</v>
      </c>
      <c r="K81" s="1">
        <v>0.15</v>
      </c>
      <c r="L81" t="s">
        <v>21</v>
      </c>
      <c r="M81" t="s">
        <v>44</v>
      </c>
      <c r="O81" s="5">
        <f t="shared" si="1"/>
        <v>21284.85</v>
      </c>
      <c r="P81" s="6">
        <f>Table1[[#This Row],[Annual Salary]]+Table1[[#This Row],[Bonus Amount]]</f>
        <v>163183.85</v>
      </c>
      <c r="Q81" t="str">
        <f>IF(Table1[[#This Row],[Exit Date]]="", "Active","Exited")</f>
        <v>Active</v>
      </c>
      <c r="R81" s="2">
        <f ca="1">IFERROR(DATEDIF(Table1[[#This Row],[Hire Date]],IF(Table1[[#This Row],[Exit Date]]="",TODAY(),Table1[[#This Row],[Exit Date]]),"Y"),"")</f>
        <v>10</v>
      </c>
      <c r="S81" t="str" cm="1">
        <f t="array" ref="S81">_xlfn.IFS(Table1[[#This Row],[Age]]&lt;30,"Under 30",Table1[[#This Row],[Age]]&lt;=40,"30-40",Table1[[#This Row],[Age]]&lt;50,"41-50",TRUE,"50+")</f>
        <v>50+</v>
      </c>
    </row>
    <row r="82" spans="1:19" x14ac:dyDescent="0.35">
      <c r="A82" t="s">
        <v>230</v>
      </c>
      <c r="B82" t="s">
        <v>231</v>
      </c>
      <c r="C82" t="s">
        <v>124</v>
      </c>
      <c r="D82" t="s">
        <v>80</v>
      </c>
      <c r="E82" t="s">
        <v>49</v>
      </c>
      <c r="F82" t="s">
        <v>27</v>
      </c>
      <c r="G82" t="s">
        <v>20</v>
      </c>
      <c r="H82" s="3">
        <v>41</v>
      </c>
      <c r="I82" s="8">
        <v>42626</v>
      </c>
      <c r="J82" s="4">
        <v>64847</v>
      </c>
      <c r="K82" s="1">
        <v>0</v>
      </c>
      <c r="L82" t="s">
        <v>21</v>
      </c>
      <c r="M82" t="s">
        <v>56</v>
      </c>
      <c r="O82" s="5">
        <f t="shared" si="1"/>
        <v>0</v>
      </c>
      <c r="P82" s="6">
        <f>Table1[[#This Row],[Annual Salary]]+Table1[[#This Row],[Bonus Amount]]</f>
        <v>64847</v>
      </c>
      <c r="Q82" t="str">
        <f>IF(Table1[[#This Row],[Exit Date]]="", "Active","Exited")</f>
        <v>Active</v>
      </c>
      <c r="R82" s="2">
        <f ca="1">IFERROR(DATEDIF(Table1[[#This Row],[Hire Date]],IF(Table1[[#This Row],[Exit Date]]="",TODAY(),Table1[[#This Row],[Exit Date]]),"Y"),"")</f>
        <v>9</v>
      </c>
      <c r="S82" t="str" cm="1">
        <f t="array" ref="S82">_xlfn.IFS(Table1[[#This Row],[Age]]&lt;30,"Under 30",Table1[[#This Row],[Age]]&lt;=40,"30-40",Table1[[#This Row],[Age]]&lt;50,"41-50",TRUE,"50+")</f>
        <v>41-50</v>
      </c>
    </row>
    <row r="83" spans="1:19" x14ac:dyDescent="0.35">
      <c r="A83" t="s">
        <v>232</v>
      </c>
      <c r="B83" t="s">
        <v>233</v>
      </c>
      <c r="C83" t="s">
        <v>113</v>
      </c>
      <c r="D83" t="s">
        <v>69</v>
      </c>
      <c r="E83" t="s">
        <v>18</v>
      </c>
      <c r="F83" t="s">
        <v>27</v>
      </c>
      <c r="G83" t="s">
        <v>36</v>
      </c>
      <c r="H83" s="3">
        <v>53</v>
      </c>
      <c r="I83" s="8">
        <v>33702</v>
      </c>
      <c r="J83" s="4">
        <v>116878</v>
      </c>
      <c r="K83" s="1">
        <v>0.11</v>
      </c>
      <c r="L83" t="s">
        <v>21</v>
      </c>
      <c r="M83" t="s">
        <v>56</v>
      </c>
      <c r="O83" s="5">
        <f t="shared" si="1"/>
        <v>12856.58</v>
      </c>
      <c r="P83" s="6">
        <f>Table1[[#This Row],[Annual Salary]]+Table1[[#This Row],[Bonus Amount]]</f>
        <v>129734.58</v>
      </c>
      <c r="Q83" t="str">
        <f>IF(Table1[[#This Row],[Exit Date]]="", "Active","Exited")</f>
        <v>Active</v>
      </c>
      <c r="R83" s="2">
        <f ca="1">IFERROR(DATEDIF(Table1[[#This Row],[Hire Date]],IF(Table1[[#This Row],[Exit Date]]="",TODAY(),Table1[[#This Row],[Exit Date]]),"Y"),"")</f>
        <v>33</v>
      </c>
      <c r="S83" t="str" cm="1">
        <f t="array" ref="S83">_xlfn.IFS(Table1[[#This Row],[Age]]&lt;30,"Under 30",Table1[[#This Row],[Age]]&lt;=40,"30-40",Table1[[#This Row],[Age]]&lt;50,"41-50",TRUE,"50+")</f>
        <v>50+</v>
      </c>
    </row>
    <row r="84" spans="1:19" x14ac:dyDescent="0.35">
      <c r="A84" t="s">
        <v>234</v>
      </c>
      <c r="B84" t="s">
        <v>235</v>
      </c>
      <c r="C84" t="s">
        <v>108</v>
      </c>
      <c r="D84" t="s">
        <v>69</v>
      </c>
      <c r="E84" t="s">
        <v>35</v>
      </c>
      <c r="F84" t="s">
        <v>27</v>
      </c>
      <c r="G84" t="s">
        <v>20</v>
      </c>
      <c r="H84" s="3">
        <v>45</v>
      </c>
      <c r="I84" s="8">
        <v>38388</v>
      </c>
      <c r="J84" s="4">
        <v>70505</v>
      </c>
      <c r="K84" s="1">
        <v>0</v>
      </c>
      <c r="L84" t="s">
        <v>21</v>
      </c>
      <c r="M84" t="s">
        <v>60</v>
      </c>
      <c r="O84" s="5">
        <f t="shared" si="1"/>
        <v>0</v>
      </c>
      <c r="P84" s="6">
        <f>Table1[[#This Row],[Annual Salary]]+Table1[[#This Row],[Bonus Amount]]</f>
        <v>70505</v>
      </c>
      <c r="Q84" t="str">
        <f>IF(Table1[[#This Row],[Exit Date]]="", "Active","Exited")</f>
        <v>Active</v>
      </c>
      <c r="R84" s="2">
        <f ca="1">IFERROR(DATEDIF(Table1[[#This Row],[Hire Date]],IF(Table1[[#This Row],[Exit Date]]="",TODAY(),Table1[[#This Row],[Exit Date]]),"Y"),"")</f>
        <v>21</v>
      </c>
      <c r="S84" t="str" cm="1">
        <f t="array" ref="S84">_xlfn.IFS(Table1[[#This Row],[Age]]&lt;30,"Under 30",Table1[[#This Row],[Age]]&lt;=40,"30-40",Table1[[#This Row],[Age]]&lt;50,"41-50",TRUE,"50+")</f>
        <v>41-50</v>
      </c>
    </row>
    <row r="85" spans="1:19" x14ac:dyDescent="0.35">
      <c r="A85" t="s">
        <v>236</v>
      </c>
      <c r="B85" t="s">
        <v>237</v>
      </c>
      <c r="C85" t="s">
        <v>33</v>
      </c>
      <c r="D85" t="s">
        <v>69</v>
      </c>
      <c r="E85" t="s">
        <v>18</v>
      </c>
      <c r="F85" t="s">
        <v>19</v>
      </c>
      <c r="G85" t="s">
        <v>85</v>
      </c>
      <c r="H85" s="3">
        <v>30</v>
      </c>
      <c r="I85" s="8">
        <v>42512</v>
      </c>
      <c r="J85" s="4">
        <v>189702</v>
      </c>
      <c r="K85" s="1">
        <v>0.28000000000000003</v>
      </c>
      <c r="L85" t="s">
        <v>93</v>
      </c>
      <c r="M85" t="s">
        <v>94</v>
      </c>
      <c r="N85" s="7">
        <v>44186</v>
      </c>
      <c r="O85" s="5">
        <f t="shared" si="1"/>
        <v>53116.560000000005</v>
      </c>
      <c r="P85" s="6">
        <f>Table1[[#This Row],[Annual Salary]]+Table1[[#This Row],[Bonus Amount]]</f>
        <v>242818.56</v>
      </c>
      <c r="Q85" t="str">
        <f>IF(Table1[[#This Row],[Exit Date]]="", "Active","Exited")</f>
        <v>Exited</v>
      </c>
      <c r="R85" s="2">
        <f ca="1">IFERROR(DATEDIF(Table1[[#This Row],[Hire Date]],IF(Table1[[#This Row],[Exit Date]]="",TODAY(),Table1[[#This Row],[Exit Date]]),"Y"),"")</f>
        <v>4</v>
      </c>
      <c r="S85" t="str" cm="1">
        <f t="array" ref="S85">_xlfn.IFS(Table1[[#This Row],[Age]]&lt;30,"Under 30",Table1[[#This Row],[Age]]&lt;=40,"30-40",Table1[[#This Row],[Age]]&lt;50,"41-50",TRUE,"50+")</f>
        <v>30-40</v>
      </c>
    </row>
    <row r="86" spans="1:19" x14ac:dyDescent="0.35">
      <c r="A86" t="s">
        <v>238</v>
      </c>
      <c r="B86" t="s">
        <v>239</v>
      </c>
      <c r="C86" t="s">
        <v>33</v>
      </c>
      <c r="D86" t="s">
        <v>59</v>
      </c>
      <c r="E86" t="s">
        <v>35</v>
      </c>
      <c r="F86" t="s">
        <v>27</v>
      </c>
      <c r="G86" t="s">
        <v>36</v>
      </c>
      <c r="H86" s="3">
        <v>26</v>
      </c>
      <c r="I86" s="8">
        <v>44040</v>
      </c>
      <c r="J86" s="4">
        <v>180664</v>
      </c>
      <c r="K86" s="1">
        <v>0.27</v>
      </c>
      <c r="L86" t="s">
        <v>21</v>
      </c>
      <c r="M86" t="s">
        <v>37</v>
      </c>
      <c r="O86" s="5">
        <f t="shared" si="1"/>
        <v>48779.280000000006</v>
      </c>
      <c r="P86" s="6">
        <f>Table1[[#This Row],[Annual Salary]]+Table1[[#This Row],[Bonus Amount]]</f>
        <v>229443.28</v>
      </c>
      <c r="Q86" t="str">
        <f>IF(Table1[[#This Row],[Exit Date]]="", "Active","Exited")</f>
        <v>Active</v>
      </c>
      <c r="R86" s="2">
        <f ca="1">IFERROR(DATEDIF(Table1[[#This Row],[Hire Date]],IF(Table1[[#This Row],[Exit Date]]="",TODAY(),Table1[[#This Row],[Exit Date]]),"Y"),"")</f>
        <v>5</v>
      </c>
      <c r="S86" t="str" cm="1">
        <f t="array" ref="S86">_xlfn.IFS(Table1[[#This Row],[Age]]&lt;30,"Under 30",Table1[[#This Row],[Age]]&lt;=40,"30-40",Table1[[#This Row],[Age]]&lt;50,"41-50",TRUE,"50+")</f>
        <v>Under 30</v>
      </c>
    </row>
    <row r="87" spans="1:19" x14ac:dyDescent="0.35">
      <c r="A87" t="s">
        <v>240</v>
      </c>
      <c r="B87" t="s">
        <v>241</v>
      </c>
      <c r="C87" t="s">
        <v>184</v>
      </c>
      <c r="D87" t="s">
        <v>65</v>
      </c>
      <c r="E87" t="s">
        <v>26</v>
      </c>
      <c r="F87" t="s">
        <v>19</v>
      </c>
      <c r="G87" t="s">
        <v>28</v>
      </c>
      <c r="H87" s="3">
        <v>45</v>
      </c>
      <c r="I87" s="8">
        <v>37972</v>
      </c>
      <c r="J87" s="4">
        <v>48345</v>
      </c>
      <c r="K87" s="1">
        <v>0</v>
      </c>
      <c r="L87" t="s">
        <v>29</v>
      </c>
      <c r="M87" t="s">
        <v>134</v>
      </c>
      <c r="O87" s="5">
        <f t="shared" si="1"/>
        <v>0</v>
      </c>
      <c r="P87" s="6">
        <f>Table1[[#This Row],[Annual Salary]]+Table1[[#This Row],[Bonus Amount]]</f>
        <v>48345</v>
      </c>
      <c r="Q87" t="str">
        <f>IF(Table1[[#This Row],[Exit Date]]="", "Active","Exited")</f>
        <v>Active</v>
      </c>
      <c r="R87" s="2">
        <f ca="1">IFERROR(DATEDIF(Table1[[#This Row],[Hire Date]],IF(Table1[[#This Row],[Exit Date]]="",TODAY(),Table1[[#This Row],[Exit Date]]),"Y"),"")</f>
        <v>22</v>
      </c>
      <c r="S87" t="str" cm="1">
        <f t="array" ref="S87">_xlfn.IFS(Table1[[#This Row],[Age]]&lt;30,"Under 30",Table1[[#This Row],[Age]]&lt;=40,"30-40",Table1[[#This Row],[Age]]&lt;50,"41-50",TRUE,"50+")</f>
        <v>41-50</v>
      </c>
    </row>
    <row r="88" spans="1:19" x14ac:dyDescent="0.35">
      <c r="A88" t="s">
        <v>242</v>
      </c>
      <c r="B88" t="s">
        <v>243</v>
      </c>
      <c r="C88" t="s">
        <v>33</v>
      </c>
      <c r="D88" t="s">
        <v>65</v>
      </c>
      <c r="E88" t="s">
        <v>26</v>
      </c>
      <c r="F88" t="s">
        <v>27</v>
      </c>
      <c r="G88" t="s">
        <v>28</v>
      </c>
      <c r="H88" s="3">
        <v>42</v>
      </c>
      <c r="I88" s="8">
        <v>41655</v>
      </c>
      <c r="J88" s="4">
        <v>152214</v>
      </c>
      <c r="K88" s="1">
        <v>0.3</v>
      </c>
      <c r="L88" t="s">
        <v>29</v>
      </c>
      <c r="M88" t="s">
        <v>114</v>
      </c>
      <c r="O88" s="5">
        <f t="shared" si="1"/>
        <v>45664.2</v>
      </c>
      <c r="P88" s="6">
        <f>Table1[[#This Row],[Annual Salary]]+Table1[[#This Row],[Bonus Amount]]</f>
        <v>197878.2</v>
      </c>
      <c r="Q88" t="str">
        <f>IF(Table1[[#This Row],[Exit Date]]="", "Active","Exited")</f>
        <v>Active</v>
      </c>
      <c r="R88" s="2">
        <f ca="1">IFERROR(DATEDIF(Table1[[#This Row],[Hire Date]],IF(Table1[[#This Row],[Exit Date]]="",TODAY(),Table1[[#This Row],[Exit Date]]),"Y"),"")</f>
        <v>12</v>
      </c>
      <c r="S88" t="str" cm="1">
        <f t="array" ref="S88">_xlfn.IFS(Table1[[#This Row],[Age]]&lt;30,"Under 30",Table1[[#This Row],[Age]]&lt;=40,"30-40",Table1[[#This Row],[Age]]&lt;50,"41-50",TRUE,"50+")</f>
        <v>41-50</v>
      </c>
    </row>
    <row r="89" spans="1:19" x14ac:dyDescent="0.35">
      <c r="A89" t="s">
        <v>244</v>
      </c>
      <c r="B89" t="s">
        <v>245</v>
      </c>
      <c r="C89" t="s">
        <v>207</v>
      </c>
      <c r="D89" t="s">
        <v>17</v>
      </c>
      <c r="E89" t="s">
        <v>49</v>
      </c>
      <c r="F89" t="s">
        <v>19</v>
      </c>
      <c r="G89" t="s">
        <v>85</v>
      </c>
      <c r="H89" s="3">
        <v>41</v>
      </c>
      <c r="I89" s="8">
        <v>39931</v>
      </c>
      <c r="J89" s="4">
        <v>69803</v>
      </c>
      <c r="K89" s="1">
        <v>0</v>
      </c>
      <c r="L89" t="s">
        <v>93</v>
      </c>
      <c r="M89" t="s">
        <v>94</v>
      </c>
      <c r="O89" s="5">
        <f t="shared" si="1"/>
        <v>0</v>
      </c>
      <c r="P89" s="6">
        <f>Table1[[#This Row],[Annual Salary]]+Table1[[#This Row],[Bonus Amount]]</f>
        <v>69803</v>
      </c>
      <c r="Q89" t="str">
        <f>IF(Table1[[#This Row],[Exit Date]]="", "Active","Exited")</f>
        <v>Active</v>
      </c>
      <c r="R89" s="2">
        <f ca="1">IFERROR(DATEDIF(Table1[[#This Row],[Hire Date]],IF(Table1[[#This Row],[Exit Date]]="",TODAY(),Table1[[#This Row],[Exit Date]]),"Y"),"")</f>
        <v>16</v>
      </c>
      <c r="S89" t="str" cm="1">
        <f t="array" ref="S89">_xlfn.IFS(Table1[[#This Row],[Age]]&lt;30,"Under 30",Table1[[#This Row],[Age]]&lt;=40,"30-40",Table1[[#This Row],[Age]]&lt;50,"41-50",TRUE,"50+")</f>
        <v>41-50</v>
      </c>
    </row>
    <row r="90" spans="1:19" x14ac:dyDescent="0.35">
      <c r="A90" t="s">
        <v>246</v>
      </c>
      <c r="B90" t="s">
        <v>247</v>
      </c>
      <c r="C90" t="s">
        <v>248</v>
      </c>
      <c r="D90" t="s">
        <v>17</v>
      </c>
      <c r="E90" t="s">
        <v>49</v>
      </c>
      <c r="F90" t="s">
        <v>19</v>
      </c>
      <c r="G90" t="s">
        <v>85</v>
      </c>
      <c r="H90" s="3">
        <v>48</v>
      </c>
      <c r="I90" s="8">
        <v>43650</v>
      </c>
      <c r="J90" s="4">
        <v>76588</v>
      </c>
      <c r="K90" s="1">
        <v>0</v>
      </c>
      <c r="L90" t="s">
        <v>93</v>
      </c>
      <c r="M90" t="s">
        <v>99</v>
      </c>
      <c r="O90" s="5">
        <f t="shared" si="1"/>
        <v>0</v>
      </c>
      <c r="P90" s="6">
        <f>Table1[[#This Row],[Annual Salary]]+Table1[[#This Row],[Bonus Amount]]</f>
        <v>76588</v>
      </c>
      <c r="Q90" t="str">
        <f>IF(Table1[[#This Row],[Exit Date]]="", "Active","Exited")</f>
        <v>Active</v>
      </c>
      <c r="R90" s="2">
        <f ca="1">IFERROR(DATEDIF(Table1[[#This Row],[Hire Date]],IF(Table1[[#This Row],[Exit Date]]="",TODAY(),Table1[[#This Row],[Exit Date]]),"Y"),"")</f>
        <v>6</v>
      </c>
      <c r="S90" t="str" cm="1">
        <f t="array" ref="S90">_xlfn.IFS(Table1[[#This Row],[Age]]&lt;30,"Under 30",Table1[[#This Row],[Age]]&lt;=40,"30-40",Table1[[#This Row],[Age]]&lt;50,"41-50",TRUE,"50+")</f>
        <v>41-50</v>
      </c>
    </row>
    <row r="91" spans="1:19" x14ac:dyDescent="0.35">
      <c r="A91" t="s">
        <v>249</v>
      </c>
      <c r="B91" t="s">
        <v>250</v>
      </c>
      <c r="C91" t="s">
        <v>251</v>
      </c>
      <c r="D91" t="s">
        <v>17</v>
      </c>
      <c r="E91" t="s">
        <v>26</v>
      </c>
      <c r="F91" t="s">
        <v>27</v>
      </c>
      <c r="G91" t="s">
        <v>36</v>
      </c>
      <c r="H91" s="3">
        <v>29</v>
      </c>
      <c r="I91" s="8">
        <v>43444</v>
      </c>
      <c r="J91" s="4">
        <v>84596</v>
      </c>
      <c r="K91" s="1">
        <v>0</v>
      </c>
      <c r="L91" t="s">
        <v>21</v>
      </c>
      <c r="M91" t="s">
        <v>56</v>
      </c>
      <c r="O91" s="5">
        <f t="shared" si="1"/>
        <v>0</v>
      </c>
      <c r="P91" s="6">
        <f>Table1[[#This Row],[Annual Salary]]+Table1[[#This Row],[Bonus Amount]]</f>
        <v>84596</v>
      </c>
      <c r="Q91" t="str">
        <f>IF(Table1[[#This Row],[Exit Date]]="", "Active","Exited")</f>
        <v>Active</v>
      </c>
      <c r="R91" s="2">
        <f ca="1">IFERROR(DATEDIF(Table1[[#This Row],[Hire Date]],IF(Table1[[#This Row],[Exit Date]]="",TODAY(),Table1[[#This Row],[Exit Date]]),"Y"),"")</f>
        <v>7</v>
      </c>
      <c r="S91" t="str" cm="1">
        <f t="array" ref="S91">_xlfn.IFS(Table1[[#This Row],[Age]]&lt;30,"Under 30",Table1[[#This Row],[Age]]&lt;=40,"30-40",Table1[[#This Row],[Age]]&lt;50,"41-50",TRUE,"50+")</f>
        <v>Under 30</v>
      </c>
    </row>
    <row r="92" spans="1:19" x14ac:dyDescent="0.35">
      <c r="A92" t="s">
        <v>252</v>
      </c>
      <c r="B92" t="s">
        <v>253</v>
      </c>
      <c r="C92" t="s">
        <v>52</v>
      </c>
      <c r="D92" t="s">
        <v>80</v>
      </c>
      <c r="E92" t="s">
        <v>18</v>
      </c>
      <c r="F92" t="s">
        <v>27</v>
      </c>
      <c r="G92" t="s">
        <v>28</v>
      </c>
      <c r="H92" s="3">
        <v>27</v>
      </c>
      <c r="I92" s="8">
        <v>43368</v>
      </c>
      <c r="J92" s="4">
        <v>114441</v>
      </c>
      <c r="K92" s="1">
        <v>0.1</v>
      </c>
      <c r="L92" t="s">
        <v>29</v>
      </c>
      <c r="M92" t="s">
        <v>30</v>
      </c>
      <c r="N92" s="7">
        <v>43821</v>
      </c>
      <c r="O92" s="5">
        <f t="shared" si="1"/>
        <v>11444.1</v>
      </c>
      <c r="P92" s="6">
        <f>Table1[[#This Row],[Annual Salary]]+Table1[[#This Row],[Bonus Amount]]</f>
        <v>125885.1</v>
      </c>
      <c r="Q92" t="str">
        <f>IF(Table1[[#This Row],[Exit Date]]="", "Active","Exited")</f>
        <v>Exited</v>
      </c>
      <c r="R92" s="2">
        <f ca="1">IFERROR(DATEDIF(Table1[[#This Row],[Hire Date]],IF(Table1[[#This Row],[Exit Date]]="",TODAY(),Table1[[#This Row],[Exit Date]]),"Y"),"")</f>
        <v>1</v>
      </c>
      <c r="S92" t="str" cm="1">
        <f t="array" ref="S92">_xlfn.IFS(Table1[[#This Row],[Age]]&lt;30,"Under 30",Table1[[#This Row],[Age]]&lt;=40,"30-40",Table1[[#This Row],[Age]]&lt;50,"41-50",TRUE,"50+")</f>
        <v>Under 30</v>
      </c>
    </row>
    <row r="93" spans="1:19" x14ac:dyDescent="0.35">
      <c r="A93" t="s">
        <v>254</v>
      </c>
      <c r="B93" t="s">
        <v>255</v>
      </c>
      <c r="C93" t="s">
        <v>16</v>
      </c>
      <c r="D93" t="s">
        <v>34</v>
      </c>
      <c r="E93" t="s">
        <v>35</v>
      </c>
      <c r="F93" t="s">
        <v>19</v>
      </c>
      <c r="G93" t="s">
        <v>28</v>
      </c>
      <c r="H93" s="3">
        <v>33</v>
      </c>
      <c r="I93" s="8">
        <v>43211</v>
      </c>
      <c r="J93" s="4">
        <v>140402</v>
      </c>
      <c r="K93" s="1">
        <v>0.15</v>
      </c>
      <c r="L93" t="s">
        <v>29</v>
      </c>
      <c r="M93" t="s">
        <v>114</v>
      </c>
      <c r="O93" s="5">
        <f t="shared" si="1"/>
        <v>21060.3</v>
      </c>
      <c r="P93" s="6">
        <f>Table1[[#This Row],[Annual Salary]]+Table1[[#This Row],[Bonus Amount]]</f>
        <v>161462.29999999999</v>
      </c>
      <c r="Q93" t="str">
        <f>IF(Table1[[#This Row],[Exit Date]]="", "Active","Exited")</f>
        <v>Active</v>
      </c>
      <c r="R93" s="2">
        <f ca="1">IFERROR(DATEDIF(Table1[[#This Row],[Hire Date]],IF(Table1[[#This Row],[Exit Date]]="",TODAY(),Table1[[#This Row],[Exit Date]]),"Y"),"")</f>
        <v>7</v>
      </c>
      <c r="S93" t="str" cm="1">
        <f t="array" ref="S93">_xlfn.IFS(Table1[[#This Row],[Age]]&lt;30,"Under 30",Table1[[#This Row],[Age]]&lt;=40,"30-40",Table1[[#This Row],[Age]]&lt;50,"41-50",TRUE,"50+")</f>
        <v>30-40</v>
      </c>
    </row>
    <row r="94" spans="1:19" x14ac:dyDescent="0.35">
      <c r="A94" t="s">
        <v>256</v>
      </c>
      <c r="B94" t="s">
        <v>257</v>
      </c>
      <c r="C94" t="s">
        <v>124</v>
      </c>
      <c r="D94" t="s">
        <v>34</v>
      </c>
      <c r="E94" t="s">
        <v>49</v>
      </c>
      <c r="F94" t="s">
        <v>19</v>
      </c>
      <c r="G94" t="s">
        <v>85</v>
      </c>
      <c r="H94" s="3">
        <v>26</v>
      </c>
      <c r="I94" s="8">
        <v>43578</v>
      </c>
      <c r="J94" s="4">
        <v>59817</v>
      </c>
      <c r="K94" s="1">
        <v>0</v>
      </c>
      <c r="L94" t="s">
        <v>93</v>
      </c>
      <c r="M94" t="s">
        <v>218</v>
      </c>
      <c r="O94" s="5">
        <f t="shared" si="1"/>
        <v>0</v>
      </c>
      <c r="P94" s="6">
        <f>Table1[[#This Row],[Annual Salary]]+Table1[[#This Row],[Bonus Amount]]</f>
        <v>59817</v>
      </c>
      <c r="Q94" t="str">
        <f>IF(Table1[[#This Row],[Exit Date]]="", "Active","Exited")</f>
        <v>Active</v>
      </c>
      <c r="R94" s="2">
        <f ca="1">IFERROR(DATEDIF(Table1[[#This Row],[Hire Date]],IF(Table1[[#This Row],[Exit Date]]="",TODAY(),Table1[[#This Row],[Exit Date]]),"Y"),"")</f>
        <v>6</v>
      </c>
      <c r="S94" t="str" cm="1">
        <f t="array" ref="S94">_xlfn.IFS(Table1[[#This Row],[Age]]&lt;30,"Under 30",Table1[[#This Row],[Age]]&lt;=40,"30-40",Table1[[#This Row],[Age]]&lt;50,"41-50",TRUE,"50+")</f>
        <v>Under 30</v>
      </c>
    </row>
    <row r="95" spans="1:19" x14ac:dyDescent="0.35">
      <c r="A95" t="s">
        <v>258</v>
      </c>
      <c r="B95" t="s">
        <v>259</v>
      </c>
      <c r="C95" t="s">
        <v>47</v>
      </c>
      <c r="D95" t="s">
        <v>48</v>
      </c>
      <c r="E95" t="s">
        <v>26</v>
      </c>
      <c r="F95" t="s">
        <v>27</v>
      </c>
      <c r="G95" t="s">
        <v>28</v>
      </c>
      <c r="H95" s="3">
        <v>31</v>
      </c>
      <c r="I95" s="8">
        <v>42938</v>
      </c>
      <c r="J95" s="4">
        <v>55854</v>
      </c>
      <c r="K95" s="1">
        <v>0</v>
      </c>
      <c r="L95" t="s">
        <v>21</v>
      </c>
      <c r="M95" t="s">
        <v>60</v>
      </c>
      <c r="O95" s="5">
        <f t="shared" si="1"/>
        <v>0</v>
      </c>
      <c r="P95" s="6">
        <f>Table1[[#This Row],[Annual Salary]]+Table1[[#This Row],[Bonus Amount]]</f>
        <v>55854</v>
      </c>
      <c r="Q95" t="str">
        <f>IF(Table1[[#This Row],[Exit Date]]="", "Active","Exited")</f>
        <v>Active</v>
      </c>
      <c r="R95" s="2">
        <f ca="1">IFERROR(DATEDIF(Table1[[#This Row],[Hire Date]],IF(Table1[[#This Row],[Exit Date]]="",TODAY(),Table1[[#This Row],[Exit Date]]),"Y"),"")</f>
        <v>8</v>
      </c>
      <c r="S95" t="str" cm="1">
        <f t="array" ref="S95">_xlfn.IFS(Table1[[#This Row],[Age]]&lt;30,"Under 30",Table1[[#This Row],[Age]]&lt;=40,"30-40",Table1[[#This Row],[Age]]&lt;50,"41-50",TRUE,"50+")</f>
        <v>30-40</v>
      </c>
    </row>
    <row r="96" spans="1:19" x14ac:dyDescent="0.35">
      <c r="A96" t="s">
        <v>260</v>
      </c>
      <c r="B96" t="s">
        <v>261</v>
      </c>
      <c r="C96" t="s">
        <v>143</v>
      </c>
      <c r="D96" t="s">
        <v>65</v>
      </c>
      <c r="E96" t="s">
        <v>18</v>
      </c>
      <c r="F96" t="s">
        <v>27</v>
      </c>
      <c r="G96" t="s">
        <v>28</v>
      </c>
      <c r="H96" s="3">
        <v>53</v>
      </c>
      <c r="I96" s="8">
        <v>37576</v>
      </c>
      <c r="J96" s="4">
        <v>95998</v>
      </c>
      <c r="K96" s="1">
        <v>0</v>
      </c>
      <c r="L96" t="s">
        <v>21</v>
      </c>
      <c r="M96" t="s">
        <v>22</v>
      </c>
      <c r="O96" s="5">
        <f t="shared" si="1"/>
        <v>0</v>
      </c>
      <c r="P96" s="6">
        <f>Table1[[#This Row],[Annual Salary]]+Table1[[#This Row],[Bonus Amount]]</f>
        <v>95998</v>
      </c>
      <c r="Q96" t="str">
        <f>IF(Table1[[#This Row],[Exit Date]]="", "Active","Exited")</f>
        <v>Active</v>
      </c>
      <c r="R96" s="2">
        <f ca="1">IFERROR(DATEDIF(Table1[[#This Row],[Hire Date]],IF(Table1[[#This Row],[Exit Date]]="",TODAY(),Table1[[#This Row],[Exit Date]]),"Y"),"")</f>
        <v>23</v>
      </c>
      <c r="S96" t="str" cm="1">
        <f t="array" ref="S96">_xlfn.IFS(Table1[[#This Row],[Age]]&lt;30,"Under 30",Table1[[#This Row],[Age]]&lt;=40,"30-40",Table1[[#This Row],[Age]]&lt;50,"41-50",TRUE,"50+")</f>
        <v>50+</v>
      </c>
    </row>
    <row r="97" spans="1:19" x14ac:dyDescent="0.35">
      <c r="A97" t="s">
        <v>262</v>
      </c>
      <c r="B97" t="s">
        <v>263</v>
      </c>
      <c r="C97" t="s">
        <v>16</v>
      </c>
      <c r="D97" t="s">
        <v>48</v>
      </c>
      <c r="E97" t="s">
        <v>26</v>
      </c>
      <c r="F97" t="s">
        <v>19</v>
      </c>
      <c r="G97" t="s">
        <v>28</v>
      </c>
      <c r="H97" s="3">
        <v>34</v>
      </c>
      <c r="I97" s="8">
        <v>42116</v>
      </c>
      <c r="J97" s="4">
        <v>154941</v>
      </c>
      <c r="K97" s="1">
        <v>0.13</v>
      </c>
      <c r="L97" t="s">
        <v>21</v>
      </c>
      <c r="M97" t="s">
        <v>44</v>
      </c>
      <c r="O97" s="5">
        <f t="shared" si="1"/>
        <v>20142.330000000002</v>
      </c>
      <c r="P97" s="6">
        <f>Table1[[#This Row],[Annual Salary]]+Table1[[#This Row],[Bonus Amount]]</f>
        <v>175083.33000000002</v>
      </c>
      <c r="Q97" t="str">
        <f>IF(Table1[[#This Row],[Exit Date]]="", "Active","Exited")</f>
        <v>Active</v>
      </c>
      <c r="R97" s="2">
        <f ca="1">IFERROR(DATEDIF(Table1[[#This Row],[Hire Date]],IF(Table1[[#This Row],[Exit Date]]="",TODAY(),Table1[[#This Row],[Exit Date]]),"Y"),"")</f>
        <v>10</v>
      </c>
      <c r="S97" t="str" cm="1">
        <f t="array" ref="S97">_xlfn.IFS(Table1[[#This Row],[Age]]&lt;30,"Under 30",Table1[[#This Row],[Age]]&lt;=40,"30-40",Table1[[#This Row],[Age]]&lt;50,"41-50",TRUE,"50+")</f>
        <v>30-40</v>
      </c>
    </row>
    <row r="98" spans="1:19" x14ac:dyDescent="0.35">
      <c r="A98" t="s">
        <v>264</v>
      </c>
      <c r="B98" t="s">
        <v>172</v>
      </c>
      <c r="C98" t="s">
        <v>79</v>
      </c>
      <c r="D98" t="s">
        <v>34</v>
      </c>
      <c r="E98" t="s">
        <v>35</v>
      </c>
      <c r="F98" t="s">
        <v>19</v>
      </c>
      <c r="G98" t="s">
        <v>28</v>
      </c>
      <c r="H98" s="3">
        <v>54</v>
      </c>
      <c r="I98" s="8">
        <v>40734</v>
      </c>
      <c r="J98" s="4">
        <v>247022</v>
      </c>
      <c r="K98" s="1">
        <v>0.3</v>
      </c>
      <c r="L98" t="s">
        <v>29</v>
      </c>
      <c r="M98" t="s">
        <v>114</v>
      </c>
      <c r="O98" s="5">
        <f t="shared" si="1"/>
        <v>74106.599999999991</v>
      </c>
      <c r="P98" s="6">
        <f>Table1[[#This Row],[Annual Salary]]+Table1[[#This Row],[Bonus Amount]]</f>
        <v>321128.59999999998</v>
      </c>
      <c r="Q98" t="str">
        <f>IF(Table1[[#This Row],[Exit Date]]="", "Active","Exited")</f>
        <v>Active</v>
      </c>
      <c r="R98" s="2">
        <f ca="1">IFERROR(DATEDIF(Table1[[#This Row],[Hire Date]],IF(Table1[[#This Row],[Exit Date]]="",TODAY(),Table1[[#This Row],[Exit Date]]),"Y"),"")</f>
        <v>14</v>
      </c>
      <c r="S98" t="str" cm="1">
        <f t="array" ref="S98">_xlfn.IFS(Table1[[#This Row],[Age]]&lt;30,"Under 30",Table1[[#This Row],[Age]]&lt;=40,"30-40",Table1[[#This Row],[Age]]&lt;50,"41-50",TRUE,"50+")</f>
        <v>50+</v>
      </c>
    </row>
    <row r="99" spans="1:19" x14ac:dyDescent="0.35">
      <c r="A99" t="s">
        <v>265</v>
      </c>
      <c r="B99" t="s">
        <v>266</v>
      </c>
      <c r="C99" t="s">
        <v>248</v>
      </c>
      <c r="D99" t="s">
        <v>17</v>
      </c>
      <c r="E99" t="s">
        <v>26</v>
      </c>
      <c r="F99" t="s">
        <v>19</v>
      </c>
      <c r="G99" t="s">
        <v>85</v>
      </c>
      <c r="H99" s="3">
        <v>32</v>
      </c>
      <c r="I99" s="8">
        <v>44474</v>
      </c>
      <c r="J99" s="4">
        <v>88072</v>
      </c>
      <c r="K99" s="1">
        <v>0</v>
      </c>
      <c r="L99" t="s">
        <v>93</v>
      </c>
      <c r="M99" t="s">
        <v>218</v>
      </c>
      <c r="O99" s="5">
        <f t="shared" si="1"/>
        <v>0</v>
      </c>
      <c r="P99" s="6">
        <f>Table1[[#This Row],[Annual Salary]]+Table1[[#This Row],[Bonus Amount]]</f>
        <v>88072</v>
      </c>
      <c r="Q99" t="str">
        <f>IF(Table1[[#This Row],[Exit Date]]="", "Active","Exited")</f>
        <v>Active</v>
      </c>
      <c r="R99" s="2">
        <f ca="1">IFERROR(DATEDIF(Table1[[#This Row],[Hire Date]],IF(Table1[[#This Row],[Exit Date]]="",TODAY(),Table1[[#This Row],[Exit Date]]),"Y"),"")</f>
        <v>4</v>
      </c>
      <c r="S99" t="str" cm="1">
        <f t="array" ref="S99">_xlfn.IFS(Table1[[#This Row],[Age]]&lt;30,"Under 30",Table1[[#This Row],[Age]]&lt;=40,"30-40",Table1[[#This Row],[Age]]&lt;50,"41-50",TRUE,"50+")</f>
        <v>30-40</v>
      </c>
    </row>
    <row r="100" spans="1:19" x14ac:dyDescent="0.35">
      <c r="A100" t="s">
        <v>267</v>
      </c>
      <c r="B100" t="s">
        <v>268</v>
      </c>
      <c r="C100" t="s">
        <v>40</v>
      </c>
      <c r="D100" t="s">
        <v>17</v>
      </c>
      <c r="E100" t="s">
        <v>18</v>
      </c>
      <c r="F100" t="s">
        <v>27</v>
      </c>
      <c r="G100" t="s">
        <v>28</v>
      </c>
      <c r="H100" s="3">
        <v>28</v>
      </c>
      <c r="I100" s="8">
        <v>43977</v>
      </c>
      <c r="J100" s="4">
        <v>67925</v>
      </c>
      <c r="K100" s="1">
        <v>0.08</v>
      </c>
      <c r="L100" t="s">
        <v>29</v>
      </c>
      <c r="M100" t="s">
        <v>74</v>
      </c>
      <c r="O100" s="5">
        <f t="shared" si="1"/>
        <v>5434</v>
      </c>
      <c r="P100" s="6">
        <f>Table1[[#This Row],[Annual Salary]]+Table1[[#This Row],[Bonus Amount]]</f>
        <v>73359</v>
      </c>
      <c r="Q100" t="str">
        <f>IF(Table1[[#This Row],[Exit Date]]="", "Active","Exited")</f>
        <v>Active</v>
      </c>
      <c r="R100" s="2">
        <f ca="1">IFERROR(DATEDIF(Table1[[#This Row],[Hire Date]],IF(Table1[[#This Row],[Exit Date]]="",TODAY(),Table1[[#This Row],[Exit Date]]),"Y"),"")</f>
        <v>5</v>
      </c>
      <c r="S100" t="str" cm="1">
        <f t="array" ref="S100">_xlfn.IFS(Table1[[#This Row],[Age]]&lt;30,"Under 30",Table1[[#This Row],[Age]]&lt;=40,"30-40",Table1[[#This Row],[Age]]&lt;50,"41-50",TRUE,"50+")</f>
        <v>Under 30</v>
      </c>
    </row>
    <row r="101" spans="1:19" x14ac:dyDescent="0.35">
      <c r="A101" t="s">
        <v>269</v>
      </c>
      <c r="B101" t="s">
        <v>270</v>
      </c>
      <c r="C101" t="s">
        <v>79</v>
      </c>
      <c r="D101" t="s">
        <v>48</v>
      </c>
      <c r="E101" t="s">
        <v>26</v>
      </c>
      <c r="F101" t="s">
        <v>19</v>
      </c>
      <c r="G101" t="s">
        <v>36</v>
      </c>
      <c r="H101" s="3">
        <v>31</v>
      </c>
      <c r="I101" s="8">
        <v>44063</v>
      </c>
      <c r="J101" s="4">
        <v>219693</v>
      </c>
      <c r="K101" s="1">
        <v>0.3</v>
      </c>
      <c r="L101" t="s">
        <v>21</v>
      </c>
      <c r="M101" t="s">
        <v>60</v>
      </c>
      <c r="O101" s="5">
        <f t="shared" si="1"/>
        <v>65907.899999999994</v>
      </c>
      <c r="P101" s="6">
        <f>Table1[[#This Row],[Annual Salary]]+Table1[[#This Row],[Bonus Amount]]</f>
        <v>285600.90000000002</v>
      </c>
      <c r="Q101" t="str">
        <f>IF(Table1[[#This Row],[Exit Date]]="", "Active","Exited")</f>
        <v>Active</v>
      </c>
      <c r="R101" s="2">
        <f ca="1">IFERROR(DATEDIF(Table1[[#This Row],[Hire Date]],IF(Table1[[#This Row],[Exit Date]]="",TODAY(),Table1[[#This Row],[Exit Date]]),"Y"),"")</f>
        <v>5</v>
      </c>
      <c r="S101" t="str" cm="1">
        <f t="array" ref="S101">_xlfn.IFS(Table1[[#This Row],[Age]]&lt;30,"Under 30",Table1[[#This Row],[Age]]&lt;=40,"30-40",Table1[[#This Row],[Age]]&lt;50,"41-50",TRUE,"50+")</f>
        <v>30-40</v>
      </c>
    </row>
    <row r="102" spans="1:19" x14ac:dyDescent="0.35">
      <c r="A102" t="s">
        <v>271</v>
      </c>
      <c r="B102" t="s">
        <v>272</v>
      </c>
      <c r="C102" t="s">
        <v>223</v>
      </c>
      <c r="D102" t="s">
        <v>69</v>
      </c>
      <c r="E102" t="s">
        <v>18</v>
      </c>
      <c r="F102" t="s">
        <v>19</v>
      </c>
      <c r="G102" t="s">
        <v>36</v>
      </c>
      <c r="H102" s="3">
        <v>45</v>
      </c>
      <c r="I102" s="8">
        <v>41386</v>
      </c>
      <c r="J102" s="4">
        <v>61773</v>
      </c>
      <c r="K102" s="1">
        <v>0</v>
      </c>
      <c r="L102" t="s">
        <v>21</v>
      </c>
      <c r="M102" t="s">
        <v>22</v>
      </c>
      <c r="O102" s="5">
        <f t="shared" si="1"/>
        <v>0</v>
      </c>
      <c r="P102" s="6">
        <f>Table1[[#This Row],[Annual Salary]]+Table1[[#This Row],[Bonus Amount]]</f>
        <v>61773</v>
      </c>
      <c r="Q102" t="str">
        <f>IF(Table1[[#This Row],[Exit Date]]="", "Active","Exited")</f>
        <v>Active</v>
      </c>
      <c r="R102" s="2">
        <f ca="1">IFERROR(DATEDIF(Table1[[#This Row],[Hire Date]],IF(Table1[[#This Row],[Exit Date]]="",TODAY(),Table1[[#This Row],[Exit Date]]),"Y"),"")</f>
        <v>12</v>
      </c>
      <c r="S102" t="str" cm="1">
        <f t="array" ref="S102">_xlfn.IFS(Table1[[#This Row],[Age]]&lt;30,"Under 30",Table1[[#This Row],[Age]]&lt;=40,"30-40",Table1[[#This Row],[Age]]&lt;50,"41-50",TRUE,"50+")</f>
        <v>41-50</v>
      </c>
    </row>
    <row r="103" spans="1:19" x14ac:dyDescent="0.35">
      <c r="A103" t="s">
        <v>273</v>
      </c>
      <c r="B103" t="s">
        <v>274</v>
      </c>
      <c r="C103" t="s">
        <v>40</v>
      </c>
      <c r="D103" t="s">
        <v>17</v>
      </c>
      <c r="E103" t="s">
        <v>35</v>
      </c>
      <c r="F103" t="s">
        <v>19</v>
      </c>
      <c r="G103" t="s">
        <v>28</v>
      </c>
      <c r="H103" s="3">
        <v>48</v>
      </c>
      <c r="I103" s="8">
        <v>39091</v>
      </c>
      <c r="J103" s="4">
        <v>74546</v>
      </c>
      <c r="K103" s="1">
        <v>0.09</v>
      </c>
      <c r="L103" t="s">
        <v>21</v>
      </c>
      <c r="M103" t="s">
        <v>22</v>
      </c>
      <c r="O103" s="5">
        <f t="shared" si="1"/>
        <v>6709.1399999999994</v>
      </c>
      <c r="P103" s="6">
        <f>Table1[[#This Row],[Annual Salary]]+Table1[[#This Row],[Bonus Amount]]</f>
        <v>81255.14</v>
      </c>
      <c r="Q103" t="str">
        <f>IF(Table1[[#This Row],[Exit Date]]="", "Active","Exited")</f>
        <v>Active</v>
      </c>
      <c r="R103" s="2">
        <f ca="1">IFERROR(DATEDIF(Table1[[#This Row],[Hire Date]],IF(Table1[[#This Row],[Exit Date]]="",TODAY(),Table1[[#This Row],[Exit Date]]),"Y"),"")</f>
        <v>19</v>
      </c>
      <c r="S103" t="str" cm="1">
        <f t="array" ref="S103">_xlfn.IFS(Table1[[#This Row],[Age]]&lt;30,"Under 30",Table1[[#This Row],[Age]]&lt;=40,"30-40",Table1[[#This Row],[Age]]&lt;50,"41-50",TRUE,"50+")</f>
        <v>41-50</v>
      </c>
    </row>
    <row r="104" spans="1:19" x14ac:dyDescent="0.35">
      <c r="A104" t="s">
        <v>275</v>
      </c>
      <c r="B104" t="s">
        <v>276</v>
      </c>
      <c r="C104" t="s">
        <v>277</v>
      </c>
      <c r="D104" t="s">
        <v>69</v>
      </c>
      <c r="E104" t="s">
        <v>35</v>
      </c>
      <c r="F104" t="s">
        <v>27</v>
      </c>
      <c r="G104" t="s">
        <v>20</v>
      </c>
      <c r="H104" s="3">
        <v>56</v>
      </c>
      <c r="I104" s="8">
        <v>42031</v>
      </c>
      <c r="J104" s="4">
        <v>62575</v>
      </c>
      <c r="K104" s="1">
        <v>0</v>
      </c>
      <c r="L104" t="s">
        <v>21</v>
      </c>
      <c r="M104" t="s">
        <v>56</v>
      </c>
      <c r="O104" s="5">
        <f t="shared" si="1"/>
        <v>0</v>
      </c>
      <c r="P104" s="6">
        <f>Table1[[#This Row],[Annual Salary]]+Table1[[#This Row],[Bonus Amount]]</f>
        <v>62575</v>
      </c>
      <c r="Q104" t="str">
        <f>IF(Table1[[#This Row],[Exit Date]]="", "Active","Exited")</f>
        <v>Active</v>
      </c>
      <c r="R104" s="2">
        <f ca="1">IFERROR(DATEDIF(Table1[[#This Row],[Hire Date]],IF(Table1[[#This Row],[Exit Date]]="",TODAY(),Table1[[#This Row],[Exit Date]]),"Y"),"")</f>
        <v>11</v>
      </c>
      <c r="S104" t="str" cm="1">
        <f t="array" ref="S104">_xlfn.IFS(Table1[[#This Row],[Age]]&lt;30,"Under 30",Table1[[#This Row],[Age]]&lt;=40,"30-40",Table1[[#This Row],[Age]]&lt;50,"41-50",TRUE,"50+")</f>
        <v>50+</v>
      </c>
    </row>
    <row r="105" spans="1:19" x14ac:dyDescent="0.35">
      <c r="A105" t="s">
        <v>278</v>
      </c>
      <c r="B105" t="s">
        <v>279</v>
      </c>
      <c r="C105" t="s">
        <v>33</v>
      </c>
      <c r="D105" t="s">
        <v>65</v>
      </c>
      <c r="E105" t="s">
        <v>49</v>
      </c>
      <c r="F105" t="s">
        <v>19</v>
      </c>
      <c r="G105" t="s">
        <v>28</v>
      </c>
      <c r="H105" s="3">
        <v>27</v>
      </c>
      <c r="I105" s="8">
        <v>44250</v>
      </c>
      <c r="J105" s="4">
        <v>199041</v>
      </c>
      <c r="K105" s="1">
        <v>0.16</v>
      </c>
      <c r="L105" t="s">
        <v>29</v>
      </c>
      <c r="M105" t="s">
        <v>114</v>
      </c>
      <c r="O105" s="5">
        <f t="shared" si="1"/>
        <v>31846.560000000001</v>
      </c>
      <c r="P105" s="6">
        <f>Table1[[#This Row],[Annual Salary]]+Table1[[#This Row],[Bonus Amount]]</f>
        <v>230887.56</v>
      </c>
      <c r="Q105" t="str">
        <f>IF(Table1[[#This Row],[Exit Date]]="", "Active","Exited")</f>
        <v>Active</v>
      </c>
      <c r="R105" s="2">
        <f ca="1">IFERROR(DATEDIF(Table1[[#This Row],[Hire Date]],IF(Table1[[#This Row],[Exit Date]]="",TODAY(),Table1[[#This Row],[Exit Date]]),"Y"),"")</f>
        <v>5</v>
      </c>
      <c r="S105" t="str" cm="1">
        <f t="array" ref="S105">_xlfn.IFS(Table1[[#This Row],[Age]]&lt;30,"Under 30",Table1[[#This Row],[Age]]&lt;=40,"30-40",Table1[[#This Row],[Age]]&lt;50,"41-50",TRUE,"50+")</f>
        <v>Under 30</v>
      </c>
    </row>
    <row r="106" spans="1:19" x14ac:dyDescent="0.35">
      <c r="A106" t="s">
        <v>280</v>
      </c>
      <c r="B106" t="s">
        <v>281</v>
      </c>
      <c r="C106" t="s">
        <v>124</v>
      </c>
      <c r="D106" t="s">
        <v>59</v>
      </c>
      <c r="E106" t="s">
        <v>35</v>
      </c>
      <c r="F106" t="s">
        <v>27</v>
      </c>
      <c r="G106" t="s">
        <v>36</v>
      </c>
      <c r="H106" s="3">
        <v>55</v>
      </c>
      <c r="I106" s="8">
        <v>39177</v>
      </c>
      <c r="J106" s="4">
        <v>52310</v>
      </c>
      <c r="K106" s="1">
        <v>0</v>
      </c>
      <c r="L106" t="s">
        <v>21</v>
      </c>
      <c r="M106" t="s">
        <v>56</v>
      </c>
      <c r="N106" s="7">
        <v>43385</v>
      </c>
      <c r="O106" s="5">
        <f t="shared" si="1"/>
        <v>0</v>
      </c>
      <c r="P106" s="6">
        <f>Table1[[#This Row],[Annual Salary]]+Table1[[#This Row],[Bonus Amount]]</f>
        <v>52310</v>
      </c>
      <c r="Q106" t="str">
        <f>IF(Table1[[#This Row],[Exit Date]]="", "Active","Exited")</f>
        <v>Exited</v>
      </c>
      <c r="R106" s="2">
        <f ca="1">IFERROR(DATEDIF(Table1[[#This Row],[Hire Date]],IF(Table1[[#This Row],[Exit Date]]="",TODAY(),Table1[[#This Row],[Exit Date]]),"Y"),"")</f>
        <v>11</v>
      </c>
      <c r="S106" t="str" cm="1">
        <f t="array" ref="S106">_xlfn.IFS(Table1[[#This Row],[Age]]&lt;30,"Under 30",Table1[[#This Row],[Age]]&lt;=40,"30-40",Table1[[#This Row],[Age]]&lt;50,"41-50",TRUE,"50+")</f>
        <v>50+</v>
      </c>
    </row>
    <row r="107" spans="1:19" x14ac:dyDescent="0.35">
      <c r="A107" t="s">
        <v>282</v>
      </c>
      <c r="B107" t="s">
        <v>283</v>
      </c>
      <c r="C107" t="s">
        <v>16</v>
      </c>
      <c r="D107" t="s">
        <v>34</v>
      </c>
      <c r="E107" t="s">
        <v>35</v>
      </c>
      <c r="F107" t="s">
        <v>27</v>
      </c>
      <c r="G107" t="s">
        <v>20</v>
      </c>
      <c r="H107" s="3">
        <v>64</v>
      </c>
      <c r="I107" s="8">
        <v>41454</v>
      </c>
      <c r="J107" s="4">
        <v>159571</v>
      </c>
      <c r="K107" s="1">
        <v>0.1</v>
      </c>
      <c r="L107" t="s">
        <v>21</v>
      </c>
      <c r="M107" t="s">
        <v>88</v>
      </c>
      <c r="O107" s="5">
        <f t="shared" si="1"/>
        <v>15957.1</v>
      </c>
      <c r="P107" s="6">
        <f>Table1[[#This Row],[Annual Salary]]+Table1[[#This Row],[Bonus Amount]]</f>
        <v>175528.1</v>
      </c>
      <c r="Q107" t="str">
        <f>IF(Table1[[#This Row],[Exit Date]]="", "Active","Exited")</f>
        <v>Active</v>
      </c>
      <c r="R107" s="2">
        <f ca="1">IFERROR(DATEDIF(Table1[[#This Row],[Hire Date]],IF(Table1[[#This Row],[Exit Date]]="",TODAY(),Table1[[#This Row],[Exit Date]]),"Y"),"")</f>
        <v>12</v>
      </c>
      <c r="S107" t="str" cm="1">
        <f t="array" ref="S107">_xlfn.IFS(Table1[[#This Row],[Age]]&lt;30,"Under 30",Table1[[#This Row],[Age]]&lt;=40,"30-40",Table1[[#This Row],[Age]]&lt;50,"41-50",TRUE,"50+")</f>
        <v>50+</v>
      </c>
    </row>
    <row r="108" spans="1:19" x14ac:dyDescent="0.35">
      <c r="A108" t="s">
        <v>284</v>
      </c>
      <c r="B108" t="s">
        <v>285</v>
      </c>
      <c r="C108" t="s">
        <v>175</v>
      </c>
      <c r="D108" t="s">
        <v>69</v>
      </c>
      <c r="E108" t="s">
        <v>18</v>
      </c>
      <c r="F108" t="s">
        <v>19</v>
      </c>
      <c r="G108" t="s">
        <v>85</v>
      </c>
      <c r="H108" s="3">
        <v>50</v>
      </c>
      <c r="I108" s="8">
        <v>35726</v>
      </c>
      <c r="J108" s="4">
        <v>91763</v>
      </c>
      <c r="K108" s="1">
        <v>0</v>
      </c>
      <c r="L108" t="s">
        <v>21</v>
      </c>
      <c r="M108" t="s">
        <v>60</v>
      </c>
      <c r="O108" s="5">
        <f t="shared" si="1"/>
        <v>0</v>
      </c>
      <c r="P108" s="6">
        <f>Table1[[#This Row],[Annual Salary]]+Table1[[#This Row],[Bonus Amount]]</f>
        <v>91763</v>
      </c>
      <c r="Q108" t="str">
        <f>IF(Table1[[#This Row],[Exit Date]]="", "Active","Exited")</f>
        <v>Active</v>
      </c>
      <c r="R108" s="2">
        <f ca="1">IFERROR(DATEDIF(Table1[[#This Row],[Hire Date]],IF(Table1[[#This Row],[Exit Date]]="",TODAY(),Table1[[#This Row],[Exit Date]]),"Y"),"")</f>
        <v>28</v>
      </c>
      <c r="S108" t="str" cm="1">
        <f t="array" ref="S108">_xlfn.IFS(Table1[[#This Row],[Age]]&lt;30,"Under 30",Table1[[#This Row],[Age]]&lt;=40,"30-40",Table1[[#This Row],[Age]]&lt;50,"41-50",TRUE,"50+")</f>
        <v>50+</v>
      </c>
    </row>
    <row r="109" spans="1:19" x14ac:dyDescent="0.35">
      <c r="A109" t="s">
        <v>286</v>
      </c>
      <c r="B109" t="s">
        <v>287</v>
      </c>
      <c r="C109" t="s">
        <v>277</v>
      </c>
      <c r="D109" t="s">
        <v>69</v>
      </c>
      <c r="E109" t="s">
        <v>49</v>
      </c>
      <c r="F109" t="s">
        <v>19</v>
      </c>
      <c r="G109" t="s">
        <v>36</v>
      </c>
      <c r="H109" s="3">
        <v>51</v>
      </c>
      <c r="I109" s="8">
        <v>35055</v>
      </c>
      <c r="J109" s="4">
        <v>96475</v>
      </c>
      <c r="K109" s="1">
        <v>0</v>
      </c>
      <c r="L109" t="s">
        <v>21</v>
      </c>
      <c r="M109" t="s">
        <v>60</v>
      </c>
      <c r="O109" s="5">
        <f t="shared" si="1"/>
        <v>0</v>
      </c>
      <c r="P109" s="6">
        <f>Table1[[#This Row],[Annual Salary]]+Table1[[#This Row],[Bonus Amount]]</f>
        <v>96475</v>
      </c>
      <c r="Q109" t="str">
        <f>IF(Table1[[#This Row],[Exit Date]]="", "Active","Exited")</f>
        <v>Active</v>
      </c>
      <c r="R109" s="2">
        <f ca="1">IFERROR(DATEDIF(Table1[[#This Row],[Hire Date]],IF(Table1[[#This Row],[Exit Date]]="",TODAY(),Table1[[#This Row],[Exit Date]]),"Y"),"")</f>
        <v>30</v>
      </c>
      <c r="S109" t="str" cm="1">
        <f t="array" ref="S109">_xlfn.IFS(Table1[[#This Row],[Age]]&lt;30,"Under 30",Table1[[#This Row],[Age]]&lt;=40,"30-40",Table1[[#This Row],[Age]]&lt;50,"41-50",TRUE,"50+")</f>
        <v>50+</v>
      </c>
    </row>
    <row r="110" spans="1:19" x14ac:dyDescent="0.35">
      <c r="A110" t="s">
        <v>288</v>
      </c>
      <c r="B110" t="s">
        <v>289</v>
      </c>
      <c r="C110" t="s">
        <v>68</v>
      </c>
      <c r="D110" t="s">
        <v>69</v>
      </c>
      <c r="E110" t="s">
        <v>26</v>
      </c>
      <c r="F110" t="s">
        <v>27</v>
      </c>
      <c r="G110" t="s">
        <v>36</v>
      </c>
      <c r="H110" s="3">
        <v>36</v>
      </c>
      <c r="I110" s="8">
        <v>42706</v>
      </c>
      <c r="J110" s="4">
        <v>113781</v>
      </c>
      <c r="K110" s="1">
        <v>0</v>
      </c>
      <c r="L110" t="s">
        <v>21</v>
      </c>
      <c r="M110" t="s">
        <v>88</v>
      </c>
      <c r="O110" s="5">
        <f t="shared" si="1"/>
        <v>0</v>
      </c>
      <c r="P110" s="6">
        <f>Table1[[#This Row],[Annual Salary]]+Table1[[#This Row],[Bonus Amount]]</f>
        <v>113781</v>
      </c>
      <c r="Q110" t="str">
        <f>IF(Table1[[#This Row],[Exit Date]]="", "Active","Exited")</f>
        <v>Active</v>
      </c>
      <c r="R110" s="2">
        <f ca="1">IFERROR(DATEDIF(Table1[[#This Row],[Hire Date]],IF(Table1[[#This Row],[Exit Date]]="",TODAY(),Table1[[#This Row],[Exit Date]]),"Y"),"")</f>
        <v>9</v>
      </c>
      <c r="S110" t="str" cm="1">
        <f t="array" ref="S110">_xlfn.IFS(Table1[[#This Row],[Age]]&lt;30,"Under 30",Table1[[#This Row],[Age]]&lt;=40,"30-40",Table1[[#This Row],[Age]]&lt;50,"41-50",TRUE,"50+")</f>
        <v>30-40</v>
      </c>
    </row>
    <row r="111" spans="1:19" x14ac:dyDescent="0.35">
      <c r="A111" t="s">
        <v>290</v>
      </c>
      <c r="B111" t="s">
        <v>291</v>
      </c>
      <c r="C111" t="s">
        <v>33</v>
      </c>
      <c r="D111" t="s">
        <v>34</v>
      </c>
      <c r="E111" t="s">
        <v>18</v>
      </c>
      <c r="F111" t="s">
        <v>27</v>
      </c>
      <c r="G111" t="s">
        <v>28</v>
      </c>
      <c r="H111" s="3">
        <v>42</v>
      </c>
      <c r="I111" s="8">
        <v>37636</v>
      </c>
      <c r="J111" s="4">
        <v>166599</v>
      </c>
      <c r="K111" s="1">
        <v>0.26</v>
      </c>
      <c r="L111" t="s">
        <v>21</v>
      </c>
      <c r="M111" t="s">
        <v>22</v>
      </c>
      <c r="O111" s="5">
        <f t="shared" si="1"/>
        <v>43315.74</v>
      </c>
      <c r="P111" s="6">
        <f>Table1[[#This Row],[Annual Salary]]+Table1[[#This Row],[Bonus Amount]]</f>
        <v>209914.74</v>
      </c>
      <c r="Q111" t="str">
        <f>IF(Table1[[#This Row],[Exit Date]]="", "Active","Exited")</f>
        <v>Active</v>
      </c>
      <c r="R111" s="2">
        <f ca="1">IFERROR(DATEDIF(Table1[[#This Row],[Hire Date]],IF(Table1[[#This Row],[Exit Date]]="",TODAY(),Table1[[#This Row],[Exit Date]]),"Y"),"")</f>
        <v>23</v>
      </c>
      <c r="S111" t="str" cm="1">
        <f t="array" ref="S111">_xlfn.IFS(Table1[[#This Row],[Age]]&lt;30,"Under 30",Table1[[#This Row],[Age]]&lt;=40,"30-40",Table1[[#This Row],[Age]]&lt;50,"41-50",TRUE,"50+")</f>
        <v>41-50</v>
      </c>
    </row>
    <row r="112" spans="1:19" x14ac:dyDescent="0.35">
      <c r="A112" t="s">
        <v>292</v>
      </c>
      <c r="B112" t="s">
        <v>293</v>
      </c>
      <c r="C112" t="s">
        <v>294</v>
      </c>
      <c r="D112" t="s">
        <v>48</v>
      </c>
      <c r="E112" t="s">
        <v>49</v>
      </c>
      <c r="F112" t="s">
        <v>19</v>
      </c>
      <c r="G112" t="s">
        <v>28</v>
      </c>
      <c r="H112" s="3">
        <v>41</v>
      </c>
      <c r="I112" s="8">
        <v>38398</v>
      </c>
      <c r="J112" s="4">
        <v>95372</v>
      </c>
      <c r="K112" s="1">
        <v>0</v>
      </c>
      <c r="L112" t="s">
        <v>29</v>
      </c>
      <c r="M112" t="s">
        <v>74</v>
      </c>
      <c r="O112" s="5">
        <f t="shared" si="1"/>
        <v>0</v>
      </c>
      <c r="P112" s="6">
        <f>Table1[[#This Row],[Annual Salary]]+Table1[[#This Row],[Bonus Amount]]</f>
        <v>95372</v>
      </c>
      <c r="Q112" t="str">
        <f>IF(Table1[[#This Row],[Exit Date]]="", "Active","Exited")</f>
        <v>Active</v>
      </c>
      <c r="R112" s="2">
        <f ca="1">IFERROR(DATEDIF(Table1[[#This Row],[Hire Date]],IF(Table1[[#This Row],[Exit Date]]="",TODAY(),Table1[[#This Row],[Exit Date]]),"Y"),"")</f>
        <v>21</v>
      </c>
      <c r="S112" t="str" cm="1">
        <f t="array" ref="S112">_xlfn.IFS(Table1[[#This Row],[Age]]&lt;30,"Under 30",Table1[[#This Row],[Age]]&lt;=40,"30-40",Table1[[#This Row],[Age]]&lt;50,"41-50",TRUE,"50+")</f>
        <v>41-50</v>
      </c>
    </row>
    <row r="113" spans="1:19" x14ac:dyDescent="0.35">
      <c r="A113" t="s">
        <v>295</v>
      </c>
      <c r="B113" t="s">
        <v>296</v>
      </c>
      <c r="C113" t="s">
        <v>33</v>
      </c>
      <c r="D113" t="s">
        <v>17</v>
      </c>
      <c r="E113" t="s">
        <v>18</v>
      </c>
      <c r="F113" t="s">
        <v>19</v>
      </c>
      <c r="G113" t="s">
        <v>28</v>
      </c>
      <c r="H113" s="3">
        <v>29</v>
      </c>
      <c r="I113" s="8">
        <v>44052</v>
      </c>
      <c r="J113" s="4">
        <v>161203</v>
      </c>
      <c r="K113" s="1">
        <v>0.15</v>
      </c>
      <c r="L113" t="s">
        <v>29</v>
      </c>
      <c r="M113" t="s">
        <v>134</v>
      </c>
      <c r="O113" s="5">
        <f t="shared" si="1"/>
        <v>24180.45</v>
      </c>
      <c r="P113" s="6">
        <f>Table1[[#This Row],[Annual Salary]]+Table1[[#This Row],[Bonus Amount]]</f>
        <v>185383.45</v>
      </c>
      <c r="Q113" t="str">
        <f>IF(Table1[[#This Row],[Exit Date]]="", "Active","Exited")</f>
        <v>Active</v>
      </c>
      <c r="R113" s="2">
        <f ca="1">IFERROR(DATEDIF(Table1[[#This Row],[Hire Date]],IF(Table1[[#This Row],[Exit Date]]="",TODAY(),Table1[[#This Row],[Exit Date]]),"Y"),"")</f>
        <v>5</v>
      </c>
      <c r="S113" t="str" cm="1">
        <f t="array" ref="S113">_xlfn.IFS(Table1[[#This Row],[Age]]&lt;30,"Under 30",Table1[[#This Row],[Age]]&lt;=40,"30-40",Table1[[#This Row],[Age]]&lt;50,"41-50",TRUE,"50+")</f>
        <v>Under 30</v>
      </c>
    </row>
    <row r="114" spans="1:19" x14ac:dyDescent="0.35">
      <c r="A114" t="s">
        <v>297</v>
      </c>
      <c r="B114" t="s">
        <v>298</v>
      </c>
      <c r="C114" t="s">
        <v>299</v>
      </c>
      <c r="D114" t="s">
        <v>17</v>
      </c>
      <c r="E114" t="s">
        <v>26</v>
      </c>
      <c r="F114" t="s">
        <v>19</v>
      </c>
      <c r="G114" t="s">
        <v>36</v>
      </c>
      <c r="H114" s="3">
        <v>44</v>
      </c>
      <c r="I114" s="8">
        <v>39064</v>
      </c>
      <c r="J114" s="4">
        <v>74738</v>
      </c>
      <c r="K114" s="1">
        <v>0</v>
      </c>
      <c r="L114" t="s">
        <v>21</v>
      </c>
      <c r="M114" t="s">
        <v>56</v>
      </c>
      <c r="O114" s="5">
        <f t="shared" si="1"/>
        <v>0</v>
      </c>
      <c r="P114" s="6">
        <f>Table1[[#This Row],[Annual Salary]]+Table1[[#This Row],[Bonus Amount]]</f>
        <v>74738</v>
      </c>
      <c r="Q114" t="str">
        <f>IF(Table1[[#This Row],[Exit Date]]="", "Active","Exited")</f>
        <v>Active</v>
      </c>
      <c r="R114" s="2">
        <f ca="1">IFERROR(DATEDIF(Table1[[#This Row],[Hire Date]],IF(Table1[[#This Row],[Exit Date]]="",TODAY(),Table1[[#This Row],[Exit Date]]),"Y"),"")</f>
        <v>19</v>
      </c>
      <c r="S114" t="str" cm="1">
        <f t="array" ref="S114">_xlfn.IFS(Table1[[#This Row],[Age]]&lt;30,"Under 30",Table1[[#This Row],[Age]]&lt;=40,"30-40",Table1[[#This Row],[Age]]&lt;50,"41-50",TRUE,"50+")</f>
        <v>41-50</v>
      </c>
    </row>
    <row r="115" spans="1:19" x14ac:dyDescent="0.35">
      <c r="A115" t="s">
        <v>300</v>
      </c>
      <c r="B115" t="s">
        <v>301</v>
      </c>
      <c r="C115" t="s">
        <v>33</v>
      </c>
      <c r="D115" t="s">
        <v>48</v>
      </c>
      <c r="E115" t="s">
        <v>18</v>
      </c>
      <c r="F115" t="s">
        <v>19</v>
      </c>
      <c r="G115" t="s">
        <v>28</v>
      </c>
      <c r="H115" s="3">
        <v>41</v>
      </c>
      <c r="I115" s="8">
        <v>43322</v>
      </c>
      <c r="J115" s="4">
        <v>171173</v>
      </c>
      <c r="K115" s="1">
        <v>0.21</v>
      </c>
      <c r="L115" t="s">
        <v>21</v>
      </c>
      <c r="M115" t="s">
        <v>88</v>
      </c>
      <c r="O115" s="5">
        <f t="shared" si="1"/>
        <v>35946.33</v>
      </c>
      <c r="P115" s="6">
        <f>Table1[[#This Row],[Annual Salary]]+Table1[[#This Row],[Bonus Amount]]</f>
        <v>207119.33000000002</v>
      </c>
      <c r="Q115" t="str">
        <f>IF(Table1[[#This Row],[Exit Date]]="", "Active","Exited")</f>
        <v>Active</v>
      </c>
      <c r="R115" s="2">
        <f ca="1">IFERROR(DATEDIF(Table1[[#This Row],[Hire Date]],IF(Table1[[#This Row],[Exit Date]]="",TODAY(),Table1[[#This Row],[Exit Date]]),"Y"),"")</f>
        <v>7</v>
      </c>
      <c r="S115" t="str" cm="1">
        <f t="array" ref="S115">_xlfn.IFS(Table1[[#This Row],[Age]]&lt;30,"Under 30",Table1[[#This Row],[Age]]&lt;=40,"30-40",Table1[[#This Row],[Age]]&lt;50,"41-50",TRUE,"50+")</f>
        <v>41-50</v>
      </c>
    </row>
    <row r="116" spans="1:19" x14ac:dyDescent="0.35">
      <c r="A116" t="s">
        <v>302</v>
      </c>
      <c r="B116" t="s">
        <v>303</v>
      </c>
      <c r="C116" t="s">
        <v>79</v>
      </c>
      <c r="D116" t="s">
        <v>48</v>
      </c>
      <c r="E116" t="s">
        <v>49</v>
      </c>
      <c r="F116" t="s">
        <v>27</v>
      </c>
      <c r="G116" t="s">
        <v>85</v>
      </c>
      <c r="H116" s="3">
        <v>61</v>
      </c>
      <c r="I116" s="8">
        <v>43732</v>
      </c>
      <c r="J116" s="4">
        <v>201464</v>
      </c>
      <c r="K116" s="1">
        <v>0.37</v>
      </c>
      <c r="L116" t="s">
        <v>21</v>
      </c>
      <c r="M116" t="s">
        <v>37</v>
      </c>
      <c r="O116" s="5">
        <f t="shared" si="1"/>
        <v>74541.679999999993</v>
      </c>
      <c r="P116" s="6">
        <f>Table1[[#This Row],[Annual Salary]]+Table1[[#This Row],[Bonus Amount]]</f>
        <v>276005.68</v>
      </c>
      <c r="Q116" t="str">
        <f>IF(Table1[[#This Row],[Exit Date]]="", "Active","Exited")</f>
        <v>Active</v>
      </c>
      <c r="R116" s="2">
        <f ca="1">IFERROR(DATEDIF(Table1[[#This Row],[Hire Date]],IF(Table1[[#This Row],[Exit Date]]="",TODAY(),Table1[[#This Row],[Exit Date]]),"Y"),"")</f>
        <v>6</v>
      </c>
      <c r="S116" t="str" cm="1">
        <f t="array" ref="S116">_xlfn.IFS(Table1[[#This Row],[Age]]&lt;30,"Under 30",Table1[[#This Row],[Age]]&lt;=40,"30-40",Table1[[#This Row],[Age]]&lt;50,"41-50",TRUE,"50+")</f>
        <v>50+</v>
      </c>
    </row>
    <row r="117" spans="1:19" x14ac:dyDescent="0.35">
      <c r="A117" t="s">
        <v>304</v>
      </c>
      <c r="B117" t="s">
        <v>305</v>
      </c>
      <c r="C117" t="s">
        <v>33</v>
      </c>
      <c r="D117" t="s">
        <v>65</v>
      </c>
      <c r="E117" t="s">
        <v>49</v>
      </c>
      <c r="F117" t="s">
        <v>27</v>
      </c>
      <c r="G117" t="s">
        <v>36</v>
      </c>
      <c r="H117" s="3">
        <v>50</v>
      </c>
      <c r="I117" s="8">
        <v>35998</v>
      </c>
      <c r="J117" s="4">
        <v>174895</v>
      </c>
      <c r="K117" s="1">
        <v>0.15</v>
      </c>
      <c r="L117" t="s">
        <v>21</v>
      </c>
      <c r="M117" t="s">
        <v>37</v>
      </c>
      <c r="O117" s="5">
        <f t="shared" si="1"/>
        <v>26234.25</v>
      </c>
      <c r="P117" s="6">
        <f>Table1[[#This Row],[Annual Salary]]+Table1[[#This Row],[Bonus Amount]]</f>
        <v>201129.25</v>
      </c>
      <c r="Q117" t="str">
        <f>IF(Table1[[#This Row],[Exit Date]]="", "Active","Exited")</f>
        <v>Active</v>
      </c>
      <c r="R117" s="2">
        <f ca="1">IFERROR(DATEDIF(Table1[[#This Row],[Hire Date]],IF(Table1[[#This Row],[Exit Date]]="",TODAY(),Table1[[#This Row],[Exit Date]]),"Y"),"")</f>
        <v>27</v>
      </c>
      <c r="S117" t="str" cm="1">
        <f t="array" ref="S117">_xlfn.IFS(Table1[[#This Row],[Age]]&lt;30,"Under 30",Table1[[#This Row],[Age]]&lt;=40,"30-40",Table1[[#This Row],[Age]]&lt;50,"41-50",TRUE,"50+")</f>
        <v>50+</v>
      </c>
    </row>
    <row r="118" spans="1:19" x14ac:dyDescent="0.35">
      <c r="A118" t="s">
        <v>306</v>
      </c>
      <c r="B118" t="s">
        <v>307</v>
      </c>
      <c r="C118" t="s">
        <v>16</v>
      </c>
      <c r="D118" t="s">
        <v>17</v>
      </c>
      <c r="E118" t="s">
        <v>26</v>
      </c>
      <c r="F118" t="s">
        <v>19</v>
      </c>
      <c r="G118" t="s">
        <v>28</v>
      </c>
      <c r="H118" s="3">
        <v>49</v>
      </c>
      <c r="I118" s="8">
        <v>38825</v>
      </c>
      <c r="J118" s="4">
        <v>134486</v>
      </c>
      <c r="K118" s="1">
        <v>0.14000000000000001</v>
      </c>
      <c r="L118" t="s">
        <v>21</v>
      </c>
      <c r="M118" t="s">
        <v>60</v>
      </c>
      <c r="O118" s="5">
        <f t="shared" si="1"/>
        <v>18828.04</v>
      </c>
      <c r="P118" s="6">
        <f>Table1[[#This Row],[Annual Salary]]+Table1[[#This Row],[Bonus Amount]]</f>
        <v>153314.04</v>
      </c>
      <c r="Q118" t="str">
        <f>IF(Table1[[#This Row],[Exit Date]]="", "Active","Exited")</f>
        <v>Active</v>
      </c>
      <c r="R118" s="2">
        <f ca="1">IFERROR(DATEDIF(Table1[[#This Row],[Hire Date]],IF(Table1[[#This Row],[Exit Date]]="",TODAY(),Table1[[#This Row],[Exit Date]]),"Y"),"")</f>
        <v>19</v>
      </c>
      <c r="S118" t="str" cm="1">
        <f t="array" ref="S118">_xlfn.IFS(Table1[[#This Row],[Age]]&lt;30,"Under 30",Table1[[#This Row],[Age]]&lt;=40,"30-40",Table1[[#This Row],[Age]]&lt;50,"41-50",TRUE,"50+")</f>
        <v>41-50</v>
      </c>
    </row>
    <row r="119" spans="1:19" x14ac:dyDescent="0.35">
      <c r="A119" t="s">
        <v>308</v>
      </c>
      <c r="B119" t="s">
        <v>309</v>
      </c>
      <c r="C119" t="s">
        <v>43</v>
      </c>
      <c r="D119" t="s">
        <v>34</v>
      </c>
      <c r="E119" t="s">
        <v>26</v>
      </c>
      <c r="F119" t="s">
        <v>19</v>
      </c>
      <c r="G119" t="s">
        <v>85</v>
      </c>
      <c r="H119" s="3">
        <v>60</v>
      </c>
      <c r="I119" s="8">
        <v>39137</v>
      </c>
      <c r="J119" s="4">
        <v>71699</v>
      </c>
      <c r="K119" s="1">
        <v>0</v>
      </c>
      <c r="L119" t="s">
        <v>93</v>
      </c>
      <c r="M119" t="s">
        <v>94</v>
      </c>
      <c r="O119" s="5">
        <f t="shared" si="1"/>
        <v>0</v>
      </c>
      <c r="P119" s="6">
        <f>Table1[[#This Row],[Annual Salary]]+Table1[[#This Row],[Bonus Amount]]</f>
        <v>71699</v>
      </c>
      <c r="Q119" t="str">
        <f>IF(Table1[[#This Row],[Exit Date]]="", "Active","Exited")</f>
        <v>Active</v>
      </c>
      <c r="R119" s="2">
        <f ca="1">IFERROR(DATEDIF(Table1[[#This Row],[Hire Date]],IF(Table1[[#This Row],[Exit Date]]="",TODAY(),Table1[[#This Row],[Exit Date]]),"Y"),"")</f>
        <v>19</v>
      </c>
      <c r="S119" t="str" cm="1">
        <f t="array" ref="S119">_xlfn.IFS(Table1[[#This Row],[Age]]&lt;30,"Under 30",Table1[[#This Row],[Age]]&lt;=40,"30-40",Table1[[#This Row],[Age]]&lt;50,"41-50",TRUE,"50+")</f>
        <v>50+</v>
      </c>
    </row>
    <row r="120" spans="1:19" x14ac:dyDescent="0.35">
      <c r="A120" t="s">
        <v>310</v>
      </c>
      <c r="B120" t="s">
        <v>311</v>
      </c>
      <c r="C120" t="s">
        <v>43</v>
      </c>
      <c r="D120" t="s">
        <v>80</v>
      </c>
      <c r="E120" t="s">
        <v>49</v>
      </c>
      <c r="F120" t="s">
        <v>19</v>
      </c>
      <c r="G120" t="s">
        <v>85</v>
      </c>
      <c r="H120" s="3">
        <v>42</v>
      </c>
      <c r="I120" s="8">
        <v>44198</v>
      </c>
      <c r="J120" s="4">
        <v>94430</v>
      </c>
      <c r="K120" s="1">
        <v>0</v>
      </c>
      <c r="L120" t="s">
        <v>21</v>
      </c>
      <c r="M120" t="s">
        <v>22</v>
      </c>
      <c r="O120" s="5">
        <f t="shared" si="1"/>
        <v>0</v>
      </c>
      <c r="P120" s="6">
        <f>Table1[[#This Row],[Annual Salary]]+Table1[[#This Row],[Bonus Amount]]</f>
        <v>94430</v>
      </c>
      <c r="Q120" t="str">
        <f>IF(Table1[[#This Row],[Exit Date]]="", "Active","Exited")</f>
        <v>Active</v>
      </c>
      <c r="R120" s="2">
        <f ca="1">IFERROR(DATEDIF(Table1[[#This Row],[Hire Date]],IF(Table1[[#This Row],[Exit Date]]="",TODAY(),Table1[[#This Row],[Exit Date]]),"Y"),"")</f>
        <v>5</v>
      </c>
      <c r="S120" t="str" cm="1">
        <f t="array" ref="S120">_xlfn.IFS(Table1[[#This Row],[Age]]&lt;30,"Under 30",Table1[[#This Row],[Age]]&lt;=40,"30-40",Table1[[#This Row],[Age]]&lt;50,"41-50",TRUE,"50+")</f>
        <v>41-50</v>
      </c>
    </row>
    <row r="121" spans="1:19" x14ac:dyDescent="0.35">
      <c r="A121" t="s">
        <v>312</v>
      </c>
      <c r="B121" t="s">
        <v>313</v>
      </c>
      <c r="C121" t="s">
        <v>52</v>
      </c>
      <c r="D121" t="s">
        <v>34</v>
      </c>
      <c r="E121" t="s">
        <v>49</v>
      </c>
      <c r="F121" t="s">
        <v>27</v>
      </c>
      <c r="G121" t="s">
        <v>28</v>
      </c>
      <c r="H121" s="3">
        <v>39</v>
      </c>
      <c r="I121" s="8">
        <v>40192</v>
      </c>
      <c r="J121" s="4">
        <v>103504</v>
      </c>
      <c r="K121" s="1">
        <v>7.0000000000000007E-2</v>
      </c>
      <c r="L121" t="s">
        <v>29</v>
      </c>
      <c r="M121" t="s">
        <v>134</v>
      </c>
      <c r="O121" s="5">
        <f t="shared" si="1"/>
        <v>7245.2800000000007</v>
      </c>
      <c r="P121" s="6">
        <f>Table1[[#This Row],[Annual Salary]]+Table1[[#This Row],[Bonus Amount]]</f>
        <v>110749.28</v>
      </c>
      <c r="Q121" t="str">
        <f>IF(Table1[[#This Row],[Exit Date]]="", "Active","Exited")</f>
        <v>Active</v>
      </c>
      <c r="R121" s="2">
        <f ca="1">IFERROR(DATEDIF(Table1[[#This Row],[Hire Date]],IF(Table1[[#This Row],[Exit Date]]="",TODAY(),Table1[[#This Row],[Exit Date]]),"Y"),"")</f>
        <v>16</v>
      </c>
      <c r="S121" t="str" cm="1">
        <f t="array" ref="S121">_xlfn.IFS(Table1[[#This Row],[Age]]&lt;30,"Under 30",Table1[[#This Row],[Age]]&lt;=40,"30-40",Table1[[#This Row],[Age]]&lt;50,"41-50",TRUE,"50+")</f>
        <v>30-40</v>
      </c>
    </row>
    <row r="122" spans="1:19" x14ac:dyDescent="0.35">
      <c r="A122" t="s">
        <v>314</v>
      </c>
      <c r="B122" t="s">
        <v>315</v>
      </c>
      <c r="C122" t="s">
        <v>131</v>
      </c>
      <c r="D122" t="s">
        <v>17</v>
      </c>
      <c r="E122" t="s">
        <v>26</v>
      </c>
      <c r="F122" t="s">
        <v>19</v>
      </c>
      <c r="G122" t="s">
        <v>28</v>
      </c>
      <c r="H122" s="3">
        <v>55</v>
      </c>
      <c r="I122" s="8">
        <v>38573</v>
      </c>
      <c r="J122" s="4">
        <v>92771</v>
      </c>
      <c r="K122" s="1">
        <v>0</v>
      </c>
      <c r="L122" t="s">
        <v>21</v>
      </c>
      <c r="M122" t="s">
        <v>56</v>
      </c>
      <c r="O122" s="5">
        <f t="shared" si="1"/>
        <v>0</v>
      </c>
      <c r="P122" s="6">
        <f>Table1[[#This Row],[Annual Salary]]+Table1[[#This Row],[Bonus Amount]]</f>
        <v>92771</v>
      </c>
      <c r="Q122" t="str">
        <f>IF(Table1[[#This Row],[Exit Date]]="", "Active","Exited")</f>
        <v>Active</v>
      </c>
      <c r="R122" s="2">
        <f ca="1">IFERROR(DATEDIF(Table1[[#This Row],[Hire Date]],IF(Table1[[#This Row],[Exit Date]]="",TODAY(),Table1[[#This Row],[Exit Date]]),"Y"),"")</f>
        <v>20</v>
      </c>
      <c r="S122" t="str" cm="1">
        <f t="array" ref="S122">_xlfn.IFS(Table1[[#This Row],[Age]]&lt;30,"Under 30",Table1[[#This Row],[Age]]&lt;=40,"30-40",Table1[[#This Row],[Age]]&lt;50,"41-50",TRUE,"50+")</f>
        <v>50+</v>
      </c>
    </row>
    <row r="123" spans="1:19" x14ac:dyDescent="0.35">
      <c r="A123" t="s">
        <v>316</v>
      </c>
      <c r="B123" t="s">
        <v>317</v>
      </c>
      <c r="C123" t="s">
        <v>124</v>
      </c>
      <c r="D123" t="s">
        <v>34</v>
      </c>
      <c r="E123" t="s">
        <v>35</v>
      </c>
      <c r="F123" t="s">
        <v>19</v>
      </c>
      <c r="G123" t="s">
        <v>85</v>
      </c>
      <c r="H123" s="3">
        <v>39</v>
      </c>
      <c r="I123" s="8">
        <v>38813</v>
      </c>
      <c r="J123" s="4">
        <v>71531</v>
      </c>
      <c r="K123" s="1">
        <v>0</v>
      </c>
      <c r="L123" t="s">
        <v>21</v>
      </c>
      <c r="M123" t="s">
        <v>88</v>
      </c>
      <c r="O123" s="5">
        <f t="shared" si="1"/>
        <v>0</v>
      </c>
      <c r="P123" s="6">
        <f>Table1[[#This Row],[Annual Salary]]+Table1[[#This Row],[Bonus Amount]]</f>
        <v>71531</v>
      </c>
      <c r="Q123" t="str">
        <f>IF(Table1[[#This Row],[Exit Date]]="", "Active","Exited")</f>
        <v>Active</v>
      </c>
      <c r="R123" s="2">
        <f ca="1">IFERROR(DATEDIF(Table1[[#This Row],[Hire Date]],IF(Table1[[#This Row],[Exit Date]]="",TODAY(),Table1[[#This Row],[Exit Date]]),"Y"),"")</f>
        <v>19</v>
      </c>
      <c r="S123" t="str" cm="1">
        <f t="array" ref="S123">_xlfn.IFS(Table1[[#This Row],[Age]]&lt;30,"Under 30",Table1[[#This Row],[Age]]&lt;=40,"30-40",Table1[[#This Row],[Age]]&lt;50,"41-50",TRUE,"50+")</f>
        <v>30-40</v>
      </c>
    </row>
    <row r="124" spans="1:19" x14ac:dyDescent="0.35">
      <c r="A124" t="s">
        <v>318</v>
      </c>
      <c r="B124" t="s">
        <v>319</v>
      </c>
      <c r="C124" t="s">
        <v>207</v>
      </c>
      <c r="D124" t="s">
        <v>17</v>
      </c>
      <c r="E124" t="s">
        <v>35</v>
      </c>
      <c r="F124" t="s">
        <v>27</v>
      </c>
      <c r="G124" t="s">
        <v>20</v>
      </c>
      <c r="H124" s="3">
        <v>28</v>
      </c>
      <c r="I124" s="8">
        <v>43530</v>
      </c>
      <c r="J124" s="4">
        <v>90304</v>
      </c>
      <c r="K124" s="1">
        <v>0</v>
      </c>
      <c r="L124" t="s">
        <v>21</v>
      </c>
      <c r="M124" t="s">
        <v>37</v>
      </c>
      <c r="O124" s="5">
        <f t="shared" si="1"/>
        <v>0</v>
      </c>
      <c r="P124" s="6">
        <f>Table1[[#This Row],[Annual Salary]]+Table1[[#This Row],[Bonus Amount]]</f>
        <v>90304</v>
      </c>
      <c r="Q124" t="str">
        <f>IF(Table1[[#This Row],[Exit Date]]="", "Active","Exited")</f>
        <v>Active</v>
      </c>
      <c r="R124" s="2">
        <f ca="1">IFERROR(DATEDIF(Table1[[#This Row],[Hire Date]],IF(Table1[[#This Row],[Exit Date]]="",TODAY(),Table1[[#This Row],[Exit Date]]),"Y"),"")</f>
        <v>7</v>
      </c>
      <c r="S124" t="str" cm="1">
        <f t="array" ref="S124">_xlfn.IFS(Table1[[#This Row],[Age]]&lt;30,"Under 30",Table1[[#This Row],[Age]]&lt;=40,"30-40",Table1[[#This Row],[Age]]&lt;50,"41-50",TRUE,"50+")</f>
        <v>Under 30</v>
      </c>
    </row>
    <row r="125" spans="1:19" x14ac:dyDescent="0.35">
      <c r="A125" t="s">
        <v>320</v>
      </c>
      <c r="B125" t="s">
        <v>321</v>
      </c>
      <c r="C125" t="s">
        <v>52</v>
      </c>
      <c r="D125" t="s">
        <v>80</v>
      </c>
      <c r="E125" t="s">
        <v>26</v>
      </c>
      <c r="F125" t="s">
        <v>19</v>
      </c>
      <c r="G125" t="s">
        <v>36</v>
      </c>
      <c r="H125" s="3">
        <v>65</v>
      </c>
      <c r="I125" s="8">
        <v>40793</v>
      </c>
      <c r="J125" s="4">
        <v>104903</v>
      </c>
      <c r="K125" s="1">
        <v>0.1</v>
      </c>
      <c r="L125" t="s">
        <v>21</v>
      </c>
      <c r="M125" t="s">
        <v>88</v>
      </c>
      <c r="O125" s="5">
        <f t="shared" si="1"/>
        <v>10490.300000000001</v>
      </c>
      <c r="P125" s="6">
        <f>Table1[[#This Row],[Annual Salary]]+Table1[[#This Row],[Bonus Amount]]</f>
        <v>115393.3</v>
      </c>
      <c r="Q125" t="str">
        <f>IF(Table1[[#This Row],[Exit Date]]="", "Active","Exited")</f>
        <v>Active</v>
      </c>
      <c r="R125" s="2">
        <f ca="1">IFERROR(DATEDIF(Table1[[#This Row],[Hire Date]],IF(Table1[[#This Row],[Exit Date]]="",TODAY(),Table1[[#This Row],[Exit Date]]),"Y"),"")</f>
        <v>14</v>
      </c>
      <c r="S125" t="str" cm="1">
        <f t="array" ref="S125">_xlfn.IFS(Table1[[#This Row],[Age]]&lt;30,"Under 30",Table1[[#This Row],[Age]]&lt;=40,"30-40",Table1[[#This Row],[Age]]&lt;50,"41-50",TRUE,"50+")</f>
        <v>50+</v>
      </c>
    </row>
    <row r="126" spans="1:19" x14ac:dyDescent="0.35">
      <c r="A126" t="s">
        <v>322</v>
      </c>
      <c r="B126" t="s">
        <v>323</v>
      </c>
      <c r="C126" t="s">
        <v>55</v>
      </c>
      <c r="D126" t="s">
        <v>34</v>
      </c>
      <c r="E126" t="s">
        <v>49</v>
      </c>
      <c r="F126" t="s">
        <v>19</v>
      </c>
      <c r="G126" t="s">
        <v>28</v>
      </c>
      <c r="H126" s="3">
        <v>52</v>
      </c>
      <c r="I126" s="8">
        <v>43515</v>
      </c>
      <c r="J126" s="4">
        <v>55859</v>
      </c>
      <c r="K126" s="1">
        <v>0</v>
      </c>
      <c r="L126" t="s">
        <v>29</v>
      </c>
      <c r="M126" t="s">
        <v>114</v>
      </c>
      <c r="O126" s="5">
        <f t="shared" si="1"/>
        <v>0</v>
      </c>
      <c r="P126" s="6">
        <f>Table1[[#This Row],[Annual Salary]]+Table1[[#This Row],[Bonus Amount]]</f>
        <v>55859</v>
      </c>
      <c r="Q126" t="str">
        <f>IF(Table1[[#This Row],[Exit Date]]="", "Active","Exited")</f>
        <v>Active</v>
      </c>
      <c r="R126" s="2">
        <f ca="1">IFERROR(DATEDIF(Table1[[#This Row],[Hire Date]],IF(Table1[[#This Row],[Exit Date]]="",TODAY(),Table1[[#This Row],[Exit Date]]),"Y"),"")</f>
        <v>7</v>
      </c>
      <c r="S126" t="str" cm="1">
        <f t="array" ref="S126">_xlfn.IFS(Table1[[#This Row],[Age]]&lt;30,"Under 30",Table1[[#This Row],[Age]]&lt;=40,"30-40",Table1[[#This Row],[Age]]&lt;50,"41-50",TRUE,"50+")</f>
        <v>50+</v>
      </c>
    </row>
    <row r="127" spans="1:19" x14ac:dyDescent="0.35">
      <c r="A127" t="s">
        <v>324</v>
      </c>
      <c r="B127" t="s">
        <v>325</v>
      </c>
      <c r="C127" t="s">
        <v>181</v>
      </c>
      <c r="D127" t="s">
        <v>69</v>
      </c>
      <c r="E127" t="s">
        <v>49</v>
      </c>
      <c r="F127" t="s">
        <v>19</v>
      </c>
      <c r="G127" t="s">
        <v>85</v>
      </c>
      <c r="H127" s="3">
        <v>62</v>
      </c>
      <c r="I127" s="8">
        <v>39002</v>
      </c>
      <c r="J127" s="4">
        <v>79785</v>
      </c>
      <c r="K127" s="1">
        <v>0</v>
      </c>
      <c r="L127" t="s">
        <v>21</v>
      </c>
      <c r="M127" t="s">
        <v>60</v>
      </c>
      <c r="O127" s="5">
        <f t="shared" si="1"/>
        <v>0</v>
      </c>
      <c r="P127" s="6">
        <f>Table1[[#This Row],[Annual Salary]]+Table1[[#This Row],[Bonus Amount]]</f>
        <v>79785</v>
      </c>
      <c r="Q127" t="str">
        <f>IF(Table1[[#This Row],[Exit Date]]="", "Active","Exited")</f>
        <v>Active</v>
      </c>
      <c r="R127" s="2">
        <f ca="1">IFERROR(DATEDIF(Table1[[#This Row],[Hire Date]],IF(Table1[[#This Row],[Exit Date]]="",TODAY(),Table1[[#This Row],[Exit Date]]),"Y"),"")</f>
        <v>19</v>
      </c>
      <c r="S127" t="str" cm="1">
        <f t="array" ref="S127">_xlfn.IFS(Table1[[#This Row],[Age]]&lt;30,"Under 30",Table1[[#This Row],[Age]]&lt;=40,"30-40",Table1[[#This Row],[Age]]&lt;50,"41-50",TRUE,"50+")</f>
        <v>50+</v>
      </c>
    </row>
    <row r="128" spans="1:19" x14ac:dyDescent="0.35">
      <c r="A128" t="s">
        <v>326</v>
      </c>
      <c r="B128" t="s">
        <v>327</v>
      </c>
      <c r="C128" t="s">
        <v>43</v>
      </c>
      <c r="D128" t="s">
        <v>80</v>
      </c>
      <c r="E128" t="s">
        <v>49</v>
      </c>
      <c r="F128" t="s">
        <v>19</v>
      </c>
      <c r="G128" t="s">
        <v>28</v>
      </c>
      <c r="H128" s="3">
        <v>39</v>
      </c>
      <c r="I128" s="8">
        <v>39391</v>
      </c>
      <c r="J128" s="4">
        <v>99017</v>
      </c>
      <c r="K128" s="1">
        <v>0</v>
      </c>
      <c r="L128" t="s">
        <v>29</v>
      </c>
      <c r="M128" t="s">
        <v>114</v>
      </c>
      <c r="O128" s="5">
        <f t="shared" si="1"/>
        <v>0</v>
      </c>
      <c r="P128" s="6">
        <f>Table1[[#This Row],[Annual Salary]]+Table1[[#This Row],[Bonus Amount]]</f>
        <v>99017</v>
      </c>
      <c r="Q128" t="str">
        <f>IF(Table1[[#This Row],[Exit Date]]="", "Active","Exited")</f>
        <v>Active</v>
      </c>
      <c r="R128" s="2">
        <f ca="1">IFERROR(DATEDIF(Table1[[#This Row],[Hire Date]],IF(Table1[[#This Row],[Exit Date]]="",TODAY(),Table1[[#This Row],[Exit Date]]),"Y"),"")</f>
        <v>18</v>
      </c>
      <c r="S128" t="str" cm="1">
        <f t="array" ref="S128">_xlfn.IFS(Table1[[#This Row],[Age]]&lt;30,"Under 30",Table1[[#This Row],[Age]]&lt;=40,"30-40",Table1[[#This Row],[Age]]&lt;50,"41-50",TRUE,"50+")</f>
        <v>30-40</v>
      </c>
    </row>
    <row r="129" spans="1:19" x14ac:dyDescent="0.35">
      <c r="A129" t="s">
        <v>328</v>
      </c>
      <c r="B129" t="s">
        <v>329</v>
      </c>
      <c r="C129" t="s">
        <v>330</v>
      </c>
      <c r="D129" t="s">
        <v>17</v>
      </c>
      <c r="E129" t="s">
        <v>26</v>
      </c>
      <c r="F129" t="s">
        <v>19</v>
      </c>
      <c r="G129" t="s">
        <v>36</v>
      </c>
      <c r="H129" s="3">
        <v>63</v>
      </c>
      <c r="I129" s="8">
        <v>33695</v>
      </c>
      <c r="J129" s="4">
        <v>53809</v>
      </c>
      <c r="K129" s="1">
        <v>0</v>
      </c>
      <c r="L129" t="s">
        <v>21</v>
      </c>
      <c r="M129" t="s">
        <v>44</v>
      </c>
      <c r="O129" s="5">
        <f t="shared" si="1"/>
        <v>0</v>
      </c>
      <c r="P129" s="6">
        <f>Table1[[#This Row],[Annual Salary]]+Table1[[#This Row],[Bonus Amount]]</f>
        <v>53809</v>
      </c>
      <c r="Q129" t="str">
        <f>IF(Table1[[#This Row],[Exit Date]]="", "Active","Exited")</f>
        <v>Active</v>
      </c>
      <c r="R129" s="2">
        <f ca="1">IFERROR(DATEDIF(Table1[[#This Row],[Hire Date]],IF(Table1[[#This Row],[Exit Date]]="",TODAY(),Table1[[#This Row],[Exit Date]]),"Y"),"")</f>
        <v>33</v>
      </c>
      <c r="S129" t="str" cm="1">
        <f t="array" ref="S129">_xlfn.IFS(Table1[[#This Row],[Age]]&lt;30,"Under 30",Table1[[#This Row],[Age]]&lt;=40,"30-40",Table1[[#This Row],[Age]]&lt;50,"41-50",TRUE,"50+")</f>
        <v>50+</v>
      </c>
    </row>
    <row r="130" spans="1:19" x14ac:dyDescent="0.35">
      <c r="A130" t="s">
        <v>331</v>
      </c>
      <c r="B130" t="s">
        <v>332</v>
      </c>
      <c r="C130" t="s">
        <v>175</v>
      </c>
      <c r="D130" t="s">
        <v>69</v>
      </c>
      <c r="E130" t="s">
        <v>35</v>
      </c>
      <c r="F130" t="s">
        <v>27</v>
      </c>
      <c r="G130" t="s">
        <v>28</v>
      </c>
      <c r="H130" s="3">
        <v>27</v>
      </c>
      <c r="I130" s="8">
        <v>43937</v>
      </c>
      <c r="J130" s="4">
        <v>71864</v>
      </c>
      <c r="K130" s="1">
        <v>0</v>
      </c>
      <c r="L130" t="s">
        <v>29</v>
      </c>
      <c r="M130" t="s">
        <v>134</v>
      </c>
      <c r="O130" s="5">
        <f t="shared" si="1"/>
        <v>0</v>
      </c>
      <c r="P130" s="6">
        <f>Table1[[#This Row],[Annual Salary]]+Table1[[#This Row],[Bonus Amount]]</f>
        <v>71864</v>
      </c>
      <c r="Q130" t="str">
        <f>IF(Table1[[#This Row],[Exit Date]]="", "Active","Exited")</f>
        <v>Active</v>
      </c>
      <c r="R130" s="2">
        <f ca="1">IFERROR(DATEDIF(Table1[[#This Row],[Hire Date]],IF(Table1[[#This Row],[Exit Date]]="",TODAY(),Table1[[#This Row],[Exit Date]]),"Y"),"")</f>
        <v>5</v>
      </c>
      <c r="S130" t="str" cm="1">
        <f t="array" ref="S130">_xlfn.IFS(Table1[[#This Row],[Age]]&lt;30,"Under 30",Table1[[#This Row],[Age]]&lt;=40,"30-40",Table1[[#This Row],[Age]]&lt;50,"41-50",TRUE,"50+")</f>
        <v>Under 30</v>
      </c>
    </row>
    <row r="131" spans="1:19" x14ac:dyDescent="0.35">
      <c r="A131" t="s">
        <v>333</v>
      </c>
      <c r="B131" t="s">
        <v>334</v>
      </c>
      <c r="C131" t="s">
        <v>79</v>
      </c>
      <c r="D131" t="s">
        <v>34</v>
      </c>
      <c r="E131" t="s">
        <v>49</v>
      </c>
      <c r="F131" t="s">
        <v>19</v>
      </c>
      <c r="G131" t="s">
        <v>28</v>
      </c>
      <c r="H131" s="3">
        <v>37</v>
      </c>
      <c r="I131" s="8">
        <v>40883</v>
      </c>
      <c r="J131" s="4">
        <v>225558</v>
      </c>
      <c r="K131" s="1">
        <v>0.33</v>
      </c>
      <c r="L131" t="s">
        <v>29</v>
      </c>
      <c r="M131" t="s">
        <v>74</v>
      </c>
      <c r="O131" s="5">
        <f t="shared" ref="O131:O194" si="2">J131*K131</f>
        <v>74434.14</v>
      </c>
      <c r="P131" s="6">
        <f>Table1[[#This Row],[Annual Salary]]+Table1[[#This Row],[Bonus Amount]]</f>
        <v>299992.14</v>
      </c>
      <c r="Q131" t="str">
        <f>IF(Table1[[#This Row],[Exit Date]]="", "Active","Exited")</f>
        <v>Active</v>
      </c>
      <c r="R131" s="2">
        <f ca="1">IFERROR(DATEDIF(Table1[[#This Row],[Hire Date]],IF(Table1[[#This Row],[Exit Date]]="",TODAY(),Table1[[#This Row],[Exit Date]]),"Y"),"")</f>
        <v>14</v>
      </c>
      <c r="S131" t="str" cm="1">
        <f t="array" ref="S131">_xlfn.IFS(Table1[[#This Row],[Age]]&lt;30,"Under 30",Table1[[#This Row],[Age]]&lt;=40,"30-40",Table1[[#This Row],[Age]]&lt;50,"41-50",TRUE,"50+")</f>
        <v>30-40</v>
      </c>
    </row>
    <row r="132" spans="1:19" x14ac:dyDescent="0.35">
      <c r="A132" t="s">
        <v>335</v>
      </c>
      <c r="B132" t="s">
        <v>336</v>
      </c>
      <c r="C132" t="s">
        <v>16</v>
      </c>
      <c r="D132" t="s">
        <v>17</v>
      </c>
      <c r="E132" t="s">
        <v>26</v>
      </c>
      <c r="F132" t="s">
        <v>27</v>
      </c>
      <c r="G132" t="s">
        <v>36</v>
      </c>
      <c r="H132" s="3">
        <v>37</v>
      </c>
      <c r="I132" s="8">
        <v>41695</v>
      </c>
      <c r="J132" s="4">
        <v>128984</v>
      </c>
      <c r="K132" s="1">
        <v>0.12</v>
      </c>
      <c r="L132" t="s">
        <v>21</v>
      </c>
      <c r="M132" t="s">
        <v>56</v>
      </c>
      <c r="N132" s="7">
        <v>44317</v>
      </c>
      <c r="O132" s="5">
        <f t="shared" si="2"/>
        <v>15478.08</v>
      </c>
      <c r="P132" s="6">
        <f>Table1[[#This Row],[Annual Salary]]+Table1[[#This Row],[Bonus Amount]]</f>
        <v>144462.07999999999</v>
      </c>
      <c r="Q132" t="str">
        <f>IF(Table1[[#This Row],[Exit Date]]="", "Active","Exited")</f>
        <v>Exited</v>
      </c>
      <c r="R132" s="2">
        <f ca="1">IFERROR(DATEDIF(Table1[[#This Row],[Hire Date]],IF(Table1[[#This Row],[Exit Date]]="",TODAY(),Table1[[#This Row],[Exit Date]]),"Y"),"")</f>
        <v>7</v>
      </c>
      <c r="S132" t="str" cm="1">
        <f t="array" ref="S132">_xlfn.IFS(Table1[[#This Row],[Age]]&lt;30,"Under 30",Table1[[#This Row],[Age]]&lt;=40,"30-40",Table1[[#This Row],[Age]]&lt;50,"41-50",TRUE,"50+")</f>
        <v>30-40</v>
      </c>
    </row>
    <row r="133" spans="1:19" x14ac:dyDescent="0.35">
      <c r="A133" t="s">
        <v>337</v>
      </c>
      <c r="B133" t="s">
        <v>338</v>
      </c>
      <c r="C133" t="s">
        <v>175</v>
      </c>
      <c r="D133" t="s">
        <v>69</v>
      </c>
      <c r="E133" t="s">
        <v>35</v>
      </c>
      <c r="F133" t="s">
        <v>27</v>
      </c>
      <c r="G133" t="s">
        <v>85</v>
      </c>
      <c r="H133" s="3">
        <v>46</v>
      </c>
      <c r="I133" s="8">
        <v>36331</v>
      </c>
      <c r="J133" s="4">
        <v>96997</v>
      </c>
      <c r="K133" s="1">
        <v>0</v>
      </c>
      <c r="L133" t="s">
        <v>93</v>
      </c>
      <c r="M133" t="s">
        <v>218</v>
      </c>
      <c r="O133" s="5">
        <f t="shared" si="2"/>
        <v>0</v>
      </c>
      <c r="P133" s="6">
        <f>Table1[[#This Row],[Annual Salary]]+Table1[[#This Row],[Bonus Amount]]</f>
        <v>96997</v>
      </c>
      <c r="Q133" t="str">
        <f>IF(Table1[[#This Row],[Exit Date]]="", "Active","Exited")</f>
        <v>Active</v>
      </c>
      <c r="R133" s="2">
        <f ca="1">IFERROR(DATEDIF(Table1[[#This Row],[Hire Date]],IF(Table1[[#This Row],[Exit Date]]="",TODAY(),Table1[[#This Row],[Exit Date]]),"Y"),"")</f>
        <v>26</v>
      </c>
      <c r="S133" t="str" cm="1">
        <f t="array" ref="S133">_xlfn.IFS(Table1[[#This Row],[Age]]&lt;30,"Under 30",Table1[[#This Row],[Age]]&lt;=40,"30-40",Table1[[#This Row],[Age]]&lt;50,"41-50",TRUE,"50+")</f>
        <v>41-50</v>
      </c>
    </row>
    <row r="134" spans="1:19" x14ac:dyDescent="0.35">
      <c r="A134" t="s">
        <v>339</v>
      </c>
      <c r="B134" t="s">
        <v>340</v>
      </c>
      <c r="C134" t="s">
        <v>33</v>
      </c>
      <c r="D134" t="s">
        <v>65</v>
      </c>
      <c r="E134" t="s">
        <v>26</v>
      </c>
      <c r="F134" t="s">
        <v>19</v>
      </c>
      <c r="G134" t="s">
        <v>85</v>
      </c>
      <c r="H134" s="3">
        <v>54</v>
      </c>
      <c r="I134" s="8">
        <v>43122</v>
      </c>
      <c r="J134" s="4">
        <v>176294</v>
      </c>
      <c r="K134" s="1">
        <v>0.28000000000000003</v>
      </c>
      <c r="L134" t="s">
        <v>21</v>
      </c>
      <c r="M134" t="s">
        <v>60</v>
      </c>
      <c r="O134" s="5">
        <f t="shared" si="2"/>
        <v>49362.320000000007</v>
      </c>
      <c r="P134" s="6">
        <f>Table1[[#This Row],[Annual Salary]]+Table1[[#This Row],[Bonus Amount]]</f>
        <v>225656.32000000001</v>
      </c>
      <c r="Q134" t="str">
        <f>IF(Table1[[#This Row],[Exit Date]]="", "Active","Exited")</f>
        <v>Active</v>
      </c>
      <c r="R134" s="2">
        <f ca="1">IFERROR(DATEDIF(Table1[[#This Row],[Hire Date]],IF(Table1[[#This Row],[Exit Date]]="",TODAY(),Table1[[#This Row],[Exit Date]]),"Y"),"")</f>
        <v>8</v>
      </c>
      <c r="S134" t="str" cm="1">
        <f t="array" ref="S134">_xlfn.IFS(Table1[[#This Row],[Age]]&lt;30,"Under 30",Table1[[#This Row],[Age]]&lt;=40,"30-40",Table1[[#This Row],[Age]]&lt;50,"41-50",TRUE,"50+")</f>
        <v>50+</v>
      </c>
    </row>
    <row r="135" spans="1:19" x14ac:dyDescent="0.35">
      <c r="A135" t="s">
        <v>341</v>
      </c>
      <c r="B135" t="s">
        <v>342</v>
      </c>
      <c r="C135" t="s">
        <v>55</v>
      </c>
      <c r="D135" t="s">
        <v>48</v>
      </c>
      <c r="E135" t="s">
        <v>18</v>
      </c>
      <c r="F135" t="s">
        <v>19</v>
      </c>
      <c r="G135" t="s">
        <v>28</v>
      </c>
      <c r="H135" s="3">
        <v>30</v>
      </c>
      <c r="I135" s="8">
        <v>44241</v>
      </c>
      <c r="J135" s="4">
        <v>48340</v>
      </c>
      <c r="K135" s="1">
        <v>0</v>
      </c>
      <c r="L135" t="s">
        <v>29</v>
      </c>
      <c r="M135" t="s">
        <v>114</v>
      </c>
      <c r="O135" s="5">
        <f t="shared" si="2"/>
        <v>0</v>
      </c>
      <c r="P135" s="6">
        <f>Table1[[#This Row],[Annual Salary]]+Table1[[#This Row],[Bonus Amount]]</f>
        <v>48340</v>
      </c>
      <c r="Q135" t="str">
        <f>IF(Table1[[#This Row],[Exit Date]]="", "Active","Exited")</f>
        <v>Active</v>
      </c>
      <c r="R135" s="2">
        <f ca="1">IFERROR(DATEDIF(Table1[[#This Row],[Hire Date]],IF(Table1[[#This Row],[Exit Date]]="",TODAY(),Table1[[#This Row],[Exit Date]]),"Y"),"")</f>
        <v>5</v>
      </c>
      <c r="S135" t="str" cm="1">
        <f t="array" ref="S135">_xlfn.IFS(Table1[[#This Row],[Age]]&lt;30,"Under 30",Table1[[#This Row],[Age]]&lt;=40,"30-40",Table1[[#This Row],[Age]]&lt;50,"41-50",TRUE,"50+")</f>
        <v>30-40</v>
      </c>
    </row>
    <row r="136" spans="1:19" x14ac:dyDescent="0.35">
      <c r="A136" t="s">
        <v>343</v>
      </c>
      <c r="B136" t="s">
        <v>344</v>
      </c>
      <c r="C136" t="s">
        <v>79</v>
      </c>
      <c r="D136" t="s">
        <v>69</v>
      </c>
      <c r="E136" t="s">
        <v>49</v>
      </c>
      <c r="F136" t="s">
        <v>19</v>
      </c>
      <c r="G136" t="s">
        <v>85</v>
      </c>
      <c r="H136" s="3">
        <v>28</v>
      </c>
      <c r="I136" s="8">
        <v>42922</v>
      </c>
      <c r="J136" s="4">
        <v>240488</v>
      </c>
      <c r="K136" s="1">
        <v>0.4</v>
      </c>
      <c r="L136" t="s">
        <v>93</v>
      </c>
      <c r="M136" t="s">
        <v>99</v>
      </c>
      <c r="O136" s="5">
        <f t="shared" si="2"/>
        <v>96195.200000000012</v>
      </c>
      <c r="P136" s="6">
        <f>Table1[[#This Row],[Annual Salary]]+Table1[[#This Row],[Bonus Amount]]</f>
        <v>336683.2</v>
      </c>
      <c r="Q136" t="str">
        <f>IF(Table1[[#This Row],[Exit Date]]="", "Active","Exited")</f>
        <v>Active</v>
      </c>
      <c r="R136" s="2">
        <f ca="1">IFERROR(DATEDIF(Table1[[#This Row],[Hire Date]],IF(Table1[[#This Row],[Exit Date]]="",TODAY(),Table1[[#This Row],[Exit Date]]),"Y"),"")</f>
        <v>8</v>
      </c>
      <c r="S136" t="str" cm="1">
        <f t="array" ref="S136">_xlfn.IFS(Table1[[#This Row],[Age]]&lt;30,"Under 30",Table1[[#This Row],[Age]]&lt;=40,"30-40",Table1[[#This Row],[Age]]&lt;50,"41-50",TRUE,"50+")</f>
        <v>Under 30</v>
      </c>
    </row>
    <row r="137" spans="1:19" x14ac:dyDescent="0.35">
      <c r="A137" t="s">
        <v>345</v>
      </c>
      <c r="B137" t="s">
        <v>346</v>
      </c>
      <c r="C137" t="s">
        <v>131</v>
      </c>
      <c r="D137" t="s">
        <v>17</v>
      </c>
      <c r="E137" t="s">
        <v>26</v>
      </c>
      <c r="F137" t="s">
        <v>27</v>
      </c>
      <c r="G137" t="s">
        <v>36</v>
      </c>
      <c r="H137" s="3">
        <v>40</v>
      </c>
      <c r="I137" s="8">
        <v>40565</v>
      </c>
      <c r="J137" s="4">
        <v>97339</v>
      </c>
      <c r="K137" s="1">
        <v>0</v>
      </c>
      <c r="L137" t="s">
        <v>21</v>
      </c>
      <c r="M137" t="s">
        <v>60</v>
      </c>
      <c r="O137" s="5">
        <f t="shared" si="2"/>
        <v>0</v>
      </c>
      <c r="P137" s="6">
        <f>Table1[[#This Row],[Annual Salary]]+Table1[[#This Row],[Bonus Amount]]</f>
        <v>97339</v>
      </c>
      <c r="Q137" t="str">
        <f>IF(Table1[[#This Row],[Exit Date]]="", "Active","Exited")</f>
        <v>Active</v>
      </c>
      <c r="R137" s="2">
        <f ca="1">IFERROR(DATEDIF(Table1[[#This Row],[Hire Date]],IF(Table1[[#This Row],[Exit Date]]="",TODAY(),Table1[[#This Row],[Exit Date]]),"Y"),"")</f>
        <v>15</v>
      </c>
      <c r="S137" t="str" cm="1">
        <f t="array" ref="S137">_xlfn.IFS(Table1[[#This Row],[Age]]&lt;30,"Under 30",Table1[[#This Row],[Age]]&lt;=40,"30-40",Table1[[#This Row],[Age]]&lt;50,"41-50",TRUE,"50+")</f>
        <v>30-40</v>
      </c>
    </row>
    <row r="138" spans="1:19" x14ac:dyDescent="0.35">
      <c r="A138" t="s">
        <v>347</v>
      </c>
      <c r="B138" t="s">
        <v>348</v>
      </c>
      <c r="C138" t="s">
        <v>79</v>
      </c>
      <c r="D138" t="s">
        <v>65</v>
      </c>
      <c r="E138" t="s">
        <v>26</v>
      </c>
      <c r="F138" t="s">
        <v>19</v>
      </c>
      <c r="G138" t="s">
        <v>28</v>
      </c>
      <c r="H138" s="3">
        <v>49</v>
      </c>
      <c r="I138" s="8">
        <v>37680</v>
      </c>
      <c r="J138" s="4">
        <v>211291</v>
      </c>
      <c r="K138" s="1">
        <v>0.37</v>
      </c>
      <c r="L138" t="s">
        <v>29</v>
      </c>
      <c r="M138" t="s">
        <v>30</v>
      </c>
      <c r="O138" s="5">
        <f t="shared" si="2"/>
        <v>78177.67</v>
      </c>
      <c r="P138" s="6">
        <f>Table1[[#This Row],[Annual Salary]]+Table1[[#This Row],[Bonus Amount]]</f>
        <v>289468.67</v>
      </c>
      <c r="Q138" t="str">
        <f>IF(Table1[[#This Row],[Exit Date]]="", "Active","Exited")</f>
        <v>Active</v>
      </c>
      <c r="R138" s="2">
        <f ca="1">IFERROR(DATEDIF(Table1[[#This Row],[Hire Date]],IF(Table1[[#This Row],[Exit Date]]="",TODAY(),Table1[[#This Row],[Exit Date]]),"Y"),"")</f>
        <v>23</v>
      </c>
      <c r="S138" t="str" cm="1">
        <f t="array" ref="S138">_xlfn.IFS(Table1[[#This Row],[Age]]&lt;30,"Under 30",Table1[[#This Row],[Age]]&lt;=40,"30-40",Table1[[#This Row],[Age]]&lt;50,"41-50",TRUE,"50+")</f>
        <v>41-50</v>
      </c>
    </row>
    <row r="139" spans="1:19" x14ac:dyDescent="0.35">
      <c r="A139" t="s">
        <v>349</v>
      </c>
      <c r="B139" t="s">
        <v>350</v>
      </c>
      <c r="C139" t="s">
        <v>79</v>
      </c>
      <c r="D139" t="s">
        <v>48</v>
      </c>
      <c r="E139" t="s">
        <v>18</v>
      </c>
      <c r="F139" t="s">
        <v>27</v>
      </c>
      <c r="G139" t="s">
        <v>85</v>
      </c>
      <c r="H139" s="3">
        <v>39</v>
      </c>
      <c r="I139" s="8">
        <v>40778</v>
      </c>
      <c r="J139" s="4">
        <v>249506</v>
      </c>
      <c r="K139" s="1">
        <v>0.3</v>
      </c>
      <c r="L139" t="s">
        <v>93</v>
      </c>
      <c r="M139" t="s">
        <v>99</v>
      </c>
      <c r="O139" s="5">
        <f t="shared" si="2"/>
        <v>74851.8</v>
      </c>
      <c r="P139" s="6">
        <f>Table1[[#This Row],[Annual Salary]]+Table1[[#This Row],[Bonus Amount]]</f>
        <v>324357.8</v>
      </c>
      <c r="Q139" t="str">
        <f>IF(Table1[[#This Row],[Exit Date]]="", "Active","Exited")</f>
        <v>Active</v>
      </c>
      <c r="R139" s="2">
        <f ca="1">IFERROR(DATEDIF(Table1[[#This Row],[Hire Date]],IF(Table1[[#This Row],[Exit Date]]="",TODAY(),Table1[[#This Row],[Exit Date]]),"Y"),"")</f>
        <v>14</v>
      </c>
      <c r="S139" t="str" cm="1">
        <f t="array" ref="S139">_xlfn.IFS(Table1[[#This Row],[Age]]&lt;30,"Under 30",Table1[[#This Row],[Age]]&lt;=40,"30-40",Table1[[#This Row],[Age]]&lt;50,"41-50",TRUE,"50+")</f>
        <v>30-40</v>
      </c>
    </row>
    <row r="140" spans="1:19" x14ac:dyDescent="0.35">
      <c r="A140" t="s">
        <v>351</v>
      </c>
      <c r="B140" t="s">
        <v>352</v>
      </c>
      <c r="C140" t="s">
        <v>108</v>
      </c>
      <c r="D140" t="s">
        <v>69</v>
      </c>
      <c r="E140" t="s">
        <v>35</v>
      </c>
      <c r="F140" t="s">
        <v>27</v>
      </c>
      <c r="G140" t="s">
        <v>28</v>
      </c>
      <c r="H140" s="3">
        <v>61</v>
      </c>
      <c r="I140" s="8">
        <v>37582</v>
      </c>
      <c r="J140" s="4">
        <v>80950</v>
      </c>
      <c r="K140" s="1">
        <v>0</v>
      </c>
      <c r="L140" t="s">
        <v>29</v>
      </c>
      <c r="M140" t="s">
        <v>30</v>
      </c>
      <c r="O140" s="5">
        <f t="shared" si="2"/>
        <v>0</v>
      </c>
      <c r="P140" s="6">
        <f>Table1[[#This Row],[Annual Salary]]+Table1[[#This Row],[Bonus Amount]]</f>
        <v>80950</v>
      </c>
      <c r="Q140" t="str">
        <f>IF(Table1[[#This Row],[Exit Date]]="", "Active","Exited")</f>
        <v>Active</v>
      </c>
      <c r="R140" s="2">
        <f ca="1">IFERROR(DATEDIF(Table1[[#This Row],[Hire Date]],IF(Table1[[#This Row],[Exit Date]]="",TODAY(),Table1[[#This Row],[Exit Date]]),"Y"),"")</f>
        <v>23</v>
      </c>
      <c r="S140" t="str" cm="1">
        <f t="array" ref="S140">_xlfn.IFS(Table1[[#This Row],[Age]]&lt;30,"Under 30",Table1[[#This Row],[Age]]&lt;=40,"30-40",Table1[[#This Row],[Age]]&lt;50,"41-50",TRUE,"50+")</f>
        <v>50+</v>
      </c>
    </row>
    <row r="141" spans="1:19" x14ac:dyDescent="0.35">
      <c r="A141" t="s">
        <v>353</v>
      </c>
      <c r="B141" t="s">
        <v>354</v>
      </c>
      <c r="C141" t="s">
        <v>178</v>
      </c>
      <c r="D141" t="s">
        <v>69</v>
      </c>
      <c r="E141" t="s">
        <v>18</v>
      </c>
      <c r="F141" t="s">
        <v>19</v>
      </c>
      <c r="G141" t="s">
        <v>28</v>
      </c>
      <c r="H141" s="3">
        <v>46</v>
      </c>
      <c r="I141" s="8">
        <v>44206</v>
      </c>
      <c r="J141" s="4">
        <v>86538</v>
      </c>
      <c r="K141" s="1">
        <v>0</v>
      </c>
      <c r="L141" t="s">
        <v>29</v>
      </c>
      <c r="M141" t="s">
        <v>134</v>
      </c>
      <c r="O141" s="5">
        <f t="shared" si="2"/>
        <v>0</v>
      </c>
      <c r="P141" s="6">
        <f>Table1[[#This Row],[Annual Salary]]+Table1[[#This Row],[Bonus Amount]]</f>
        <v>86538</v>
      </c>
      <c r="Q141" t="str">
        <f>IF(Table1[[#This Row],[Exit Date]]="", "Active","Exited")</f>
        <v>Active</v>
      </c>
      <c r="R141" s="2">
        <f ca="1">IFERROR(DATEDIF(Table1[[#This Row],[Hire Date]],IF(Table1[[#This Row],[Exit Date]]="",TODAY(),Table1[[#This Row],[Exit Date]]),"Y"),"")</f>
        <v>5</v>
      </c>
      <c r="S141" t="str" cm="1">
        <f t="array" ref="S141">_xlfn.IFS(Table1[[#This Row],[Age]]&lt;30,"Under 30",Table1[[#This Row],[Age]]&lt;=40,"30-40",Table1[[#This Row],[Age]]&lt;50,"41-50",TRUE,"50+")</f>
        <v>41-50</v>
      </c>
    </row>
    <row r="142" spans="1:19" x14ac:dyDescent="0.35">
      <c r="A142" t="s">
        <v>355</v>
      </c>
      <c r="B142" t="s">
        <v>356</v>
      </c>
      <c r="C142" t="s">
        <v>43</v>
      </c>
      <c r="D142" t="s">
        <v>80</v>
      </c>
      <c r="E142" t="s">
        <v>35</v>
      </c>
      <c r="F142" t="s">
        <v>19</v>
      </c>
      <c r="G142" t="s">
        <v>36</v>
      </c>
      <c r="H142" s="3">
        <v>35</v>
      </c>
      <c r="I142" s="8">
        <v>43715</v>
      </c>
      <c r="J142" s="4">
        <v>70992</v>
      </c>
      <c r="K142" s="1">
        <v>0</v>
      </c>
      <c r="L142" t="s">
        <v>21</v>
      </c>
      <c r="M142" t="s">
        <v>60</v>
      </c>
      <c r="O142" s="5">
        <f t="shared" si="2"/>
        <v>0</v>
      </c>
      <c r="P142" s="6">
        <f>Table1[[#This Row],[Annual Salary]]+Table1[[#This Row],[Bonus Amount]]</f>
        <v>70992</v>
      </c>
      <c r="Q142" t="str">
        <f>IF(Table1[[#This Row],[Exit Date]]="", "Active","Exited")</f>
        <v>Active</v>
      </c>
      <c r="R142" s="2">
        <f ca="1">IFERROR(DATEDIF(Table1[[#This Row],[Hire Date]],IF(Table1[[#This Row],[Exit Date]]="",TODAY(),Table1[[#This Row],[Exit Date]]),"Y"),"")</f>
        <v>6</v>
      </c>
      <c r="S142" t="str" cm="1">
        <f t="array" ref="S142">_xlfn.IFS(Table1[[#This Row],[Age]]&lt;30,"Under 30",Table1[[#This Row],[Age]]&lt;=40,"30-40",Table1[[#This Row],[Age]]&lt;50,"41-50",TRUE,"50+")</f>
        <v>30-40</v>
      </c>
    </row>
    <row r="143" spans="1:19" x14ac:dyDescent="0.35">
      <c r="A143" t="s">
        <v>357</v>
      </c>
      <c r="B143" t="s">
        <v>358</v>
      </c>
      <c r="C143" t="s">
        <v>79</v>
      </c>
      <c r="D143" t="s">
        <v>69</v>
      </c>
      <c r="E143" t="s">
        <v>49</v>
      </c>
      <c r="F143" t="s">
        <v>27</v>
      </c>
      <c r="G143" t="s">
        <v>36</v>
      </c>
      <c r="H143" s="3">
        <v>33</v>
      </c>
      <c r="I143" s="8">
        <v>42173</v>
      </c>
      <c r="J143" s="4">
        <v>205314</v>
      </c>
      <c r="K143" s="1">
        <v>0.3</v>
      </c>
      <c r="L143" t="s">
        <v>21</v>
      </c>
      <c r="M143" t="s">
        <v>88</v>
      </c>
      <c r="O143" s="5">
        <f t="shared" si="2"/>
        <v>61594.2</v>
      </c>
      <c r="P143" s="6">
        <f>Table1[[#This Row],[Annual Salary]]+Table1[[#This Row],[Bonus Amount]]</f>
        <v>266908.2</v>
      </c>
      <c r="Q143" t="str">
        <f>IF(Table1[[#This Row],[Exit Date]]="", "Active","Exited")</f>
        <v>Active</v>
      </c>
      <c r="R143" s="2">
        <f ca="1">IFERROR(DATEDIF(Table1[[#This Row],[Hire Date]],IF(Table1[[#This Row],[Exit Date]]="",TODAY(),Table1[[#This Row],[Exit Date]]),"Y"),"")</f>
        <v>10</v>
      </c>
      <c r="S143" t="str" cm="1">
        <f t="array" ref="S143">_xlfn.IFS(Table1[[#This Row],[Age]]&lt;30,"Under 30",Table1[[#This Row],[Age]]&lt;=40,"30-40",Table1[[#This Row],[Age]]&lt;50,"41-50",TRUE,"50+")</f>
        <v>30-40</v>
      </c>
    </row>
    <row r="144" spans="1:19" x14ac:dyDescent="0.35">
      <c r="A144" t="s">
        <v>359</v>
      </c>
      <c r="B144" t="s">
        <v>360</v>
      </c>
      <c r="C144" t="s">
        <v>79</v>
      </c>
      <c r="D144" t="s">
        <v>65</v>
      </c>
      <c r="E144" t="s">
        <v>49</v>
      </c>
      <c r="F144" t="s">
        <v>19</v>
      </c>
      <c r="G144" t="s">
        <v>28</v>
      </c>
      <c r="H144" s="3">
        <v>61</v>
      </c>
      <c r="I144" s="8">
        <v>42804</v>
      </c>
      <c r="J144" s="4">
        <v>196951</v>
      </c>
      <c r="K144" s="1">
        <v>0.33</v>
      </c>
      <c r="L144" t="s">
        <v>29</v>
      </c>
      <c r="M144" t="s">
        <v>114</v>
      </c>
      <c r="O144" s="5">
        <f t="shared" si="2"/>
        <v>64993.83</v>
      </c>
      <c r="P144" s="6">
        <f>Table1[[#This Row],[Annual Salary]]+Table1[[#This Row],[Bonus Amount]]</f>
        <v>261944.83000000002</v>
      </c>
      <c r="Q144" t="str">
        <f>IF(Table1[[#This Row],[Exit Date]]="", "Active","Exited")</f>
        <v>Active</v>
      </c>
      <c r="R144" s="2">
        <f ca="1">IFERROR(DATEDIF(Table1[[#This Row],[Hire Date]],IF(Table1[[#This Row],[Exit Date]]="",TODAY(),Table1[[#This Row],[Exit Date]]),"Y"),"")</f>
        <v>9</v>
      </c>
      <c r="S144" t="str" cm="1">
        <f t="array" ref="S144">_xlfn.IFS(Table1[[#This Row],[Age]]&lt;30,"Under 30",Table1[[#This Row],[Age]]&lt;=40,"30-40",Table1[[#This Row],[Age]]&lt;50,"41-50",TRUE,"50+")</f>
        <v>50+</v>
      </c>
    </row>
    <row r="145" spans="1:19" x14ac:dyDescent="0.35">
      <c r="A145" t="s">
        <v>361</v>
      </c>
      <c r="B145" t="s">
        <v>362</v>
      </c>
      <c r="C145" t="s">
        <v>251</v>
      </c>
      <c r="D145" t="s">
        <v>17</v>
      </c>
      <c r="E145" t="s">
        <v>35</v>
      </c>
      <c r="F145" t="s">
        <v>27</v>
      </c>
      <c r="G145" t="s">
        <v>28</v>
      </c>
      <c r="H145" s="3">
        <v>45</v>
      </c>
      <c r="I145" s="8">
        <v>38613</v>
      </c>
      <c r="J145" s="4">
        <v>67686</v>
      </c>
      <c r="K145" s="1">
        <v>0</v>
      </c>
      <c r="L145" t="s">
        <v>29</v>
      </c>
      <c r="M145" t="s">
        <v>114</v>
      </c>
      <c r="O145" s="5">
        <f t="shared" si="2"/>
        <v>0</v>
      </c>
      <c r="P145" s="6">
        <f>Table1[[#This Row],[Annual Salary]]+Table1[[#This Row],[Bonus Amount]]</f>
        <v>67686</v>
      </c>
      <c r="Q145" t="str">
        <f>IF(Table1[[#This Row],[Exit Date]]="", "Active","Exited")</f>
        <v>Active</v>
      </c>
      <c r="R145" s="2">
        <f ca="1">IFERROR(DATEDIF(Table1[[#This Row],[Hire Date]],IF(Table1[[#This Row],[Exit Date]]="",TODAY(),Table1[[#This Row],[Exit Date]]),"Y"),"")</f>
        <v>20</v>
      </c>
      <c r="S145" t="str" cm="1">
        <f t="array" ref="S145">_xlfn.IFS(Table1[[#This Row],[Age]]&lt;30,"Under 30",Table1[[#This Row],[Age]]&lt;=40,"30-40",Table1[[#This Row],[Age]]&lt;50,"41-50",TRUE,"50+")</f>
        <v>41-50</v>
      </c>
    </row>
    <row r="146" spans="1:19" x14ac:dyDescent="0.35">
      <c r="A146" t="s">
        <v>363</v>
      </c>
      <c r="B146" t="s">
        <v>364</v>
      </c>
      <c r="C146" t="s">
        <v>25</v>
      </c>
      <c r="D146" t="s">
        <v>17</v>
      </c>
      <c r="E146" t="s">
        <v>18</v>
      </c>
      <c r="F146" t="s">
        <v>27</v>
      </c>
      <c r="G146" t="s">
        <v>85</v>
      </c>
      <c r="H146" s="3">
        <v>51</v>
      </c>
      <c r="I146" s="8">
        <v>39553</v>
      </c>
      <c r="J146" s="4">
        <v>86431</v>
      </c>
      <c r="K146" s="1">
        <v>0</v>
      </c>
      <c r="L146" t="s">
        <v>21</v>
      </c>
      <c r="M146" t="s">
        <v>88</v>
      </c>
      <c r="O146" s="5">
        <f t="shared" si="2"/>
        <v>0</v>
      </c>
      <c r="P146" s="6">
        <f>Table1[[#This Row],[Annual Salary]]+Table1[[#This Row],[Bonus Amount]]</f>
        <v>86431</v>
      </c>
      <c r="Q146" t="str">
        <f>IF(Table1[[#This Row],[Exit Date]]="", "Active","Exited")</f>
        <v>Active</v>
      </c>
      <c r="R146" s="2">
        <f ca="1">IFERROR(DATEDIF(Table1[[#This Row],[Hire Date]],IF(Table1[[#This Row],[Exit Date]]="",TODAY(),Table1[[#This Row],[Exit Date]]),"Y"),"")</f>
        <v>17</v>
      </c>
      <c r="S146" t="str" cm="1">
        <f t="array" ref="S146">_xlfn.IFS(Table1[[#This Row],[Age]]&lt;30,"Under 30",Table1[[#This Row],[Age]]&lt;=40,"30-40",Table1[[#This Row],[Age]]&lt;50,"41-50",TRUE,"50+")</f>
        <v>50+</v>
      </c>
    </row>
    <row r="147" spans="1:19" x14ac:dyDescent="0.35">
      <c r="A147" t="s">
        <v>365</v>
      </c>
      <c r="B147" t="s">
        <v>366</v>
      </c>
      <c r="C147" t="s">
        <v>52</v>
      </c>
      <c r="D147" t="s">
        <v>65</v>
      </c>
      <c r="E147" t="s">
        <v>26</v>
      </c>
      <c r="F147" t="s">
        <v>27</v>
      </c>
      <c r="G147" t="s">
        <v>28</v>
      </c>
      <c r="H147" s="3">
        <v>55</v>
      </c>
      <c r="I147" s="8">
        <v>35019</v>
      </c>
      <c r="J147" s="4">
        <v>125936</v>
      </c>
      <c r="K147" s="1">
        <v>0.08</v>
      </c>
      <c r="L147" t="s">
        <v>29</v>
      </c>
      <c r="M147" t="s">
        <v>30</v>
      </c>
      <c r="O147" s="5">
        <f t="shared" si="2"/>
        <v>10074.880000000001</v>
      </c>
      <c r="P147" s="6">
        <f>Table1[[#This Row],[Annual Salary]]+Table1[[#This Row],[Bonus Amount]]</f>
        <v>136010.88</v>
      </c>
      <c r="Q147" t="str">
        <f>IF(Table1[[#This Row],[Exit Date]]="", "Active","Exited")</f>
        <v>Active</v>
      </c>
      <c r="R147" s="2">
        <f ca="1">IFERROR(DATEDIF(Table1[[#This Row],[Hire Date]],IF(Table1[[#This Row],[Exit Date]]="",TODAY(),Table1[[#This Row],[Exit Date]]),"Y"),"")</f>
        <v>30</v>
      </c>
      <c r="S147" t="str" cm="1">
        <f t="array" ref="S147">_xlfn.IFS(Table1[[#This Row],[Age]]&lt;30,"Under 30",Table1[[#This Row],[Age]]&lt;=40,"30-40",Table1[[#This Row],[Age]]&lt;50,"41-50",TRUE,"50+")</f>
        <v>50+</v>
      </c>
    </row>
    <row r="148" spans="1:19" x14ac:dyDescent="0.35">
      <c r="A148" t="s">
        <v>367</v>
      </c>
      <c r="B148" t="s">
        <v>368</v>
      </c>
      <c r="C148" t="s">
        <v>16</v>
      </c>
      <c r="D148" t="s">
        <v>48</v>
      </c>
      <c r="E148" t="s">
        <v>49</v>
      </c>
      <c r="F148" t="s">
        <v>19</v>
      </c>
      <c r="G148" t="s">
        <v>36</v>
      </c>
      <c r="H148" s="3">
        <v>46</v>
      </c>
      <c r="I148" s="8">
        <v>41473</v>
      </c>
      <c r="J148" s="4">
        <v>149712</v>
      </c>
      <c r="K148" s="1">
        <v>0.14000000000000001</v>
      </c>
      <c r="L148" t="s">
        <v>21</v>
      </c>
      <c r="M148" t="s">
        <v>88</v>
      </c>
      <c r="O148" s="5">
        <f t="shared" si="2"/>
        <v>20959.68</v>
      </c>
      <c r="P148" s="6">
        <f>Table1[[#This Row],[Annual Salary]]+Table1[[#This Row],[Bonus Amount]]</f>
        <v>170671.68</v>
      </c>
      <c r="Q148" t="str">
        <f>IF(Table1[[#This Row],[Exit Date]]="", "Active","Exited")</f>
        <v>Active</v>
      </c>
      <c r="R148" s="2">
        <f ca="1">IFERROR(DATEDIF(Table1[[#This Row],[Hire Date]],IF(Table1[[#This Row],[Exit Date]]="",TODAY(),Table1[[#This Row],[Exit Date]]),"Y"),"")</f>
        <v>12</v>
      </c>
      <c r="S148" t="str" cm="1">
        <f t="array" ref="S148">_xlfn.IFS(Table1[[#This Row],[Age]]&lt;30,"Under 30",Table1[[#This Row],[Age]]&lt;=40,"30-40",Table1[[#This Row],[Age]]&lt;50,"41-50",TRUE,"50+")</f>
        <v>41-50</v>
      </c>
    </row>
    <row r="149" spans="1:19" x14ac:dyDescent="0.35">
      <c r="A149" t="s">
        <v>369</v>
      </c>
      <c r="B149" t="s">
        <v>370</v>
      </c>
      <c r="C149" t="s">
        <v>175</v>
      </c>
      <c r="D149" t="s">
        <v>69</v>
      </c>
      <c r="E149" t="s">
        <v>35</v>
      </c>
      <c r="F149" t="s">
        <v>27</v>
      </c>
      <c r="G149" t="s">
        <v>36</v>
      </c>
      <c r="H149" s="3">
        <v>30</v>
      </c>
      <c r="I149" s="8">
        <v>44471</v>
      </c>
      <c r="J149" s="4">
        <v>88758</v>
      </c>
      <c r="K149" s="1">
        <v>0</v>
      </c>
      <c r="L149" t="s">
        <v>21</v>
      </c>
      <c r="M149" t="s">
        <v>22</v>
      </c>
      <c r="O149" s="5">
        <f t="shared" si="2"/>
        <v>0</v>
      </c>
      <c r="P149" s="6">
        <f>Table1[[#This Row],[Annual Salary]]+Table1[[#This Row],[Bonus Amount]]</f>
        <v>88758</v>
      </c>
      <c r="Q149" t="str">
        <f>IF(Table1[[#This Row],[Exit Date]]="", "Active","Exited")</f>
        <v>Active</v>
      </c>
      <c r="R149" s="2">
        <f ca="1">IFERROR(DATEDIF(Table1[[#This Row],[Hire Date]],IF(Table1[[#This Row],[Exit Date]]="",TODAY(),Table1[[#This Row],[Exit Date]]),"Y"),"")</f>
        <v>4</v>
      </c>
      <c r="S149" t="str" cm="1">
        <f t="array" ref="S149">_xlfn.IFS(Table1[[#This Row],[Age]]&lt;30,"Under 30",Table1[[#This Row],[Age]]&lt;=40,"30-40",Table1[[#This Row],[Age]]&lt;50,"41-50",TRUE,"50+")</f>
        <v>30-40</v>
      </c>
    </row>
    <row r="150" spans="1:19" x14ac:dyDescent="0.35">
      <c r="A150" t="s">
        <v>210</v>
      </c>
      <c r="B150" t="s">
        <v>371</v>
      </c>
      <c r="C150" t="s">
        <v>372</v>
      </c>
      <c r="D150" t="s">
        <v>17</v>
      </c>
      <c r="E150" t="s">
        <v>18</v>
      </c>
      <c r="F150" t="s">
        <v>27</v>
      </c>
      <c r="G150" t="s">
        <v>28</v>
      </c>
      <c r="H150" s="3">
        <v>54</v>
      </c>
      <c r="I150" s="8">
        <v>41468</v>
      </c>
      <c r="J150" s="4">
        <v>83639</v>
      </c>
      <c r="K150" s="1">
        <v>0</v>
      </c>
      <c r="L150" t="s">
        <v>29</v>
      </c>
      <c r="M150" t="s">
        <v>114</v>
      </c>
      <c r="O150" s="5">
        <f t="shared" si="2"/>
        <v>0</v>
      </c>
      <c r="P150" s="6">
        <f>Table1[[#This Row],[Annual Salary]]+Table1[[#This Row],[Bonus Amount]]</f>
        <v>83639</v>
      </c>
      <c r="Q150" t="str">
        <f>IF(Table1[[#This Row],[Exit Date]]="", "Active","Exited")</f>
        <v>Active</v>
      </c>
      <c r="R150" s="2">
        <f ca="1">IFERROR(DATEDIF(Table1[[#This Row],[Hire Date]],IF(Table1[[#This Row],[Exit Date]]="",TODAY(),Table1[[#This Row],[Exit Date]]),"Y"),"")</f>
        <v>12</v>
      </c>
      <c r="S150" t="str" cm="1">
        <f t="array" ref="S150">_xlfn.IFS(Table1[[#This Row],[Age]]&lt;30,"Under 30",Table1[[#This Row],[Age]]&lt;=40,"30-40",Table1[[#This Row],[Age]]&lt;50,"41-50",TRUE,"50+")</f>
        <v>50+</v>
      </c>
    </row>
    <row r="151" spans="1:19" x14ac:dyDescent="0.35">
      <c r="A151" t="s">
        <v>373</v>
      </c>
      <c r="B151" t="s">
        <v>374</v>
      </c>
      <c r="C151" t="s">
        <v>248</v>
      </c>
      <c r="D151" t="s">
        <v>17</v>
      </c>
      <c r="E151" t="s">
        <v>18</v>
      </c>
      <c r="F151" t="s">
        <v>19</v>
      </c>
      <c r="G151" t="s">
        <v>36</v>
      </c>
      <c r="H151" s="3">
        <v>54</v>
      </c>
      <c r="I151" s="8">
        <v>35933</v>
      </c>
      <c r="J151" s="4">
        <v>68268</v>
      </c>
      <c r="K151" s="1">
        <v>0</v>
      </c>
      <c r="L151" t="s">
        <v>21</v>
      </c>
      <c r="M151" t="s">
        <v>44</v>
      </c>
      <c r="O151" s="5">
        <f t="shared" si="2"/>
        <v>0</v>
      </c>
      <c r="P151" s="6">
        <f>Table1[[#This Row],[Annual Salary]]+Table1[[#This Row],[Bonus Amount]]</f>
        <v>68268</v>
      </c>
      <c r="Q151" t="str">
        <f>IF(Table1[[#This Row],[Exit Date]]="", "Active","Exited")</f>
        <v>Active</v>
      </c>
      <c r="R151" s="2">
        <f ca="1">IFERROR(DATEDIF(Table1[[#This Row],[Hire Date]],IF(Table1[[#This Row],[Exit Date]]="",TODAY(),Table1[[#This Row],[Exit Date]]),"Y"),"")</f>
        <v>27</v>
      </c>
      <c r="S151" t="str" cm="1">
        <f t="array" ref="S151">_xlfn.IFS(Table1[[#This Row],[Age]]&lt;30,"Under 30",Table1[[#This Row],[Age]]&lt;=40,"30-40",Table1[[#This Row],[Age]]&lt;50,"41-50",TRUE,"50+")</f>
        <v>50+</v>
      </c>
    </row>
    <row r="152" spans="1:19" x14ac:dyDescent="0.35">
      <c r="A152" t="s">
        <v>375</v>
      </c>
      <c r="B152" t="s">
        <v>376</v>
      </c>
      <c r="C152" t="s">
        <v>175</v>
      </c>
      <c r="D152" t="s">
        <v>69</v>
      </c>
      <c r="E152" t="s">
        <v>26</v>
      </c>
      <c r="F152" t="s">
        <v>27</v>
      </c>
      <c r="G152" t="s">
        <v>85</v>
      </c>
      <c r="H152" s="3">
        <v>45</v>
      </c>
      <c r="I152" s="8">
        <v>37313</v>
      </c>
      <c r="J152" s="4">
        <v>75819</v>
      </c>
      <c r="K152" s="1">
        <v>0</v>
      </c>
      <c r="L152" t="s">
        <v>93</v>
      </c>
      <c r="M152" t="s">
        <v>218</v>
      </c>
      <c r="O152" s="5">
        <f t="shared" si="2"/>
        <v>0</v>
      </c>
      <c r="P152" s="6">
        <f>Table1[[#This Row],[Annual Salary]]+Table1[[#This Row],[Bonus Amount]]</f>
        <v>75819</v>
      </c>
      <c r="Q152" t="str">
        <f>IF(Table1[[#This Row],[Exit Date]]="", "Active","Exited")</f>
        <v>Active</v>
      </c>
      <c r="R152" s="2">
        <f ca="1">IFERROR(DATEDIF(Table1[[#This Row],[Hire Date]],IF(Table1[[#This Row],[Exit Date]]="",TODAY(),Table1[[#This Row],[Exit Date]]),"Y"),"")</f>
        <v>24</v>
      </c>
      <c r="S152" t="str" cm="1">
        <f t="array" ref="S152">_xlfn.IFS(Table1[[#This Row],[Age]]&lt;30,"Under 30",Table1[[#This Row],[Age]]&lt;=40,"30-40",Table1[[#This Row],[Age]]&lt;50,"41-50",TRUE,"50+")</f>
        <v>41-50</v>
      </c>
    </row>
    <row r="153" spans="1:19" x14ac:dyDescent="0.35">
      <c r="A153" t="s">
        <v>377</v>
      </c>
      <c r="B153" t="s">
        <v>378</v>
      </c>
      <c r="C153" t="s">
        <v>43</v>
      </c>
      <c r="D153" t="s">
        <v>48</v>
      </c>
      <c r="E153" t="s">
        <v>35</v>
      </c>
      <c r="F153" t="s">
        <v>19</v>
      </c>
      <c r="G153" t="s">
        <v>36</v>
      </c>
      <c r="H153" s="3">
        <v>49</v>
      </c>
      <c r="I153" s="8">
        <v>35200</v>
      </c>
      <c r="J153" s="4">
        <v>86658</v>
      </c>
      <c r="K153" s="1">
        <v>0</v>
      </c>
      <c r="L153" t="s">
        <v>21</v>
      </c>
      <c r="M153" t="s">
        <v>44</v>
      </c>
      <c r="O153" s="5">
        <f t="shared" si="2"/>
        <v>0</v>
      </c>
      <c r="P153" s="6">
        <f>Table1[[#This Row],[Annual Salary]]+Table1[[#This Row],[Bonus Amount]]</f>
        <v>86658</v>
      </c>
      <c r="Q153" t="str">
        <f>IF(Table1[[#This Row],[Exit Date]]="", "Active","Exited")</f>
        <v>Active</v>
      </c>
      <c r="R153" s="2">
        <f ca="1">IFERROR(DATEDIF(Table1[[#This Row],[Hire Date]],IF(Table1[[#This Row],[Exit Date]]="",TODAY(),Table1[[#This Row],[Exit Date]]),"Y"),"")</f>
        <v>29</v>
      </c>
      <c r="S153" t="str" cm="1">
        <f t="array" ref="S153">_xlfn.IFS(Table1[[#This Row],[Age]]&lt;30,"Under 30",Table1[[#This Row],[Age]]&lt;=40,"30-40",Table1[[#This Row],[Age]]&lt;50,"41-50",TRUE,"50+")</f>
        <v>41-50</v>
      </c>
    </row>
    <row r="154" spans="1:19" x14ac:dyDescent="0.35">
      <c r="A154" t="s">
        <v>379</v>
      </c>
      <c r="B154" t="s">
        <v>380</v>
      </c>
      <c r="C154" t="s">
        <v>124</v>
      </c>
      <c r="D154" t="s">
        <v>34</v>
      </c>
      <c r="E154" t="s">
        <v>18</v>
      </c>
      <c r="F154" t="s">
        <v>27</v>
      </c>
      <c r="G154" t="s">
        <v>28</v>
      </c>
      <c r="H154" s="3">
        <v>55</v>
      </c>
      <c r="I154" s="8">
        <v>41714</v>
      </c>
      <c r="J154" s="4">
        <v>74552</v>
      </c>
      <c r="K154" s="1">
        <v>0</v>
      </c>
      <c r="L154" t="s">
        <v>29</v>
      </c>
      <c r="M154" t="s">
        <v>134</v>
      </c>
      <c r="O154" s="5">
        <f t="shared" si="2"/>
        <v>0</v>
      </c>
      <c r="P154" s="6">
        <f>Table1[[#This Row],[Annual Salary]]+Table1[[#This Row],[Bonus Amount]]</f>
        <v>74552</v>
      </c>
      <c r="Q154" t="str">
        <f>IF(Table1[[#This Row],[Exit Date]]="", "Active","Exited")</f>
        <v>Active</v>
      </c>
      <c r="R154" s="2">
        <f ca="1">IFERROR(DATEDIF(Table1[[#This Row],[Hire Date]],IF(Table1[[#This Row],[Exit Date]]="",TODAY(),Table1[[#This Row],[Exit Date]]),"Y"),"")</f>
        <v>12</v>
      </c>
      <c r="S154" t="str" cm="1">
        <f t="array" ref="S154">_xlfn.IFS(Table1[[#This Row],[Age]]&lt;30,"Under 30",Table1[[#This Row],[Age]]&lt;=40,"30-40",Table1[[#This Row],[Age]]&lt;50,"41-50",TRUE,"50+")</f>
        <v>50+</v>
      </c>
    </row>
    <row r="155" spans="1:19" x14ac:dyDescent="0.35">
      <c r="A155" t="s">
        <v>381</v>
      </c>
      <c r="B155" t="s">
        <v>382</v>
      </c>
      <c r="C155" t="s">
        <v>131</v>
      </c>
      <c r="D155" t="s">
        <v>17</v>
      </c>
      <c r="E155" t="s">
        <v>26</v>
      </c>
      <c r="F155" t="s">
        <v>19</v>
      </c>
      <c r="G155" t="s">
        <v>28</v>
      </c>
      <c r="H155" s="3">
        <v>62</v>
      </c>
      <c r="I155" s="8">
        <v>39887</v>
      </c>
      <c r="J155" s="4">
        <v>82839</v>
      </c>
      <c r="K155" s="1">
        <v>0</v>
      </c>
      <c r="L155" t="s">
        <v>21</v>
      </c>
      <c r="M155" t="s">
        <v>56</v>
      </c>
      <c r="O155" s="5">
        <f t="shared" si="2"/>
        <v>0</v>
      </c>
      <c r="P155" s="6">
        <f>Table1[[#This Row],[Annual Salary]]+Table1[[#This Row],[Bonus Amount]]</f>
        <v>82839</v>
      </c>
      <c r="Q155" t="str">
        <f>IF(Table1[[#This Row],[Exit Date]]="", "Active","Exited")</f>
        <v>Active</v>
      </c>
      <c r="R155" s="2">
        <f ca="1">IFERROR(DATEDIF(Table1[[#This Row],[Hire Date]],IF(Table1[[#This Row],[Exit Date]]="",TODAY(),Table1[[#This Row],[Exit Date]]),"Y"),"")</f>
        <v>17</v>
      </c>
      <c r="S155" t="str" cm="1">
        <f t="array" ref="S155">_xlfn.IFS(Table1[[#This Row],[Age]]&lt;30,"Under 30",Table1[[#This Row],[Age]]&lt;=40,"30-40",Table1[[#This Row],[Age]]&lt;50,"41-50",TRUE,"50+")</f>
        <v>50+</v>
      </c>
    </row>
    <row r="156" spans="1:19" x14ac:dyDescent="0.35">
      <c r="A156" t="s">
        <v>383</v>
      </c>
      <c r="B156" t="s">
        <v>384</v>
      </c>
      <c r="C156" t="s">
        <v>248</v>
      </c>
      <c r="D156" t="s">
        <v>17</v>
      </c>
      <c r="E156" t="s">
        <v>35</v>
      </c>
      <c r="F156" t="s">
        <v>19</v>
      </c>
      <c r="G156" t="s">
        <v>36</v>
      </c>
      <c r="H156" s="3">
        <v>28</v>
      </c>
      <c r="I156" s="8">
        <v>44477</v>
      </c>
      <c r="J156" s="4">
        <v>64475</v>
      </c>
      <c r="K156" s="1">
        <v>0</v>
      </c>
      <c r="L156" t="s">
        <v>21</v>
      </c>
      <c r="M156" t="s">
        <v>44</v>
      </c>
      <c r="O156" s="5">
        <f t="shared" si="2"/>
        <v>0</v>
      </c>
      <c r="P156" s="6">
        <f>Table1[[#This Row],[Annual Salary]]+Table1[[#This Row],[Bonus Amount]]</f>
        <v>64475</v>
      </c>
      <c r="Q156" t="str">
        <f>IF(Table1[[#This Row],[Exit Date]]="", "Active","Exited")</f>
        <v>Active</v>
      </c>
      <c r="R156" s="2">
        <f ca="1">IFERROR(DATEDIF(Table1[[#This Row],[Hire Date]],IF(Table1[[#This Row],[Exit Date]]="",TODAY(),Table1[[#This Row],[Exit Date]]),"Y"),"")</f>
        <v>4</v>
      </c>
      <c r="S156" t="str" cm="1">
        <f t="array" ref="S156">_xlfn.IFS(Table1[[#This Row],[Age]]&lt;30,"Under 30",Table1[[#This Row],[Age]]&lt;=40,"30-40",Table1[[#This Row],[Age]]&lt;50,"41-50",TRUE,"50+")</f>
        <v>Under 30</v>
      </c>
    </row>
    <row r="157" spans="1:19" x14ac:dyDescent="0.35">
      <c r="A157" t="s">
        <v>385</v>
      </c>
      <c r="B157" t="s">
        <v>386</v>
      </c>
      <c r="C157" t="s">
        <v>248</v>
      </c>
      <c r="D157" t="s">
        <v>17</v>
      </c>
      <c r="E157" t="s">
        <v>26</v>
      </c>
      <c r="F157" t="s">
        <v>27</v>
      </c>
      <c r="G157" t="s">
        <v>28</v>
      </c>
      <c r="H157" s="3">
        <v>33</v>
      </c>
      <c r="I157" s="8">
        <v>44036</v>
      </c>
      <c r="J157" s="4">
        <v>69453</v>
      </c>
      <c r="K157" s="1">
        <v>0</v>
      </c>
      <c r="L157" t="s">
        <v>29</v>
      </c>
      <c r="M157" t="s">
        <v>134</v>
      </c>
      <c r="O157" s="5">
        <f t="shared" si="2"/>
        <v>0</v>
      </c>
      <c r="P157" s="6">
        <f>Table1[[#This Row],[Annual Salary]]+Table1[[#This Row],[Bonus Amount]]</f>
        <v>69453</v>
      </c>
      <c r="Q157" t="str">
        <f>IF(Table1[[#This Row],[Exit Date]]="", "Active","Exited")</f>
        <v>Active</v>
      </c>
      <c r="R157" s="2">
        <f ca="1">IFERROR(DATEDIF(Table1[[#This Row],[Hire Date]],IF(Table1[[#This Row],[Exit Date]]="",TODAY(),Table1[[#This Row],[Exit Date]]),"Y"),"")</f>
        <v>5</v>
      </c>
      <c r="S157" t="str" cm="1">
        <f t="array" ref="S157">_xlfn.IFS(Table1[[#This Row],[Age]]&lt;30,"Under 30",Table1[[#This Row],[Age]]&lt;=40,"30-40",Table1[[#This Row],[Age]]&lt;50,"41-50",TRUE,"50+")</f>
        <v>30-40</v>
      </c>
    </row>
    <row r="158" spans="1:19" x14ac:dyDescent="0.35">
      <c r="A158" t="s">
        <v>387</v>
      </c>
      <c r="B158" t="s">
        <v>388</v>
      </c>
      <c r="C158" t="s">
        <v>52</v>
      </c>
      <c r="D158" t="s">
        <v>17</v>
      </c>
      <c r="E158" t="s">
        <v>49</v>
      </c>
      <c r="F158" t="s">
        <v>27</v>
      </c>
      <c r="G158" t="s">
        <v>36</v>
      </c>
      <c r="H158" s="3">
        <v>32</v>
      </c>
      <c r="I158" s="8">
        <v>41642</v>
      </c>
      <c r="J158" s="4">
        <v>127148</v>
      </c>
      <c r="K158" s="1">
        <v>0.1</v>
      </c>
      <c r="L158" t="s">
        <v>21</v>
      </c>
      <c r="M158" t="s">
        <v>56</v>
      </c>
      <c r="O158" s="5">
        <f t="shared" si="2"/>
        <v>12714.800000000001</v>
      </c>
      <c r="P158" s="6">
        <f>Table1[[#This Row],[Annual Salary]]+Table1[[#This Row],[Bonus Amount]]</f>
        <v>139862.79999999999</v>
      </c>
      <c r="Q158" t="str">
        <f>IF(Table1[[#This Row],[Exit Date]]="", "Active","Exited")</f>
        <v>Active</v>
      </c>
      <c r="R158" s="2">
        <f ca="1">IFERROR(DATEDIF(Table1[[#This Row],[Hire Date]],IF(Table1[[#This Row],[Exit Date]]="",TODAY(),Table1[[#This Row],[Exit Date]]),"Y"),"")</f>
        <v>12</v>
      </c>
      <c r="S158" t="str" cm="1">
        <f t="array" ref="S158">_xlfn.IFS(Table1[[#This Row],[Age]]&lt;30,"Under 30",Table1[[#This Row],[Age]]&lt;=40,"30-40",Table1[[#This Row],[Age]]&lt;50,"41-50",TRUE,"50+")</f>
        <v>30-40</v>
      </c>
    </row>
    <row r="159" spans="1:19" x14ac:dyDescent="0.35">
      <c r="A159" t="s">
        <v>389</v>
      </c>
      <c r="B159" t="s">
        <v>390</v>
      </c>
      <c r="C159" t="s">
        <v>79</v>
      </c>
      <c r="D159" t="s">
        <v>34</v>
      </c>
      <c r="E159" t="s">
        <v>35</v>
      </c>
      <c r="F159" t="s">
        <v>19</v>
      </c>
      <c r="G159" t="s">
        <v>36</v>
      </c>
      <c r="H159" s="3">
        <v>32</v>
      </c>
      <c r="I159" s="8">
        <v>43102</v>
      </c>
      <c r="J159" s="4">
        <v>190253</v>
      </c>
      <c r="K159" s="1">
        <v>0.33</v>
      </c>
      <c r="L159" t="s">
        <v>21</v>
      </c>
      <c r="M159" t="s">
        <v>60</v>
      </c>
      <c r="O159" s="5">
        <f t="shared" si="2"/>
        <v>62783.490000000005</v>
      </c>
      <c r="P159" s="6">
        <f>Table1[[#This Row],[Annual Salary]]+Table1[[#This Row],[Bonus Amount]]</f>
        <v>253036.49</v>
      </c>
      <c r="Q159" t="str">
        <f>IF(Table1[[#This Row],[Exit Date]]="", "Active","Exited")</f>
        <v>Active</v>
      </c>
      <c r="R159" s="2">
        <f ca="1">IFERROR(DATEDIF(Table1[[#This Row],[Hire Date]],IF(Table1[[#This Row],[Exit Date]]="",TODAY(),Table1[[#This Row],[Exit Date]]),"Y"),"")</f>
        <v>8</v>
      </c>
      <c r="S159" t="str" cm="1">
        <f t="array" ref="S159">_xlfn.IFS(Table1[[#This Row],[Age]]&lt;30,"Under 30",Table1[[#This Row],[Age]]&lt;=40,"30-40",Table1[[#This Row],[Age]]&lt;50,"41-50",TRUE,"50+")</f>
        <v>30-40</v>
      </c>
    </row>
    <row r="160" spans="1:19" x14ac:dyDescent="0.35">
      <c r="A160" t="s">
        <v>228</v>
      </c>
      <c r="B160" t="s">
        <v>391</v>
      </c>
      <c r="C160" t="s">
        <v>52</v>
      </c>
      <c r="D160" t="s">
        <v>59</v>
      </c>
      <c r="E160" t="s">
        <v>18</v>
      </c>
      <c r="F160" t="s">
        <v>27</v>
      </c>
      <c r="G160" t="s">
        <v>36</v>
      </c>
      <c r="H160" s="3">
        <v>55</v>
      </c>
      <c r="I160" s="8">
        <v>36644</v>
      </c>
      <c r="J160" s="4">
        <v>115798</v>
      </c>
      <c r="K160" s="1">
        <v>0.05</v>
      </c>
      <c r="L160" t="s">
        <v>21</v>
      </c>
      <c r="M160" t="s">
        <v>56</v>
      </c>
      <c r="O160" s="5">
        <f t="shared" si="2"/>
        <v>5789.9000000000005</v>
      </c>
      <c r="P160" s="6">
        <f>Table1[[#This Row],[Annual Salary]]+Table1[[#This Row],[Bonus Amount]]</f>
        <v>121587.9</v>
      </c>
      <c r="Q160" t="str">
        <f>IF(Table1[[#This Row],[Exit Date]]="", "Active","Exited")</f>
        <v>Active</v>
      </c>
      <c r="R160" s="2">
        <f ca="1">IFERROR(DATEDIF(Table1[[#This Row],[Hire Date]],IF(Table1[[#This Row],[Exit Date]]="",TODAY(),Table1[[#This Row],[Exit Date]]),"Y"),"")</f>
        <v>25</v>
      </c>
      <c r="S160" t="str" cm="1">
        <f t="array" ref="S160">_xlfn.IFS(Table1[[#This Row],[Age]]&lt;30,"Under 30",Table1[[#This Row],[Age]]&lt;=40,"30-40",Table1[[#This Row],[Age]]&lt;50,"41-50",TRUE,"50+")</f>
        <v>50+</v>
      </c>
    </row>
    <row r="161" spans="1:19" x14ac:dyDescent="0.35">
      <c r="A161" t="s">
        <v>246</v>
      </c>
      <c r="B161" t="s">
        <v>392</v>
      </c>
      <c r="C161" t="s">
        <v>143</v>
      </c>
      <c r="D161" t="s">
        <v>65</v>
      </c>
      <c r="E161" t="s">
        <v>18</v>
      </c>
      <c r="F161" t="s">
        <v>19</v>
      </c>
      <c r="G161" t="s">
        <v>28</v>
      </c>
      <c r="H161" s="3">
        <v>58</v>
      </c>
      <c r="I161" s="8">
        <v>34567</v>
      </c>
      <c r="J161" s="4">
        <v>93102</v>
      </c>
      <c r="K161" s="1">
        <v>0</v>
      </c>
      <c r="L161" t="s">
        <v>21</v>
      </c>
      <c r="M161" t="s">
        <v>22</v>
      </c>
      <c r="N161" s="7">
        <v>41621</v>
      </c>
      <c r="O161" s="5">
        <f t="shared" si="2"/>
        <v>0</v>
      </c>
      <c r="P161" s="6">
        <f>Table1[[#This Row],[Annual Salary]]+Table1[[#This Row],[Bonus Amount]]</f>
        <v>93102</v>
      </c>
      <c r="Q161" t="str">
        <f>IF(Table1[[#This Row],[Exit Date]]="", "Active","Exited")</f>
        <v>Exited</v>
      </c>
      <c r="R161" s="2">
        <f ca="1">IFERROR(DATEDIF(Table1[[#This Row],[Hire Date]],IF(Table1[[#This Row],[Exit Date]]="",TODAY(),Table1[[#This Row],[Exit Date]]),"Y"),"")</f>
        <v>19</v>
      </c>
      <c r="S161" t="str" cm="1">
        <f t="array" ref="S161">_xlfn.IFS(Table1[[#This Row],[Age]]&lt;30,"Under 30",Table1[[#This Row],[Age]]&lt;=40,"30-40",Table1[[#This Row],[Age]]&lt;50,"41-50",TRUE,"50+")</f>
        <v>50+</v>
      </c>
    </row>
    <row r="162" spans="1:19" x14ac:dyDescent="0.35">
      <c r="A162" t="s">
        <v>393</v>
      </c>
      <c r="B162" t="s">
        <v>394</v>
      </c>
      <c r="C162" t="s">
        <v>113</v>
      </c>
      <c r="D162" t="s">
        <v>69</v>
      </c>
      <c r="E162" t="s">
        <v>35</v>
      </c>
      <c r="F162" t="s">
        <v>27</v>
      </c>
      <c r="G162" t="s">
        <v>28</v>
      </c>
      <c r="H162" s="3">
        <v>34</v>
      </c>
      <c r="I162" s="8">
        <v>43055</v>
      </c>
      <c r="J162" s="4">
        <v>110054</v>
      </c>
      <c r="K162" s="1">
        <v>0.15</v>
      </c>
      <c r="L162" t="s">
        <v>21</v>
      </c>
      <c r="M162" t="s">
        <v>56</v>
      </c>
      <c r="O162" s="5">
        <f t="shared" si="2"/>
        <v>16508.099999999999</v>
      </c>
      <c r="P162" s="6">
        <f>Table1[[#This Row],[Annual Salary]]+Table1[[#This Row],[Bonus Amount]]</f>
        <v>126562.1</v>
      </c>
      <c r="Q162" t="str">
        <f>IF(Table1[[#This Row],[Exit Date]]="", "Active","Exited")</f>
        <v>Active</v>
      </c>
      <c r="R162" s="2">
        <f ca="1">IFERROR(DATEDIF(Table1[[#This Row],[Hire Date]],IF(Table1[[#This Row],[Exit Date]]="",TODAY(),Table1[[#This Row],[Exit Date]]),"Y"),"")</f>
        <v>8</v>
      </c>
      <c r="S162" t="str" cm="1">
        <f t="array" ref="S162">_xlfn.IFS(Table1[[#This Row],[Age]]&lt;30,"Under 30",Table1[[#This Row],[Age]]&lt;=40,"30-40",Table1[[#This Row],[Age]]&lt;50,"41-50",TRUE,"50+")</f>
        <v>30-40</v>
      </c>
    </row>
    <row r="163" spans="1:19" x14ac:dyDescent="0.35">
      <c r="A163" t="s">
        <v>395</v>
      </c>
      <c r="B163" t="s">
        <v>396</v>
      </c>
      <c r="C163" t="s">
        <v>108</v>
      </c>
      <c r="D163" t="s">
        <v>69</v>
      </c>
      <c r="E163" t="s">
        <v>18</v>
      </c>
      <c r="F163" t="s">
        <v>19</v>
      </c>
      <c r="G163" t="s">
        <v>20</v>
      </c>
      <c r="H163" s="3">
        <v>27</v>
      </c>
      <c r="I163" s="8">
        <v>44224</v>
      </c>
      <c r="J163" s="4">
        <v>95786</v>
      </c>
      <c r="K163" s="1">
        <v>0</v>
      </c>
      <c r="L163" t="s">
        <v>21</v>
      </c>
      <c r="M163" t="s">
        <v>37</v>
      </c>
      <c r="O163" s="5">
        <f t="shared" si="2"/>
        <v>0</v>
      </c>
      <c r="P163" s="6">
        <f>Table1[[#This Row],[Annual Salary]]+Table1[[#This Row],[Bonus Amount]]</f>
        <v>95786</v>
      </c>
      <c r="Q163" t="str">
        <f>IF(Table1[[#This Row],[Exit Date]]="", "Active","Exited")</f>
        <v>Active</v>
      </c>
      <c r="R163" s="2">
        <f ca="1">IFERROR(DATEDIF(Table1[[#This Row],[Hire Date]],IF(Table1[[#This Row],[Exit Date]]="",TODAY(),Table1[[#This Row],[Exit Date]]),"Y"),"")</f>
        <v>5</v>
      </c>
      <c r="S163" t="str" cm="1">
        <f t="array" ref="S163">_xlfn.IFS(Table1[[#This Row],[Age]]&lt;30,"Under 30",Table1[[#This Row],[Age]]&lt;=40,"30-40",Table1[[#This Row],[Age]]&lt;50,"41-50",TRUE,"50+")</f>
        <v>Under 30</v>
      </c>
    </row>
    <row r="164" spans="1:19" x14ac:dyDescent="0.35">
      <c r="A164" t="s">
        <v>397</v>
      </c>
      <c r="B164" t="s">
        <v>398</v>
      </c>
      <c r="C164" t="s">
        <v>43</v>
      </c>
      <c r="D164" t="s">
        <v>48</v>
      </c>
      <c r="E164" t="s">
        <v>35</v>
      </c>
      <c r="F164" t="s">
        <v>27</v>
      </c>
      <c r="G164" t="s">
        <v>85</v>
      </c>
      <c r="H164" s="3">
        <v>61</v>
      </c>
      <c r="I164" s="8">
        <v>42858</v>
      </c>
      <c r="J164" s="4">
        <v>90855</v>
      </c>
      <c r="K164" s="1">
        <v>0</v>
      </c>
      <c r="L164" t="s">
        <v>93</v>
      </c>
      <c r="M164" t="s">
        <v>218</v>
      </c>
      <c r="O164" s="5">
        <f t="shared" si="2"/>
        <v>0</v>
      </c>
      <c r="P164" s="6">
        <f>Table1[[#This Row],[Annual Salary]]+Table1[[#This Row],[Bonus Amount]]</f>
        <v>90855</v>
      </c>
      <c r="Q164" t="str">
        <f>IF(Table1[[#This Row],[Exit Date]]="", "Active","Exited")</f>
        <v>Active</v>
      </c>
      <c r="R164" s="2">
        <f ca="1">IFERROR(DATEDIF(Table1[[#This Row],[Hire Date]],IF(Table1[[#This Row],[Exit Date]]="",TODAY(),Table1[[#This Row],[Exit Date]]),"Y"),"")</f>
        <v>8</v>
      </c>
      <c r="S164" t="str" cm="1">
        <f t="array" ref="S164">_xlfn.IFS(Table1[[#This Row],[Age]]&lt;30,"Under 30",Table1[[#This Row],[Age]]&lt;=40,"30-40",Table1[[#This Row],[Age]]&lt;50,"41-50",TRUE,"50+")</f>
        <v>50+</v>
      </c>
    </row>
    <row r="165" spans="1:19" x14ac:dyDescent="0.35">
      <c r="A165" t="s">
        <v>399</v>
      </c>
      <c r="B165" t="s">
        <v>400</v>
      </c>
      <c r="C165" t="s">
        <v>131</v>
      </c>
      <c r="D165" t="s">
        <v>17</v>
      </c>
      <c r="E165" t="s">
        <v>26</v>
      </c>
      <c r="F165" t="s">
        <v>27</v>
      </c>
      <c r="G165" t="s">
        <v>85</v>
      </c>
      <c r="H165" s="3">
        <v>47</v>
      </c>
      <c r="I165" s="8">
        <v>36233</v>
      </c>
      <c r="J165" s="4">
        <v>92897</v>
      </c>
      <c r="K165" s="1">
        <v>0</v>
      </c>
      <c r="L165" t="s">
        <v>93</v>
      </c>
      <c r="M165" t="s">
        <v>218</v>
      </c>
      <c r="O165" s="5">
        <f t="shared" si="2"/>
        <v>0</v>
      </c>
      <c r="P165" s="6">
        <f>Table1[[#This Row],[Annual Salary]]+Table1[[#This Row],[Bonus Amount]]</f>
        <v>92897</v>
      </c>
      <c r="Q165" t="str">
        <f>IF(Table1[[#This Row],[Exit Date]]="", "Active","Exited")</f>
        <v>Active</v>
      </c>
      <c r="R165" s="2">
        <f ca="1">IFERROR(DATEDIF(Table1[[#This Row],[Hire Date]],IF(Table1[[#This Row],[Exit Date]]="",TODAY(),Table1[[#This Row],[Exit Date]]),"Y"),"")</f>
        <v>27</v>
      </c>
      <c r="S165" t="str" cm="1">
        <f t="array" ref="S165">_xlfn.IFS(Table1[[#This Row],[Age]]&lt;30,"Under 30",Table1[[#This Row],[Age]]&lt;=40,"30-40",Table1[[#This Row],[Age]]&lt;50,"41-50",TRUE,"50+")</f>
        <v>41-50</v>
      </c>
    </row>
    <row r="166" spans="1:19" x14ac:dyDescent="0.35">
      <c r="A166" t="s">
        <v>401</v>
      </c>
      <c r="B166" t="s">
        <v>402</v>
      </c>
      <c r="C166" t="s">
        <v>79</v>
      </c>
      <c r="D166" t="s">
        <v>80</v>
      </c>
      <c r="E166" t="s">
        <v>35</v>
      </c>
      <c r="F166" t="s">
        <v>27</v>
      </c>
      <c r="G166" t="s">
        <v>28</v>
      </c>
      <c r="H166" s="3">
        <v>40</v>
      </c>
      <c r="I166" s="8">
        <v>39872</v>
      </c>
      <c r="J166" s="4">
        <v>242919</v>
      </c>
      <c r="K166" s="1">
        <v>0.31</v>
      </c>
      <c r="L166" t="s">
        <v>29</v>
      </c>
      <c r="M166" t="s">
        <v>30</v>
      </c>
      <c r="O166" s="5">
        <f t="shared" si="2"/>
        <v>75304.89</v>
      </c>
      <c r="P166" s="6">
        <f>Table1[[#This Row],[Annual Salary]]+Table1[[#This Row],[Bonus Amount]]</f>
        <v>318223.89</v>
      </c>
      <c r="Q166" t="str">
        <f>IF(Table1[[#This Row],[Exit Date]]="", "Active","Exited")</f>
        <v>Active</v>
      </c>
      <c r="R166" s="2">
        <f ca="1">IFERROR(DATEDIF(Table1[[#This Row],[Hire Date]],IF(Table1[[#This Row],[Exit Date]]="",TODAY(),Table1[[#This Row],[Exit Date]]),"Y"),"")</f>
        <v>17</v>
      </c>
      <c r="S166" t="str" cm="1">
        <f t="array" ref="S166">_xlfn.IFS(Table1[[#This Row],[Age]]&lt;30,"Under 30",Table1[[#This Row],[Age]]&lt;=40,"30-40",Table1[[#This Row],[Age]]&lt;50,"41-50",TRUE,"50+")</f>
        <v>30-40</v>
      </c>
    </row>
    <row r="167" spans="1:19" x14ac:dyDescent="0.35">
      <c r="A167" t="s">
        <v>403</v>
      </c>
      <c r="B167" t="s">
        <v>404</v>
      </c>
      <c r="C167" t="s">
        <v>33</v>
      </c>
      <c r="D167" t="s">
        <v>69</v>
      </c>
      <c r="E167" t="s">
        <v>35</v>
      </c>
      <c r="F167" t="s">
        <v>27</v>
      </c>
      <c r="G167" t="s">
        <v>36</v>
      </c>
      <c r="H167" s="3">
        <v>30</v>
      </c>
      <c r="I167" s="8">
        <v>43240</v>
      </c>
      <c r="J167" s="4">
        <v>184368</v>
      </c>
      <c r="K167" s="1">
        <v>0.28999999999999998</v>
      </c>
      <c r="L167" t="s">
        <v>21</v>
      </c>
      <c r="M167" t="s">
        <v>60</v>
      </c>
      <c r="O167" s="5">
        <f t="shared" si="2"/>
        <v>53466.719999999994</v>
      </c>
      <c r="P167" s="6">
        <f>Table1[[#This Row],[Annual Salary]]+Table1[[#This Row],[Bonus Amount]]</f>
        <v>237834.72</v>
      </c>
      <c r="Q167" t="str">
        <f>IF(Table1[[#This Row],[Exit Date]]="", "Active","Exited")</f>
        <v>Active</v>
      </c>
      <c r="R167" s="2">
        <f ca="1">IFERROR(DATEDIF(Table1[[#This Row],[Hire Date]],IF(Table1[[#This Row],[Exit Date]]="",TODAY(),Table1[[#This Row],[Exit Date]]),"Y"),"")</f>
        <v>7</v>
      </c>
      <c r="S167" t="str" cm="1">
        <f t="array" ref="S167">_xlfn.IFS(Table1[[#This Row],[Age]]&lt;30,"Under 30",Table1[[#This Row],[Age]]&lt;=40,"30-40",Table1[[#This Row],[Age]]&lt;50,"41-50",TRUE,"50+")</f>
        <v>30-40</v>
      </c>
    </row>
    <row r="168" spans="1:19" x14ac:dyDescent="0.35">
      <c r="A168" t="s">
        <v>405</v>
      </c>
      <c r="B168" t="s">
        <v>406</v>
      </c>
      <c r="C168" t="s">
        <v>16</v>
      </c>
      <c r="D168" t="s">
        <v>34</v>
      </c>
      <c r="E168" t="s">
        <v>49</v>
      </c>
      <c r="F168" t="s">
        <v>27</v>
      </c>
      <c r="G168" t="s">
        <v>85</v>
      </c>
      <c r="H168" s="3">
        <v>45</v>
      </c>
      <c r="I168" s="8">
        <v>44554</v>
      </c>
      <c r="J168" s="4">
        <v>144754</v>
      </c>
      <c r="K168" s="1">
        <v>0.15</v>
      </c>
      <c r="L168" t="s">
        <v>21</v>
      </c>
      <c r="M168" t="s">
        <v>44</v>
      </c>
      <c r="O168" s="5">
        <f t="shared" si="2"/>
        <v>21713.1</v>
      </c>
      <c r="P168" s="6">
        <f>Table1[[#This Row],[Annual Salary]]+Table1[[#This Row],[Bonus Amount]]</f>
        <v>166467.1</v>
      </c>
      <c r="Q168" t="str">
        <f>IF(Table1[[#This Row],[Exit Date]]="", "Active","Exited")</f>
        <v>Active</v>
      </c>
      <c r="R168" s="2">
        <f ca="1">IFERROR(DATEDIF(Table1[[#This Row],[Hire Date]],IF(Table1[[#This Row],[Exit Date]]="",TODAY(),Table1[[#This Row],[Exit Date]]),"Y"),"")</f>
        <v>4</v>
      </c>
      <c r="S168" t="str" cm="1">
        <f t="array" ref="S168">_xlfn.IFS(Table1[[#This Row],[Age]]&lt;30,"Under 30",Table1[[#This Row],[Age]]&lt;=40,"30-40",Table1[[#This Row],[Age]]&lt;50,"41-50",TRUE,"50+")</f>
        <v>41-50</v>
      </c>
    </row>
    <row r="169" spans="1:19" x14ac:dyDescent="0.35">
      <c r="A169" t="s">
        <v>407</v>
      </c>
      <c r="B169" t="s">
        <v>408</v>
      </c>
      <c r="C169" t="s">
        <v>294</v>
      </c>
      <c r="D169" t="s">
        <v>48</v>
      </c>
      <c r="E169" t="s">
        <v>18</v>
      </c>
      <c r="F169" t="s">
        <v>19</v>
      </c>
      <c r="G169" t="s">
        <v>36</v>
      </c>
      <c r="H169" s="3">
        <v>30</v>
      </c>
      <c r="I169" s="8">
        <v>42722</v>
      </c>
      <c r="J169" s="4">
        <v>89458</v>
      </c>
      <c r="K169" s="1">
        <v>0</v>
      </c>
      <c r="L169" t="s">
        <v>21</v>
      </c>
      <c r="M169" t="s">
        <v>60</v>
      </c>
      <c r="O169" s="5">
        <f t="shared" si="2"/>
        <v>0</v>
      </c>
      <c r="P169" s="6">
        <f>Table1[[#This Row],[Annual Salary]]+Table1[[#This Row],[Bonus Amount]]</f>
        <v>89458</v>
      </c>
      <c r="Q169" t="str">
        <f>IF(Table1[[#This Row],[Exit Date]]="", "Active","Exited")</f>
        <v>Active</v>
      </c>
      <c r="R169" s="2">
        <f ca="1">IFERROR(DATEDIF(Table1[[#This Row],[Hire Date]],IF(Table1[[#This Row],[Exit Date]]="",TODAY(),Table1[[#This Row],[Exit Date]]),"Y"),"")</f>
        <v>9</v>
      </c>
      <c r="S169" t="str" cm="1">
        <f t="array" ref="S169">_xlfn.IFS(Table1[[#This Row],[Age]]&lt;30,"Under 30",Table1[[#This Row],[Age]]&lt;=40,"30-40",Table1[[#This Row],[Age]]&lt;50,"41-50",TRUE,"50+")</f>
        <v>30-40</v>
      </c>
    </row>
    <row r="170" spans="1:19" x14ac:dyDescent="0.35">
      <c r="A170" t="s">
        <v>409</v>
      </c>
      <c r="B170" t="s">
        <v>410</v>
      </c>
      <c r="C170" t="s">
        <v>79</v>
      </c>
      <c r="D170" t="s">
        <v>59</v>
      </c>
      <c r="E170" t="s">
        <v>49</v>
      </c>
      <c r="F170" t="s">
        <v>19</v>
      </c>
      <c r="G170" t="s">
        <v>28</v>
      </c>
      <c r="H170" s="3">
        <v>56</v>
      </c>
      <c r="I170" s="8">
        <v>41714</v>
      </c>
      <c r="J170" s="4">
        <v>190815</v>
      </c>
      <c r="K170" s="1">
        <v>0.4</v>
      </c>
      <c r="L170" t="s">
        <v>21</v>
      </c>
      <c r="M170" t="s">
        <v>60</v>
      </c>
      <c r="O170" s="5">
        <f t="shared" si="2"/>
        <v>76326</v>
      </c>
      <c r="P170" s="6">
        <f>Table1[[#This Row],[Annual Salary]]+Table1[[#This Row],[Bonus Amount]]</f>
        <v>267141</v>
      </c>
      <c r="Q170" t="str">
        <f>IF(Table1[[#This Row],[Exit Date]]="", "Active","Exited")</f>
        <v>Active</v>
      </c>
      <c r="R170" s="2">
        <f ca="1">IFERROR(DATEDIF(Table1[[#This Row],[Hire Date]],IF(Table1[[#This Row],[Exit Date]]="",TODAY(),Table1[[#This Row],[Exit Date]]),"Y"),"")</f>
        <v>12</v>
      </c>
      <c r="S170" t="str" cm="1">
        <f t="array" ref="S170">_xlfn.IFS(Table1[[#This Row],[Age]]&lt;30,"Under 30",Table1[[#This Row],[Age]]&lt;=40,"30-40",Table1[[#This Row],[Age]]&lt;50,"41-50",TRUE,"50+")</f>
        <v>50+</v>
      </c>
    </row>
    <row r="171" spans="1:19" x14ac:dyDescent="0.35">
      <c r="A171" t="s">
        <v>411</v>
      </c>
      <c r="B171" t="s">
        <v>200</v>
      </c>
      <c r="C171" t="s">
        <v>16</v>
      </c>
      <c r="D171" t="s">
        <v>48</v>
      </c>
      <c r="E171" t="s">
        <v>18</v>
      </c>
      <c r="F171" t="s">
        <v>19</v>
      </c>
      <c r="G171" t="s">
        <v>36</v>
      </c>
      <c r="H171" s="3">
        <v>62</v>
      </c>
      <c r="I171" s="8">
        <v>36374</v>
      </c>
      <c r="J171" s="4">
        <v>137995</v>
      </c>
      <c r="K171" s="1">
        <v>0.14000000000000001</v>
      </c>
      <c r="L171" t="s">
        <v>21</v>
      </c>
      <c r="M171" t="s">
        <v>60</v>
      </c>
      <c r="O171" s="5">
        <f t="shared" si="2"/>
        <v>19319.300000000003</v>
      </c>
      <c r="P171" s="6">
        <f>Table1[[#This Row],[Annual Salary]]+Table1[[#This Row],[Bonus Amount]]</f>
        <v>157314.29999999999</v>
      </c>
      <c r="Q171" t="str">
        <f>IF(Table1[[#This Row],[Exit Date]]="", "Active","Exited")</f>
        <v>Active</v>
      </c>
      <c r="R171" s="2">
        <f ca="1">IFERROR(DATEDIF(Table1[[#This Row],[Hire Date]],IF(Table1[[#This Row],[Exit Date]]="",TODAY(),Table1[[#This Row],[Exit Date]]),"Y"),"")</f>
        <v>26</v>
      </c>
      <c r="S171" t="str" cm="1">
        <f t="array" ref="S171">_xlfn.IFS(Table1[[#This Row],[Age]]&lt;30,"Under 30",Table1[[#This Row],[Age]]&lt;=40,"30-40",Table1[[#This Row],[Age]]&lt;50,"41-50",TRUE,"50+")</f>
        <v>50+</v>
      </c>
    </row>
    <row r="172" spans="1:19" x14ac:dyDescent="0.35">
      <c r="A172" t="s">
        <v>412</v>
      </c>
      <c r="B172" t="s">
        <v>413</v>
      </c>
      <c r="C172" t="s">
        <v>143</v>
      </c>
      <c r="D172" t="s">
        <v>65</v>
      </c>
      <c r="E172" t="s">
        <v>26</v>
      </c>
      <c r="F172" t="s">
        <v>19</v>
      </c>
      <c r="G172" t="s">
        <v>85</v>
      </c>
      <c r="H172" s="3">
        <v>45</v>
      </c>
      <c r="I172" s="8">
        <v>39437</v>
      </c>
      <c r="J172" s="4">
        <v>93840</v>
      </c>
      <c r="K172" s="1">
        <v>0</v>
      </c>
      <c r="L172" t="s">
        <v>93</v>
      </c>
      <c r="M172" t="s">
        <v>94</v>
      </c>
      <c r="O172" s="5">
        <f t="shared" si="2"/>
        <v>0</v>
      </c>
      <c r="P172" s="6">
        <f>Table1[[#This Row],[Annual Salary]]+Table1[[#This Row],[Bonus Amount]]</f>
        <v>93840</v>
      </c>
      <c r="Q172" t="str">
        <f>IF(Table1[[#This Row],[Exit Date]]="", "Active","Exited")</f>
        <v>Active</v>
      </c>
      <c r="R172" s="2">
        <f ca="1">IFERROR(DATEDIF(Table1[[#This Row],[Hire Date]],IF(Table1[[#This Row],[Exit Date]]="",TODAY(),Table1[[#This Row],[Exit Date]]),"Y"),"")</f>
        <v>18</v>
      </c>
      <c r="S172" t="str" cm="1">
        <f t="array" ref="S172">_xlfn.IFS(Table1[[#This Row],[Age]]&lt;30,"Under 30",Table1[[#This Row],[Age]]&lt;=40,"30-40",Table1[[#This Row],[Age]]&lt;50,"41-50",TRUE,"50+")</f>
        <v>41-50</v>
      </c>
    </row>
    <row r="173" spans="1:19" x14ac:dyDescent="0.35">
      <c r="A173" t="s">
        <v>414</v>
      </c>
      <c r="B173" t="s">
        <v>415</v>
      </c>
      <c r="C173" t="s">
        <v>25</v>
      </c>
      <c r="D173" t="s">
        <v>17</v>
      </c>
      <c r="E173" t="s">
        <v>18</v>
      </c>
      <c r="F173" t="s">
        <v>27</v>
      </c>
      <c r="G173" t="s">
        <v>28</v>
      </c>
      <c r="H173" s="3">
        <v>46</v>
      </c>
      <c r="I173" s="8">
        <v>44495</v>
      </c>
      <c r="J173" s="4">
        <v>94790</v>
      </c>
      <c r="K173" s="1">
        <v>0</v>
      </c>
      <c r="L173" t="s">
        <v>29</v>
      </c>
      <c r="M173" t="s">
        <v>30</v>
      </c>
      <c r="O173" s="5">
        <f t="shared" si="2"/>
        <v>0</v>
      </c>
      <c r="P173" s="6">
        <f>Table1[[#This Row],[Annual Salary]]+Table1[[#This Row],[Bonus Amount]]</f>
        <v>94790</v>
      </c>
      <c r="Q173" t="str">
        <f>IF(Table1[[#This Row],[Exit Date]]="", "Active","Exited")</f>
        <v>Active</v>
      </c>
      <c r="R173" s="2">
        <f ca="1">IFERROR(DATEDIF(Table1[[#This Row],[Hire Date]],IF(Table1[[#This Row],[Exit Date]]="",TODAY(),Table1[[#This Row],[Exit Date]]),"Y"),"")</f>
        <v>4</v>
      </c>
      <c r="S173" t="str" cm="1">
        <f t="array" ref="S173">_xlfn.IFS(Table1[[#This Row],[Age]]&lt;30,"Under 30",Table1[[#This Row],[Age]]&lt;=40,"30-40",Table1[[#This Row],[Age]]&lt;50,"41-50",TRUE,"50+")</f>
        <v>41-50</v>
      </c>
    </row>
    <row r="174" spans="1:19" x14ac:dyDescent="0.35">
      <c r="A174" t="s">
        <v>416</v>
      </c>
      <c r="B174" t="s">
        <v>417</v>
      </c>
      <c r="C174" t="s">
        <v>79</v>
      </c>
      <c r="D174" t="s">
        <v>65</v>
      </c>
      <c r="E174" t="s">
        <v>18</v>
      </c>
      <c r="F174" t="s">
        <v>27</v>
      </c>
      <c r="G174" t="s">
        <v>28</v>
      </c>
      <c r="H174" s="3">
        <v>48</v>
      </c>
      <c r="I174" s="8">
        <v>41706</v>
      </c>
      <c r="J174" s="4">
        <v>197367</v>
      </c>
      <c r="K174" s="1">
        <v>0.39</v>
      </c>
      <c r="L174" t="s">
        <v>21</v>
      </c>
      <c r="M174" t="s">
        <v>60</v>
      </c>
      <c r="O174" s="5">
        <f t="shared" si="2"/>
        <v>76973.13</v>
      </c>
      <c r="P174" s="6">
        <f>Table1[[#This Row],[Annual Salary]]+Table1[[#This Row],[Bonus Amount]]</f>
        <v>274340.13</v>
      </c>
      <c r="Q174" t="str">
        <f>IF(Table1[[#This Row],[Exit Date]]="", "Active","Exited")</f>
        <v>Active</v>
      </c>
      <c r="R174" s="2">
        <f ca="1">IFERROR(DATEDIF(Table1[[#This Row],[Hire Date]],IF(Table1[[#This Row],[Exit Date]]="",TODAY(),Table1[[#This Row],[Exit Date]]),"Y"),"")</f>
        <v>12</v>
      </c>
      <c r="S174" t="str" cm="1">
        <f t="array" ref="S174">_xlfn.IFS(Table1[[#This Row],[Age]]&lt;30,"Under 30",Table1[[#This Row],[Age]]&lt;=40,"30-40",Table1[[#This Row],[Age]]&lt;50,"41-50",TRUE,"50+")</f>
        <v>41-50</v>
      </c>
    </row>
    <row r="175" spans="1:19" x14ac:dyDescent="0.35">
      <c r="A175" t="s">
        <v>418</v>
      </c>
      <c r="B175" t="s">
        <v>419</v>
      </c>
      <c r="C175" t="s">
        <v>33</v>
      </c>
      <c r="D175" t="s">
        <v>59</v>
      </c>
      <c r="E175" t="s">
        <v>26</v>
      </c>
      <c r="F175" t="s">
        <v>19</v>
      </c>
      <c r="G175" t="s">
        <v>85</v>
      </c>
      <c r="H175" s="3">
        <v>27</v>
      </c>
      <c r="I175" s="8">
        <v>43276</v>
      </c>
      <c r="J175" s="4">
        <v>174097</v>
      </c>
      <c r="K175" s="1">
        <v>0.21</v>
      </c>
      <c r="L175" t="s">
        <v>21</v>
      </c>
      <c r="M175" t="s">
        <v>44</v>
      </c>
      <c r="O175" s="5">
        <f t="shared" si="2"/>
        <v>36560.369999999995</v>
      </c>
      <c r="P175" s="6">
        <f>Table1[[#This Row],[Annual Salary]]+Table1[[#This Row],[Bonus Amount]]</f>
        <v>210657.37</v>
      </c>
      <c r="Q175" t="str">
        <f>IF(Table1[[#This Row],[Exit Date]]="", "Active","Exited")</f>
        <v>Active</v>
      </c>
      <c r="R175" s="2">
        <f ca="1">IFERROR(DATEDIF(Table1[[#This Row],[Hire Date]],IF(Table1[[#This Row],[Exit Date]]="",TODAY(),Table1[[#This Row],[Exit Date]]),"Y"),"")</f>
        <v>7</v>
      </c>
      <c r="S175" t="str" cm="1">
        <f t="array" ref="S175">_xlfn.IFS(Table1[[#This Row],[Age]]&lt;30,"Under 30",Table1[[#This Row],[Age]]&lt;=40,"30-40",Table1[[#This Row],[Age]]&lt;50,"41-50",TRUE,"50+")</f>
        <v>Under 30</v>
      </c>
    </row>
    <row r="176" spans="1:19" x14ac:dyDescent="0.35">
      <c r="A176" t="s">
        <v>420</v>
      </c>
      <c r="B176" t="s">
        <v>421</v>
      </c>
      <c r="C176" t="s">
        <v>52</v>
      </c>
      <c r="D176" t="s">
        <v>17</v>
      </c>
      <c r="E176" t="s">
        <v>35</v>
      </c>
      <c r="F176" t="s">
        <v>27</v>
      </c>
      <c r="G176" t="s">
        <v>85</v>
      </c>
      <c r="H176" s="3">
        <v>53</v>
      </c>
      <c r="I176" s="8">
        <v>39021</v>
      </c>
      <c r="J176" s="4">
        <v>120128</v>
      </c>
      <c r="K176" s="1">
        <v>0.1</v>
      </c>
      <c r="L176" t="s">
        <v>21</v>
      </c>
      <c r="M176" t="s">
        <v>60</v>
      </c>
      <c r="O176" s="5">
        <f t="shared" si="2"/>
        <v>12012.800000000001</v>
      </c>
      <c r="P176" s="6">
        <f>Table1[[#This Row],[Annual Salary]]+Table1[[#This Row],[Bonus Amount]]</f>
        <v>132140.79999999999</v>
      </c>
      <c r="Q176" t="str">
        <f>IF(Table1[[#This Row],[Exit Date]]="", "Active","Exited")</f>
        <v>Active</v>
      </c>
      <c r="R176" s="2">
        <f ca="1">IFERROR(DATEDIF(Table1[[#This Row],[Hire Date]],IF(Table1[[#This Row],[Exit Date]]="",TODAY(),Table1[[#This Row],[Exit Date]]),"Y"),"")</f>
        <v>19</v>
      </c>
      <c r="S176" t="str" cm="1">
        <f t="array" ref="S176">_xlfn.IFS(Table1[[#This Row],[Age]]&lt;30,"Under 30",Table1[[#This Row],[Age]]&lt;=40,"30-40",Table1[[#This Row],[Age]]&lt;50,"41-50",TRUE,"50+")</f>
        <v>50+</v>
      </c>
    </row>
    <row r="177" spans="1:19" x14ac:dyDescent="0.35">
      <c r="A177" t="s">
        <v>422</v>
      </c>
      <c r="B177" t="s">
        <v>423</v>
      </c>
      <c r="C177" t="s">
        <v>52</v>
      </c>
      <c r="D177" t="s">
        <v>80</v>
      </c>
      <c r="E177" t="s">
        <v>26</v>
      </c>
      <c r="F177" t="s">
        <v>19</v>
      </c>
      <c r="G177" t="s">
        <v>36</v>
      </c>
      <c r="H177" s="3">
        <v>59</v>
      </c>
      <c r="I177" s="8">
        <v>39197</v>
      </c>
      <c r="J177" s="4">
        <v>129708</v>
      </c>
      <c r="K177" s="1">
        <v>0.05</v>
      </c>
      <c r="L177" t="s">
        <v>21</v>
      </c>
      <c r="M177" t="s">
        <v>56</v>
      </c>
      <c r="O177" s="5">
        <f t="shared" si="2"/>
        <v>6485.4000000000005</v>
      </c>
      <c r="P177" s="6">
        <f>Table1[[#This Row],[Annual Salary]]+Table1[[#This Row],[Bonus Amount]]</f>
        <v>136193.4</v>
      </c>
      <c r="Q177" t="str">
        <f>IF(Table1[[#This Row],[Exit Date]]="", "Active","Exited")</f>
        <v>Active</v>
      </c>
      <c r="R177" s="2">
        <f ca="1">IFERROR(DATEDIF(Table1[[#This Row],[Hire Date]],IF(Table1[[#This Row],[Exit Date]]="",TODAY(),Table1[[#This Row],[Exit Date]]),"Y"),"")</f>
        <v>18</v>
      </c>
      <c r="S177" t="str" cm="1">
        <f t="array" ref="S177">_xlfn.IFS(Table1[[#This Row],[Age]]&lt;30,"Under 30",Table1[[#This Row],[Age]]&lt;=40,"30-40",Table1[[#This Row],[Age]]&lt;50,"41-50",TRUE,"50+")</f>
        <v>50+</v>
      </c>
    </row>
    <row r="178" spans="1:19" x14ac:dyDescent="0.35">
      <c r="A178" t="s">
        <v>424</v>
      </c>
      <c r="B178" t="s">
        <v>425</v>
      </c>
      <c r="C178" t="s">
        <v>52</v>
      </c>
      <c r="D178" t="s">
        <v>80</v>
      </c>
      <c r="E178" t="s">
        <v>18</v>
      </c>
      <c r="F178" t="s">
        <v>27</v>
      </c>
      <c r="G178" t="s">
        <v>28</v>
      </c>
      <c r="H178" s="3">
        <v>55</v>
      </c>
      <c r="I178" s="8">
        <v>34595</v>
      </c>
      <c r="J178" s="4">
        <v>102270</v>
      </c>
      <c r="K178" s="1">
        <v>0.1</v>
      </c>
      <c r="L178" t="s">
        <v>21</v>
      </c>
      <c r="M178" t="s">
        <v>37</v>
      </c>
      <c r="O178" s="5">
        <f t="shared" si="2"/>
        <v>10227</v>
      </c>
      <c r="P178" s="6">
        <f>Table1[[#This Row],[Annual Salary]]+Table1[[#This Row],[Bonus Amount]]</f>
        <v>112497</v>
      </c>
      <c r="Q178" t="str">
        <f>IF(Table1[[#This Row],[Exit Date]]="", "Active","Exited")</f>
        <v>Active</v>
      </c>
      <c r="R178" s="2">
        <f ca="1">IFERROR(DATEDIF(Table1[[#This Row],[Hire Date]],IF(Table1[[#This Row],[Exit Date]]="",TODAY(),Table1[[#This Row],[Exit Date]]),"Y"),"")</f>
        <v>31</v>
      </c>
      <c r="S178" t="str" cm="1">
        <f t="array" ref="S178">_xlfn.IFS(Table1[[#This Row],[Age]]&lt;30,"Under 30",Table1[[#This Row],[Age]]&lt;=40,"30-40",Table1[[#This Row],[Age]]&lt;50,"41-50",TRUE,"50+")</f>
        <v>50+</v>
      </c>
    </row>
    <row r="179" spans="1:19" x14ac:dyDescent="0.35">
      <c r="A179" t="s">
        <v>426</v>
      </c>
      <c r="B179" t="s">
        <v>427</v>
      </c>
      <c r="C179" t="s">
        <v>79</v>
      </c>
      <c r="D179" t="s">
        <v>34</v>
      </c>
      <c r="E179" t="s">
        <v>35</v>
      </c>
      <c r="F179" t="s">
        <v>19</v>
      </c>
      <c r="G179" t="s">
        <v>28</v>
      </c>
      <c r="H179" s="3">
        <v>43</v>
      </c>
      <c r="I179" s="8">
        <v>38564</v>
      </c>
      <c r="J179" s="4">
        <v>249686</v>
      </c>
      <c r="K179" s="1">
        <v>0.31</v>
      </c>
      <c r="L179" t="s">
        <v>29</v>
      </c>
      <c r="M179" t="s">
        <v>30</v>
      </c>
      <c r="O179" s="5">
        <f t="shared" si="2"/>
        <v>77402.66</v>
      </c>
      <c r="P179" s="6">
        <f>Table1[[#This Row],[Annual Salary]]+Table1[[#This Row],[Bonus Amount]]</f>
        <v>327088.66000000003</v>
      </c>
      <c r="Q179" t="str">
        <f>IF(Table1[[#This Row],[Exit Date]]="", "Active","Exited")</f>
        <v>Active</v>
      </c>
      <c r="R179" s="2">
        <f ca="1">IFERROR(DATEDIF(Table1[[#This Row],[Hire Date]],IF(Table1[[#This Row],[Exit Date]]="",TODAY(),Table1[[#This Row],[Exit Date]]),"Y"),"")</f>
        <v>20</v>
      </c>
      <c r="S179" t="str" cm="1">
        <f t="array" ref="S179">_xlfn.IFS(Table1[[#This Row],[Age]]&lt;30,"Under 30",Table1[[#This Row],[Age]]&lt;=40,"30-40",Table1[[#This Row],[Age]]&lt;50,"41-50",TRUE,"50+")</f>
        <v>41-50</v>
      </c>
    </row>
    <row r="180" spans="1:19" x14ac:dyDescent="0.35">
      <c r="A180" t="s">
        <v>428</v>
      </c>
      <c r="B180" t="s">
        <v>429</v>
      </c>
      <c r="C180" t="s">
        <v>55</v>
      </c>
      <c r="D180" t="s">
        <v>34</v>
      </c>
      <c r="E180" t="s">
        <v>26</v>
      </c>
      <c r="F180" t="s">
        <v>19</v>
      </c>
      <c r="G180" t="s">
        <v>28</v>
      </c>
      <c r="H180" s="3">
        <v>55</v>
      </c>
      <c r="I180" s="8">
        <v>37343</v>
      </c>
      <c r="J180" s="4">
        <v>50475</v>
      </c>
      <c r="K180" s="1">
        <v>0</v>
      </c>
      <c r="L180" t="s">
        <v>21</v>
      </c>
      <c r="M180" t="s">
        <v>88</v>
      </c>
      <c r="O180" s="5">
        <f t="shared" si="2"/>
        <v>0</v>
      </c>
      <c r="P180" s="6">
        <f>Table1[[#This Row],[Annual Salary]]+Table1[[#This Row],[Bonus Amount]]</f>
        <v>50475</v>
      </c>
      <c r="Q180" t="str">
        <f>IF(Table1[[#This Row],[Exit Date]]="", "Active","Exited")</f>
        <v>Active</v>
      </c>
      <c r="R180" s="2">
        <f ca="1">IFERROR(DATEDIF(Table1[[#This Row],[Hire Date]],IF(Table1[[#This Row],[Exit Date]]="",TODAY(),Table1[[#This Row],[Exit Date]]),"Y"),"")</f>
        <v>23</v>
      </c>
      <c r="S180" t="str" cm="1">
        <f t="array" ref="S180">_xlfn.IFS(Table1[[#This Row],[Age]]&lt;30,"Under 30",Table1[[#This Row],[Age]]&lt;=40,"30-40",Table1[[#This Row],[Age]]&lt;50,"41-50",TRUE,"50+")</f>
        <v>50+</v>
      </c>
    </row>
    <row r="181" spans="1:19" x14ac:dyDescent="0.35">
      <c r="A181" t="s">
        <v>430</v>
      </c>
      <c r="B181" t="s">
        <v>431</v>
      </c>
      <c r="C181" t="s">
        <v>52</v>
      </c>
      <c r="D181" t="s">
        <v>80</v>
      </c>
      <c r="E181" t="s">
        <v>18</v>
      </c>
      <c r="F181" t="s">
        <v>27</v>
      </c>
      <c r="G181" t="s">
        <v>36</v>
      </c>
      <c r="H181" s="3">
        <v>51</v>
      </c>
      <c r="I181" s="8">
        <v>44014</v>
      </c>
      <c r="J181" s="4">
        <v>100099</v>
      </c>
      <c r="K181" s="1">
        <v>0.08</v>
      </c>
      <c r="L181" t="s">
        <v>21</v>
      </c>
      <c r="M181" t="s">
        <v>56</v>
      </c>
      <c r="O181" s="5">
        <f t="shared" si="2"/>
        <v>8007.92</v>
      </c>
      <c r="P181" s="6">
        <f>Table1[[#This Row],[Annual Salary]]+Table1[[#This Row],[Bonus Amount]]</f>
        <v>108106.92</v>
      </c>
      <c r="Q181" t="str">
        <f>IF(Table1[[#This Row],[Exit Date]]="", "Active","Exited")</f>
        <v>Active</v>
      </c>
      <c r="R181" s="2">
        <f ca="1">IFERROR(DATEDIF(Table1[[#This Row],[Hire Date]],IF(Table1[[#This Row],[Exit Date]]="",TODAY(),Table1[[#This Row],[Exit Date]]),"Y"),"")</f>
        <v>5</v>
      </c>
      <c r="S181" t="str" cm="1">
        <f t="array" ref="S181">_xlfn.IFS(Table1[[#This Row],[Age]]&lt;30,"Under 30",Table1[[#This Row],[Age]]&lt;=40,"30-40",Table1[[#This Row],[Age]]&lt;50,"41-50",TRUE,"50+")</f>
        <v>50+</v>
      </c>
    </row>
    <row r="182" spans="1:19" x14ac:dyDescent="0.35">
      <c r="A182" t="s">
        <v>432</v>
      </c>
      <c r="B182" t="s">
        <v>433</v>
      </c>
      <c r="C182" t="s">
        <v>119</v>
      </c>
      <c r="D182" t="s">
        <v>17</v>
      </c>
      <c r="E182" t="s">
        <v>26</v>
      </c>
      <c r="F182" t="s">
        <v>19</v>
      </c>
      <c r="G182" t="s">
        <v>36</v>
      </c>
      <c r="H182" s="3">
        <v>54</v>
      </c>
      <c r="I182" s="8">
        <v>42731</v>
      </c>
      <c r="J182" s="4">
        <v>41673</v>
      </c>
      <c r="K182" s="1">
        <v>0</v>
      </c>
      <c r="L182" t="s">
        <v>21</v>
      </c>
      <c r="M182" t="s">
        <v>56</v>
      </c>
      <c r="O182" s="5">
        <f t="shared" si="2"/>
        <v>0</v>
      </c>
      <c r="P182" s="6">
        <f>Table1[[#This Row],[Annual Salary]]+Table1[[#This Row],[Bonus Amount]]</f>
        <v>41673</v>
      </c>
      <c r="Q182" t="str">
        <f>IF(Table1[[#This Row],[Exit Date]]="", "Active","Exited")</f>
        <v>Active</v>
      </c>
      <c r="R182" s="2">
        <f ca="1">IFERROR(DATEDIF(Table1[[#This Row],[Hire Date]],IF(Table1[[#This Row],[Exit Date]]="",TODAY(),Table1[[#This Row],[Exit Date]]),"Y"),"")</f>
        <v>9</v>
      </c>
      <c r="S182" t="str" cm="1">
        <f t="array" ref="S182">_xlfn.IFS(Table1[[#This Row],[Age]]&lt;30,"Under 30",Table1[[#This Row],[Age]]&lt;=40,"30-40",Table1[[#This Row],[Age]]&lt;50,"41-50",TRUE,"50+")</f>
        <v>50+</v>
      </c>
    </row>
    <row r="183" spans="1:19" x14ac:dyDescent="0.35">
      <c r="A183" t="s">
        <v>434</v>
      </c>
      <c r="B183" t="s">
        <v>435</v>
      </c>
      <c r="C183" t="s">
        <v>43</v>
      </c>
      <c r="D183" t="s">
        <v>80</v>
      </c>
      <c r="E183" t="s">
        <v>35</v>
      </c>
      <c r="F183" t="s">
        <v>19</v>
      </c>
      <c r="G183" t="s">
        <v>28</v>
      </c>
      <c r="H183" s="3">
        <v>47</v>
      </c>
      <c r="I183" s="8">
        <v>42928</v>
      </c>
      <c r="J183" s="4">
        <v>70996</v>
      </c>
      <c r="K183" s="1">
        <v>0</v>
      </c>
      <c r="L183" t="s">
        <v>29</v>
      </c>
      <c r="M183" t="s">
        <v>134</v>
      </c>
      <c r="O183" s="5">
        <f t="shared" si="2"/>
        <v>0</v>
      </c>
      <c r="P183" s="6">
        <f>Table1[[#This Row],[Annual Salary]]+Table1[[#This Row],[Bonus Amount]]</f>
        <v>70996</v>
      </c>
      <c r="Q183" t="str">
        <f>IF(Table1[[#This Row],[Exit Date]]="", "Active","Exited")</f>
        <v>Active</v>
      </c>
      <c r="R183" s="2">
        <f ca="1">IFERROR(DATEDIF(Table1[[#This Row],[Hire Date]],IF(Table1[[#This Row],[Exit Date]]="",TODAY(),Table1[[#This Row],[Exit Date]]),"Y"),"")</f>
        <v>8</v>
      </c>
      <c r="S183" t="str" cm="1">
        <f t="array" ref="S183">_xlfn.IFS(Table1[[#This Row],[Age]]&lt;30,"Under 30",Table1[[#This Row],[Age]]&lt;=40,"30-40",Table1[[#This Row],[Age]]&lt;50,"41-50",TRUE,"50+")</f>
        <v>41-50</v>
      </c>
    </row>
    <row r="184" spans="1:19" x14ac:dyDescent="0.35">
      <c r="A184" t="s">
        <v>436</v>
      </c>
      <c r="B184" t="s">
        <v>437</v>
      </c>
      <c r="C184" t="s">
        <v>55</v>
      </c>
      <c r="D184" t="s">
        <v>80</v>
      </c>
      <c r="E184" t="s">
        <v>49</v>
      </c>
      <c r="F184" t="s">
        <v>27</v>
      </c>
      <c r="G184" t="s">
        <v>36</v>
      </c>
      <c r="H184" s="3">
        <v>55</v>
      </c>
      <c r="I184" s="8">
        <v>38328</v>
      </c>
      <c r="J184" s="4">
        <v>40752</v>
      </c>
      <c r="K184" s="1">
        <v>0</v>
      </c>
      <c r="L184" t="s">
        <v>21</v>
      </c>
      <c r="M184" t="s">
        <v>44</v>
      </c>
      <c r="O184" s="5">
        <f t="shared" si="2"/>
        <v>0</v>
      </c>
      <c r="P184" s="6">
        <f>Table1[[#This Row],[Annual Salary]]+Table1[[#This Row],[Bonus Amount]]</f>
        <v>40752</v>
      </c>
      <c r="Q184" t="str">
        <f>IF(Table1[[#This Row],[Exit Date]]="", "Active","Exited")</f>
        <v>Active</v>
      </c>
      <c r="R184" s="2">
        <f ca="1">IFERROR(DATEDIF(Table1[[#This Row],[Hire Date]],IF(Table1[[#This Row],[Exit Date]]="",TODAY(),Table1[[#This Row],[Exit Date]]),"Y"),"")</f>
        <v>21</v>
      </c>
      <c r="S184" t="str" cm="1">
        <f t="array" ref="S184">_xlfn.IFS(Table1[[#This Row],[Age]]&lt;30,"Under 30",Table1[[#This Row],[Age]]&lt;=40,"30-40",Table1[[#This Row],[Age]]&lt;50,"41-50",TRUE,"50+")</f>
        <v>50+</v>
      </c>
    </row>
    <row r="185" spans="1:19" x14ac:dyDescent="0.35">
      <c r="A185" t="s">
        <v>438</v>
      </c>
      <c r="B185" t="s">
        <v>439</v>
      </c>
      <c r="C185" t="s">
        <v>251</v>
      </c>
      <c r="D185" t="s">
        <v>17</v>
      </c>
      <c r="E185" t="s">
        <v>26</v>
      </c>
      <c r="F185" t="s">
        <v>19</v>
      </c>
      <c r="G185" t="s">
        <v>28</v>
      </c>
      <c r="H185" s="3">
        <v>50</v>
      </c>
      <c r="I185" s="8">
        <v>36914</v>
      </c>
      <c r="J185" s="4">
        <v>97537</v>
      </c>
      <c r="K185" s="1">
        <v>0</v>
      </c>
      <c r="L185" t="s">
        <v>29</v>
      </c>
      <c r="M185" t="s">
        <v>134</v>
      </c>
      <c r="O185" s="5">
        <f t="shared" si="2"/>
        <v>0</v>
      </c>
      <c r="P185" s="6">
        <f>Table1[[#This Row],[Annual Salary]]+Table1[[#This Row],[Bonus Amount]]</f>
        <v>97537</v>
      </c>
      <c r="Q185" t="str">
        <f>IF(Table1[[#This Row],[Exit Date]]="", "Active","Exited")</f>
        <v>Active</v>
      </c>
      <c r="R185" s="2">
        <f ca="1">IFERROR(DATEDIF(Table1[[#This Row],[Hire Date]],IF(Table1[[#This Row],[Exit Date]]="",TODAY(),Table1[[#This Row],[Exit Date]]),"Y"),"")</f>
        <v>25</v>
      </c>
      <c r="S185" t="str" cm="1">
        <f t="array" ref="S185">_xlfn.IFS(Table1[[#This Row],[Age]]&lt;30,"Under 30",Table1[[#This Row],[Age]]&lt;=40,"30-40",Table1[[#This Row],[Age]]&lt;50,"41-50",TRUE,"50+")</f>
        <v>50+</v>
      </c>
    </row>
    <row r="186" spans="1:19" x14ac:dyDescent="0.35">
      <c r="A186" t="s">
        <v>440</v>
      </c>
      <c r="B186" t="s">
        <v>441</v>
      </c>
      <c r="C186" t="s">
        <v>442</v>
      </c>
      <c r="D186" t="s">
        <v>17</v>
      </c>
      <c r="E186" t="s">
        <v>18</v>
      </c>
      <c r="F186" t="s">
        <v>27</v>
      </c>
      <c r="G186" t="s">
        <v>28</v>
      </c>
      <c r="H186" s="3">
        <v>31</v>
      </c>
      <c r="I186" s="8">
        <v>44086</v>
      </c>
      <c r="J186" s="4">
        <v>96567</v>
      </c>
      <c r="K186" s="1">
        <v>0</v>
      </c>
      <c r="L186" t="s">
        <v>29</v>
      </c>
      <c r="M186" t="s">
        <v>74</v>
      </c>
      <c r="O186" s="5">
        <f t="shared" si="2"/>
        <v>0</v>
      </c>
      <c r="P186" s="6">
        <f>Table1[[#This Row],[Annual Salary]]+Table1[[#This Row],[Bonus Amount]]</f>
        <v>96567</v>
      </c>
      <c r="Q186" t="str">
        <f>IF(Table1[[#This Row],[Exit Date]]="", "Active","Exited")</f>
        <v>Active</v>
      </c>
      <c r="R186" s="2">
        <f ca="1">IFERROR(DATEDIF(Table1[[#This Row],[Hire Date]],IF(Table1[[#This Row],[Exit Date]]="",TODAY(),Table1[[#This Row],[Exit Date]]),"Y"),"")</f>
        <v>5</v>
      </c>
      <c r="S186" t="str" cm="1">
        <f t="array" ref="S186">_xlfn.IFS(Table1[[#This Row],[Age]]&lt;30,"Under 30",Table1[[#This Row],[Age]]&lt;=40,"30-40",Table1[[#This Row],[Age]]&lt;50,"41-50",TRUE,"50+")</f>
        <v>30-40</v>
      </c>
    </row>
    <row r="187" spans="1:19" x14ac:dyDescent="0.35">
      <c r="A187" t="s">
        <v>100</v>
      </c>
      <c r="B187" t="s">
        <v>443</v>
      </c>
      <c r="C187" t="s">
        <v>330</v>
      </c>
      <c r="D187" t="s">
        <v>17</v>
      </c>
      <c r="E187" t="s">
        <v>35</v>
      </c>
      <c r="F187" t="s">
        <v>27</v>
      </c>
      <c r="G187" t="s">
        <v>28</v>
      </c>
      <c r="H187" s="3">
        <v>47</v>
      </c>
      <c r="I187" s="8">
        <v>36229</v>
      </c>
      <c r="J187" s="4">
        <v>49404</v>
      </c>
      <c r="K187" s="1">
        <v>0</v>
      </c>
      <c r="L187" t="s">
        <v>29</v>
      </c>
      <c r="M187" t="s">
        <v>114</v>
      </c>
      <c r="O187" s="5">
        <f t="shared" si="2"/>
        <v>0</v>
      </c>
      <c r="P187" s="6">
        <f>Table1[[#This Row],[Annual Salary]]+Table1[[#This Row],[Bonus Amount]]</f>
        <v>49404</v>
      </c>
      <c r="Q187" t="str">
        <f>IF(Table1[[#This Row],[Exit Date]]="", "Active","Exited")</f>
        <v>Active</v>
      </c>
      <c r="R187" s="2">
        <f ca="1">IFERROR(DATEDIF(Table1[[#This Row],[Hire Date]],IF(Table1[[#This Row],[Exit Date]]="",TODAY(),Table1[[#This Row],[Exit Date]]),"Y"),"")</f>
        <v>27</v>
      </c>
      <c r="S187" t="str" cm="1">
        <f t="array" ref="S187">_xlfn.IFS(Table1[[#This Row],[Age]]&lt;30,"Under 30",Table1[[#This Row],[Age]]&lt;=40,"30-40",Table1[[#This Row],[Age]]&lt;50,"41-50",TRUE,"50+")</f>
        <v>41-50</v>
      </c>
    </row>
    <row r="188" spans="1:19" x14ac:dyDescent="0.35">
      <c r="A188" t="s">
        <v>444</v>
      </c>
      <c r="B188" t="s">
        <v>445</v>
      </c>
      <c r="C188" t="s">
        <v>442</v>
      </c>
      <c r="D188" t="s">
        <v>17</v>
      </c>
      <c r="E188" t="s">
        <v>18</v>
      </c>
      <c r="F188" t="s">
        <v>27</v>
      </c>
      <c r="G188" t="s">
        <v>85</v>
      </c>
      <c r="H188" s="3">
        <v>29</v>
      </c>
      <c r="I188" s="8">
        <v>43753</v>
      </c>
      <c r="J188" s="4">
        <v>66819</v>
      </c>
      <c r="K188" s="1">
        <v>0</v>
      </c>
      <c r="L188" t="s">
        <v>93</v>
      </c>
      <c r="M188" t="s">
        <v>99</v>
      </c>
      <c r="O188" s="5">
        <f t="shared" si="2"/>
        <v>0</v>
      </c>
      <c r="P188" s="6">
        <f>Table1[[#This Row],[Annual Salary]]+Table1[[#This Row],[Bonus Amount]]</f>
        <v>66819</v>
      </c>
      <c r="Q188" t="str">
        <f>IF(Table1[[#This Row],[Exit Date]]="", "Active","Exited")</f>
        <v>Active</v>
      </c>
      <c r="R188" s="2">
        <f ca="1">IFERROR(DATEDIF(Table1[[#This Row],[Hire Date]],IF(Table1[[#This Row],[Exit Date]]="",TODAY(),Table1[[#This Row],[Exit Date]]),"Y"),"")</f>
        <v>6</v>
      </c>
      <c r="S188" t="str" cm="1">
        <f t="array" ref="S188">_xlfn.IFS(Table1[[#This Row],[Age]]&lt;30,"Under 30",Table1[[#This Row],[Age]]&lt;=40,"30-40",Table1[[#This Row],[Age]]&lt;50,"41-50",TRUE,"50+")</f>
        <v>Under 30</v>
      </c>
    </row>
    <row r="189" spans="1:19" x14ac:dyDescent="0.35">
      <c r="A189" t="s">
        <v>446</v>
      </c>
      <c r="B189" t="s">
        <v>447</v>
      </c>
      <c r="C189" t="s">
        <v>55</v>
      </c>
      <c r="D189" t="s">
        <v>80</v>
      </c>
      <c r="E189" t="s">
        <v>35</v>
      </c>
      <c r="F189" t="s">
        <v>27</v>
      </c>
      <c r="G189" t="s">
        <v>85</v>
      </c>
      <c r="H189" s="3">
        <v>38</v>
      </c>
      <c r="I189" s="8">
        <v>42492</v>
      </c>
      <c r="J189" s="4">
        <v>50784</v>
      </c>
      <c r="K189" s="1">
        <v>0</v>
      </c>
      <c r="L189" t="s">
        <v>93</v>
      </c>
      <c r="M189" t="s">
        <v>99</v>
      </c>
      <c r="O189" s="5">
        <f t="shared" si="2"/>
        <v>0</v>
      </c>
      <c r="P189" s="6">
        <f>Table1[[#This Row],[Annual Salary]]+Table1[[#This Row],[Bonus Amount]]</f>
        <v>50784</v>
      </c>
      <c r="Q189" t="str">
        <f>IF(Table1[[#This Row],[Exit Date]]="", "Active","Exited")</f>
        <v>Active</v>
      </c>
      <c r="R189" s="2">
        <f ca="1">IFERROR(DATEDIF(Table1[[#This Row],[Hire Date]],IF(Table1[[#This Row],[Exit Date]]="",TODAY(),Table1[[#This Row],[Exit Date]]),"Y"),"")</f>
        <v>9</v>
      </c>
      <c r="S189" t="str" cm="1">
        <f t="array" ref="S189">_xlfn.IFS(Table1[[#This Row],[Age]]&lt;30,"Under 30",Table1[[#This Row],[Age]]&lt;=40,"30-40",Table1[[#This Row],[Age]]&lt;50,"41-50",TRUE,"50+")</f>
        <v>30-40</v>
      </c>
    </row>
    <row r="190" spans="1:19" x14ac:dyDescent="0.35">
      <c r="A190" t="s">
        <v>448</v>
      </c>
      <c r="B190" t="s">
        <v>449</v>
      </c>
      <c r="C190" t="s">
        <v>16</v>
      </c>
      <c r="D190" t="s">
        <v>65</v>
      </c>
      <c r="E190" t="s">
        <v>18</v>
      </c>
      <c r="F190" t="s">
        <v>27</v>
      </c>
      <c r="G190" t="s">
        <v>85</v>
      </c>
      <c r="H190" s="3">
        <v>29</v>
      </c>
      <c r="I190" s="8">
        <v>43594</v>
      </c>
      <c r="J190" s="4">
        <v>125828</v>
      </c>
      <c r="K190" s="1">
        <v>0.15</v>
      </c>
      <c r="L190" t="s">
        <v>93</v>
      </c>
      <c r="M190" t="s">
        <v>218</v>
      </c>
      <c r="O190" s="5">
        <f t="shared" si="2"/>
        <v>18874.2</v>
      </c>
      <c r="P190" s="6">
        <f>Table1[[#This Row],[Annual Salary]]+Table1[[#This Row],[Bonus Amount]]</f>
        <v>144702.20000000001</v>
      </c>
      <c r="Q190" t="str">
        <f>IF(Table1[[#This Row],[Exit Date]]="", "Active","Exited")</f>
        <v>Active</v>
      </c>
      <c r="R190" s="2">
        <f ca="1">IFERROR(DATEDIF(Table1[[#This Row],[Hire Date]],IF(Table1[[#This Row],[Exit Date]]="",TODAY(),Table1[[#This Row],[Exit Date]]),"Y"),"")</f>
        <v>6</v>
      </c>
      <c r="S190" t="str" cm="1">
        <f t="array" ref="S190">_xlfn.IFS(Table1[[#This Row],[Age]]&lt;30,"Under 30",Table1[[#This Row],[Age]]&lt;=40,"30-40",Table1[[#This Row],[Age]]&lt;50,"41-50",TRUE,"50+")</f>
        <v>Under 30</v>
      </c>
    </row>
    <row r="191" spans="1:19" x14ac:dyDescent="0.35">
      <c r="A191" t="s">
        <v>450</v>
      </c>
      <c r="B191" t="s">
        <v>451</v>
      </c>
      <c r="C191" t="s">
        <v>143</v>
      </c>
      <c r="D191" t="s">
        <v>65</v>
      </c>
      <c r="E191" t="s">
        <v>26</v>
      </c>
      <c r="F191" t="s">
        <v>27</v>
      </c>
      <c r="G191" t="s">
        <v>36</v>
      </c>
      <c r="H191" s="3">
        <v>33</v>
      </c>
      <c r="I191" s="8">
        <v>42951</v>
      </c>
      <c r="J191" s="4">
        <v>92610</v>
      </c>
      <c r="K191" s="1">
        <v>0</v>
      </c>
      <c r="L191" t="s">
        <v>21</v>
      </c>
      <c r="M191" t="s">
        <v>88</v>
      </c>
      <c r="O191" s="5">
        <f t="shared" si="2"/>
        <v>0</v>
      </c>
      <c r="P191" s="6">
        <f>Table1[[#This Row],[Annual Salary]]+Table1[[#This Row],[Bonus Amount]]</f>
        <v>92610</v>
      </c>
      <c r="Q191" t="str">
        <f>IF(Table1[[#This Row],[Exit Date]]="", "Active","Exited")</f>
        <v>Active</v>
      </c>
      <c r="R191" s="2">
        <f ca="1">IFERROR(DATEDIF(Table1[[#This Row],[Hire Date]],IF(Table1[[#This Row],[Exit Date]]="",TODAY(),Table1[[#This Row],[Exit Date]]),"Y"),"")</f>
        <v>8</v>
      </c>
      <c r="S191" t="str" cm="1">
        <f t="array" ref="S191">_xlfn.IFS(Table1[[#This Row],[Age]]&lt;30,"Under 30",Table1[[#This Row],[Age]]&lt;=40,"30-40",Table1[[#This Row],[Age]]&lt;50,"41-50",TRUE,"50+")</f>
        <v>30-40</v>
      </c>
    </row>
    <row r="192" spans="1:19" x14ac:dyDescent="0.35">
      <c r="A192" t="s">
        <v>452</v>
      </c>
      <c r="B192" t="s">
        <v>453</v>
      </c>
      <c r="C192" t="s">
        <v>16</v>
      </c>
      <c r="D192" t="s">
        <v>48</v>
      </c>
      <c r="E192" t="s">
        <v>35</v>
      </c>
      <c r="F192" t="s">
        <v>27</v>
      </c>
      <c r="G192" t="s">
        <v>36</v>
      </c>
      <c r="H192" s="3">
        <v>50</v>
      </c>
      <c r="I192" s="8">
        <v>37705</v>
      </c>
      <c r="J192" s="4">
        <v>123405</v>
      </c>
      <c r="K192" s="1">
        <v>0.13</v>
      </c>
      <c r="L192" t="s">
        <v>21</v>
      </c>
      <c r="M192" t="s">
        <v>88</v>
      </c>
      <c r="O192" s="5">
        <f t="shared" si="2"/>
        <v>16042.650000000001</v>
      </c>
      <c r="P192" s="6">
        <f>Table1[[#This Row],[Annual Salary]]+Table1[[#This Row],[Bonus Amount]]</f>
        <v>139447.65</v>
      </c>
      <c r="Q192" t="str">
        <f>IF(Table1[[#This Row],[Exit Date]]="", "Active","Exited")</f>
        <v>Active</v>
      </c>
      <c r="R192" s="2">
        <f ca="1">IFERROR(DATEDIF(Table1[[#This Row],[Hire Date]],IF(Table1[[#This Row],[Exit Date]]="",TODAY(),Table1[[#This Row],[Exit Date]]),"Y"),"")</f>
        <v>22</v>
      </c>
      <c r="S192" t="str" cm="1">
        <f t="array" ref="S192">_xlfn.IFS(Table1[[#This Row],[Age]]&lt;30,"Under 30",Table1[[#This Row],[Age]]&lt;=40,"30-40",Table1[[#This Row],[Age]]&lt;50,"41-50",TRUE,"50+")</f>
        <v>50+</v>
      </c>
    </row>
    <row r="193" spans="1:19" x14ac:dyDescent="0.35">
      <c r="A193" t="s">
        <v>454</v>
      </c>
      <c r="B193" t="s">
        <v>455</v>
      </c>
      <c r="C193" t="s">
        <v>47</v>
      </c>
      <c r="D193" t="s">
        <v>48</v>
      </c>
      <c r="E193" t="s">
        <v>26</v>
      </c>
      <c r="F193" t="s">
        <v>19</v>
      </c>
      <c r="G193" t="s">
        <v>28</v>
      </c>
      <c r="H193" s="3">
        <v>46</v>
      </c>
      <c r="I193" s="8">
        <v>38066</v>
      </c>
      <c r="J193" s="4">
        <v>73004</v>
      </c>
      <c r="K193" s="1">
        <v>0</v>
      </c>
      <c r="L193" t="s">
        <v>29</v>
      </c>
      <c r="M193" t="s">
        <v>114</v>
      </c>
      <c r="O193" s="5">
        <f t="shared" si="2"/>
        <v>0</v>
      </c>
      <c r="P193" s="6">
        <f>Table1[[#This Row],[Annual Salary]]+Table1[[#This Row],[Bonus Amount]]</f>
        <v>73004</v>
      </c>
      <c r="Q193" t="str">
        <f>IF(Table1[[#This Row],[Exit Date]]="", "Active","Exited")</f>
        <v>Active</v>
      </c>
      <c r="R193" s="2">
        <f ca="1">IFERROR(DATEDIF(Table1[[#This Row],[Hire Date]],IF(Table1[[#This Row],[Exit Date]]="",TODAY(),Table1[[#This Row],[Exit Date]]),"Y"),"")</f>
        <v>22</v>
      </c>
      <c r="S193" t="str" cm="1">
        <f t="array" ref="S193">_xlfn.IFS(Table1[[#This Row],[Age]]&lt;30,"Under 30",Table1[[#This Row],[Age]]&lt;=40,"30-40",Table1[[#This Row],[Age]]&lt;50,"41-50",TRUE,"50+")</f>
        <v>41-50</v>
      </c>
    </row>
    <row r="194" spans="1:19" x14ac:dyDescent="0.35">
      <c r="A194" t="s">
        <v>456</v>
      </c>
      <c r="B194" t="s">
        <v>457</v>
      </c>
      <c r="C194" t="s">
        <v>113</v>
      </c>
      <c r="D194" t="s">
        <v>69</v>
      </c>
      <c r="E194" t="s">
        <v>49</v>
      </c>
      <c r="F194" t="s">
        <v>27</v>
      </c>
      <c r="G194" t="s">
        <v>28</v>
      </c>
      <c r="H194" s="3">
        <v>57</v>
      </c>
      <c r="I194" s="8">
        <v>36275</v>
      </c>
      <c r="J194" s="4">
        <v>95061</v>
      </c>
      <c r="K194" s="1">
        <v>0.1</v>
      </c>
      <c r="L194" t="s">
        <v>29</v>
      </c>
      <c r="M194" t="s">
        <v>74</v>
      </c>
      <c r="O194" s="5">
        <f t="shared" si="2"/>
        <v>9506.1</v>
      </c>
      <c r="P194" s="6">
        <f>Table1[[#This Row],[Annual Salary]]+Table1[[#This Row],[Bonus Amount]]</f>
        <v>104567.1</v>
      </c>
      <c r="Q194" t="str">
        <f>IF(Table1[[#This Row],[Exit Date]]="", "Active","Exited")</f>
        <v>Active</v>
      </c>
      <c r="R194" s="2">
        <f ca="1">IFERROR(DATEDIF(Table1[[#This Row],[Hire Date]],IF(Table1[[#This Row],[Exit Date]]="",TODAY(),Table1[[#This Row],[Exit Date]]),"Y"),"")</f>
        <v>26</v>
      </c>
      <c r="S194" t="str" cm="1">
        <f t="array" ref="S194">_xlfn.IFS(Table1[[#This Row],[Age]]&lt;30,"Under 30",Table1[[#This Row],[Age]]&lt;=40,"30-40",Table1[[#This Row],[Age]]&lt;50,"41-50",TRUE,"50+")</f>
        <v>50+</v>
      </c>
    </row>
    <row r="195" spans="1:19" x14ac:dyDescent="0.35">
      <c r="A195" t="s">
        <v>458</v>
      </c>
      <c r="B195" t="s">
        <v>459</v>
      </c>
      <c r="C195" t="s">
        <v>33</v>
      </c>
      <c r="D195" t="s">
        <v>48</v>
      </c>
      <c r="E195" t="s">
        <v>49</v>
      </c>
      <c r="F195" t="s">
        <v>19</v>
      </c>
      <c r="G195" t="s">
        <v>85</v>
      </c>
      <c r="H195" s="3">
        <v>49</v>
      </c>
      <c r="I195" s="8">
        <v>35887</v>
      </c>
      <c r="J195" s="4">
        <v>160832</v>
      </c>
      <c r="K195" s="1">
        <v>0.3</v>
      </c>
      <c r="L195" t="s">
        <v>21</v>
      </c>
      <c r="M195" t="s">
        <v>44</v>
      </c>
      <c r="O195" s="5">
        <f t="shared" ref="O195:O258" si="3">J195*K195</f>
        <v>48249.599999999999</v>
      </c>
      <c r="P195" s="6">
        <f>Table1[[#This Row],[Annual Salary]]+Table1[[#This Row],[Bonus Amount]]</f>
        <v>209081.60000000001</v>
      </c>
      <c r="Q195" t="str">
        <f>IF(Table1[[#This Row],[Exit Date]]="", "Active","Exited")</f>
        <v>Active</v>
      </c>
      <c r="R195" s="2">
        <f ca="1">IFERROR(DATEDIF(Table1[[#This Row],[Hire Date]],IF(Table1[[#This Row],[Exit Date]]="",TODAY(),Table1[[#This Row],[Exit Date]]),"Y"),"")</f>
        <v>27</v>
      </c>
      <c r="S195" t="str" cm="1">
        <f t="array" ref="S195">_xlfn.IFS(Table1[[#This Row],[Age]]&lt;30,"Under 30",Table1[[#This Row],[Age]]&lt;=40,"30-40",Table1[[#This Row],[Age]]&lt;50,"41-50",TRUE,"50+")</f>
        <v>41-50</v>
      </c>
    </row>
    <row r="196" spans="1:19" x14ac:dyDescent="0.35">
      <c r="A196" t="s">
        <v>460</v>
      </c>
      <c r="B196" t="s">
        <v>461</v>
      </c>
      <c r="C196" t="s">
        <v>462</v>
      </c>
      <c r="D196" t="s">
        <v>17</v>
      </c>
      <c r="E196" t="s">
        <v>26</v>
      </c>
      <c r="F196" t="s">
        <v>27</v>
      </c>
      <c r="G196" t="s">
        <v>20</v>
      </c>
      <c r="H196" s="3">
        <v>54</v>
      </c>
      <c r="I196" s="8">
        <v>40540</v>
      </c>
      <c r="J196" s="4">
        <v>64417</v>
      </c>
      <c r="K196" s="1">
        <v>0</v>
      </c>
      <c r="L196" t="s">
        <v>21</v>
      </c>
      <c r="M196" t="s">
        <v>88</v>
      </c>
      <c r="O196" s="5">
        <f t="shared" si="3"/>
        <v>0</v>
      </c>
      <c r="P196" s="6">
        <f>Table1[[#This Row],[Annual Salary]]+Table1[[#This Row],[Bonus Amount]]</f>
        <v>64417</v>
      </c>
      <c r="Q196" t="str">
        <f>IF(Table1[[#This Row],[Exit Date]]="", "Active","Exited")</f>
        <v>Active</v>
      </c>
      <c r="R196" s="2">
        <f ca="1">IFERROR(DATEDIF(Table1[[#This Row],[Hire Date]],IF(Table1[[#This Row],[Exit Date]]="",TODAY(),Table1[[#This Row],[Exit Date]]),"Y"),"")</f>
        <v>15</v>
      </c>
      <c r="S196" t="str" cm="1">
        <f t="array" ref="S196">_xlfn.IFS(Table1[[#This Row],[Age]]&lt;30,"Under 30",Table1[[#This Row],[Age]]&lt;=40,"30-40",Table1[[#This Row],[Age]]&lt;50,"41-50",TRUE,"50+")</f>
        <v>50+</v>
      </c>
    </row>
    <row r="197" spans="1:19" x14ac:dyDescent="0.35">
      <c r="A197" t="s">
        <v>463</v>
      </c>
      <c r="B197" t="s">
        <v>464</v>
      </c>
      <c r="C197" t="s">
        <v>52</v>
      </c>
      <c r="D197" t="s">
        <v>48</v>
      </c>
      <c r="E197" t="s">
        <v>49</v>
      </c>
      <c r="F197" t="s">
        <v>27</v>
      </c>
      <c r="G197" t="s">
        <v>28</v>
      </c>
      <c r="H197" s="3">
        <v>28</v>
      </c>
      <c r="I197" s="8">
        <v>44274</v>
      </c>
      <c r="J197" s="4">
        <v>127543</v>
      </c>
      <c r="K197" s="1">
        <v>0.06</v>
      </c>
      <c r="L197" t="s">
        <v>29</v>
      </c>
      <c r="M197" t="s">
        <v>74</v>
      </c>
      <c r="O197" s="5">
        <f t="shared" si="3"/>
        <v>7652.58</v>
      </c>
      <c r="P197" s="6">
        <f>Table1[[#This Row],[Annual Salary]]+Table1[[#This Row],[Bonus Amount]]</f>
        <v>135195.57999999999</v>
      </c>
      <c r="Q197" t="str">
        <f>IF(Table1[[#This Row],[Exit Date]]="", "Active","Exited")</f>
        <v>Active</v>
      </c>
      <c r="R197" s="2">
        <f ca="1">IFERROR(DATEDIF(Table1[[#This Row],[Hire Date]],IF(Table1[[#This Row],[Exit Date]]="",TODAY(),Table1[[#This Row],[Exit Date]]),"Y"),"")</f>
        <v>5</v>
      </c>
      <c r="S197" t="str" cm="1">
        <f t="array" ref="S197">_xlfn.IFS(Table1[[#This Row],[Age]]&lt;30,"Under 30",Table1[[#This Row],[Age]]&lt;=40,"30-40",Table1[[#This Row],[Age]]&lt;50,"41-50",TRUE,"50+")</f>
        <v>Under 30</v>
      </c>
    </row>
    <row r="198" spans="1:19" x14ac:dyDescent="0.35">
      <c r="A198" t="s">
        <v>465</v>
      </c>
      <c r="B198" t="s">
        <v>466</v>
      </c>
      <c r="C198" t="s">
        <v>55</v>
      </c>
      <c r="D198" t="s">
        <v>80</v>
      </c>
      <c r="E198" t="s">
        <v>26</v>
      </c>
      <c r="F198" t="s">
        <v>27</v>
      </c>
      <c r="G198" t="s">
        <v>85</v>
      </c>
      <c r="H198" s="3">
        <v>30</v>
      </c>
      <c r="I198" s="8">
        <v>43272</v>
      </c>
      <c r="J198" s="4">
        <v>56154</v>
      </c>
      <c r="K198" s="1">
        <v>0</v>
      </c>
      <c r="L198" t="s">
        <v>93</v>
      </c>
      <c r="M198" t="s">
        <v>218</v>
      </c>
      <c r="O198" s="5">
        <f t="shared" si="3"/>
        <v>0</v>
      </c>
      <c r="P198" s="6">
        <f>Table1[[#This Row],[Annual Salary]]+Table1[[#This Row],[Bonus Amount]]</f>
        <v>56154</v>
      </c>
      <c r="Q198" t="str">
        <f>IF(Table1[[#This Row],[Exit Date]]="", "Active","Exited")</f>
        <v>Active</v>
      </c>
      <c r="R198" s="2">
        <f ca="1">IFERROR(DATEDIF(Table1[[#This Row],[Hire Date]],IF(Table1[[#This Row],[Exit Date]]="",TODAY(),Table1[[#This Row],[Exit Date]]),"Y"),"")</f>
        <v>7</v>
      </c>
      <c r="S198" t="str" cm="1">
        <f t="array" ref="S198">_xlfn.IFS(Table1[[#This Row],[Age]]&lt;30,"Under 30",Table1[[#This Row],[Age]]&lt;=40,"30-40",Table1[[#This Row],[Age]]&lt;50,"41-50",TRUE,"50+")</f>
        <v>30-40</v>
      </c>
    </row>
    <row r="199" spans="1:19" x14ac:dyDescent="0.35">
      <c r="A199" t="s">
        <v>467</v>
      </c>
      <c r="B199" t="s">
        <v>468</v>
      </c>
      <c r="C199" t="s">
        <v>79</v>
      </c>
      <c r="D199" t="s">
        <v>48</v>
      </c>
      <c r="E199" t="s">
        <v>26</v>
      </c>
      <c r="F199" t="s">
        <v>19</v>
      </c>
      <c r="G199" t="s">
        <v>28</v>
      </c>
      <c r="H199" s="3">
        <v>36</v>
      </c>
      <c r="I199" s="8">
        <v>41692</v>
      </c>
      <c r="J199" s="4">
        <v>218530</v>
      </c>
      <c r="K199" s="1">
        <v>0.3</v>
      </c>
      <c r="L199" t="s">
        <v>29</v>
      </c>
      <c r="M199" t="s">
        <v>74</v>
      </c>
      <c r="O199" s="5">
        <f t="shared" si="3"/>
        <v>65559</v>
      </c>
      <c r="P199" s="6">
        <f>Table1[[#This Row],[Annual Salary]]+Table1[[#This Row],[Bonus Amount]]</f>
        <v>284089</v>
      </c>
      <c r="Q199" t="str">
        <f>IF(Table1[[#This Row],[Exit Date]]="", "Active","Exited")</f>
        <v>Active</v>
      </c>
      <c r="R199" s="2">
        <f ca="1">IFERROR(DATEDIF(Table1[[#This Row],[Hire Date]],IF(Table1[[#This Row],[Exit Date]]="",TODAY(),Table1[[#This Row],[Exit Date]]),"Y"),"")</f>
        <v>12</v>
      </c>
      <c r="S199" t="str" cm="1">
        <f t="array" ref="S199">_xlfn.IFS(Table1[[#This Row],[Age]]&lt;30,"Under 30",Table1[[#This Row],[Age]]&lt;=40,"30-40",Table1[[#This Row],[Age]]&lt;50,"41-50",TRUE,"50+")</f>
        <v>30-40</v>
      </c>
    </row>
    <row r="200" spans="1:19" x14ac:dyDescent="0.35">
      <c r="A200" t="s">
        <v>469</v>
      </c>
      <c r="B200" t="s">
        <v>470</v>
      </c>
      <c r="C200" t="s">
        <v>462</v>
      </c>
      <c r="D200" t="s">
        <v>17</v>
      </c>
      <c r="E200" t="s">
        <v>26</v>
      </c>
      <c r="F200" t="s">
        <v>19</v>
      </c>
      <c r="G200" t="s">
        <v>85</v>
      </c>
      <c r="H200" s="3">
        <v>36</v>
      </c>
      <c r="I200" s="8">
        <v>43818</v>
      </c>
      <c r="J200" s="4">
        <v>91954</v>
      </c>
      <c r="K200" s="1">
        <v>0</v>
      </c>
      <c r="L200" t="s">
        <v>21</v>
      </c>
      <c r="M200" t="s">
        <v>88</v>
      </c>
      <c r="O200" s="5">
        <f t="shared" si="3"/>
        <v>0</v>
      </c>
      <c r="P200" s="6">
        <f>Table1[[#This Row],[Annual Salary]]+Table1[[#This Row],[Bonus Amount]]</f>
        <v>91954</v>
      </c>
      <c r="Q200" t="str">
        <f>IF(Table1[[#This Row],[Exit Date]]="", "Active","Exited")</f>
        <v>Active</v>
      </c>
      <c r="R200" s="2">
        <f ca="1">IFERROR(DATEDIF(Table1[[#This Row],[Hire Date]],IF(Table1[[#This Row],[Exit Date]]="",TODAY(),Table1[[#This Row],[Exit Date]]),"Y"),"")</f>
        <v>6</v>
      </c>
      <c r="S200" t="str" cm="1">
        <f t="array" ref="S200">_xlfn.IFS(Table1[[#This Row],[Age]]&lt;30,"Under 30",Table1[[#This Row],[Age]]&lt;=40,"30-40",Table1[[#This Row],[Age]]&lt;50,"41-50",TRUE,"50+")</f>
        <v>30-40</v>
      </c>
    </row>
    <row r="201" spans="1:19" x14ac:dyDescent="0.35">
      <c r="A201" t="s">
        <v>471</v>
      </c>
      <c r="B201" t="s">
        <v>472</v>
      </c>
      <c r="C201" t="s">
        <v>79</v>
      </c>
      <c r="D201" t="s">
        <v>80</v>
      </c>
      <c r="E201" t="s">
        <v>49</v>
      </c>
      <c r="F201" t="s">
        <v>19</v>
      </c>
      <c r="G201" t="s">
        <v>20</v>
      </c>
      <c r="H201" s="3">
        <v>30</v>
      </c>
      <c r="I201" s="8">
        <v>42634</v>
      </c>
      <c r="J201" s="4">
        <v>221217</v>
      </c>
      <c r="K201" s="1">
        <v>0.32</v>
      </c>
      <c r="L201" t="s">
        <v>21</v>
      </c>
      <c r="M201" t="s">
        <v>88</v>
      </c>
      <c r="N201" s="7">
        <v>43003</v>
      </c>
      <c r="O201" s="5">
        <f t="shared" si="3"/>
        <v>70789.440000000002</v>
      </c>
      <c r="P201" s="6">
        <f>Table1[[#This Row],[Annual Salary]]+Table1[[#This Row],[Bonus Amount]]</f>
        <v>292006.44</v>
      </c>
      <c r="Q201" t="str">
        <f>IF(Table1[[#This Row],[Exit Date]]="", "Active","Exited")</f>
        <v>Exited</v>
      </c>
      <c r="R201" s="2">
        <f ca="1">IFERROR(DATEDIF(Table1[[#This Row],[Hire Date]],IF(Table1[[#This Row],[Exit Date]]="",TODAY(),Table1[[#This Row],[Exit Date]]),"Y"),"")</f>
        <v>1</v>
      </c>
      <c r="S201" t="str" cm="1">
        <f t="array" ref="S201">_xlfn.IFS(Table1[[#This Row],[Age]]&lt;30,"Under 30",Table1[[#This Row],[Age]]&lt;=40,"30-40",Table1[[#This Row],[Age]]&lt;50,"41-50",TRUE,"50+")</f>
        <v>30-40</v>
      </c>
    </row>
    <row r="202" spans="1:19" x14ac:dyDescent="0.35">
      <c r="A202" t="s">
        <v>473</v>
      </c>
      <c r="B202" t="s">
        <v>474</v>
      </c>
      <c r="C202" t="s">
        <v>299</v>
      </c>
      <c r="D202" t="s">
        <v>17</v>
      </c>
      <c r="E202" t="s">
        <v>26</v>
      </c>
      <c r="F202" t="s">
        <v>27</v>
      </c>
      <c r="G202" t="s">
        <v>85</v>
      </c>
      <c r="H202" s="3">
        <v>29</v>
      </c>
      <c r="I202" s="8">
        <v>42866</v>
      </c>
      <c r="J202" s="4">
        <v>87536</v>
      </c>
      <c r="K202" s="1">
        <v>0</v>
      </c>
      <c r="L202" t="s">
        <v>21</v>
      </c>
      <c r="M202" t="s">
        <v>22</v>
      </c>
      <c r="O202" s="5">
        <f t="shared" si="3"/>
        <v>0</v>
      </c>
      <c r="P202" s="6">
        <f>Table1[[#This Row],[Annual Salary]]+Table1[[#This Row],[Bonus Amount]]</f>
        <v>87536</v>
      </c>
      <c r="Q202" t="str">
        <f>IF(Table1[[#This Row],[Exit Date]]="", "Active","Exited")</f>
        <v>Active</v>
      </c>
      <c r="R202" s="2">
        <f ca="1">IFERROR(DATEDIF(Table1[[#This Row],[Hire Date]],IF(Table1[[#This Row],[Exit Date]]="",TODAY(),Table1[[#This Row],[Exit Date]]),"Y"),"")</f>
        <v>8</v>
      </c>
      <c r="S202" t="str" cm="1">
        <f t="array" ref="S202">_xlfn.IFS(Table1[[#This Row],[Age]]&lt;30,"Under 30",Table1[[#This Row],[Age]]&lt;=40,"30-40",Table1[[#This Row],[Age]]&lt;50,"41-50",TRUE,"50+")</f>
        <v>Under 30</v>
      </c>
    </row>
    <row r="203" spans="1:19" x14ac:dyDescent="0.35">
      <c r="A203" t="s">
        <v>475</v>
      </c>
      <c r="B203" t="s">
        <v>476</v>
      </c>
      <c r="C203" t="s">
        <v>55</v>
      </c>
      <c r="D203" t="s">
        <v>48</v>
      </c>
      <c r="E203" t="s">
        <v>49</v>
      </c>
      <c r="F203" t="s">
        <v>19</v>
      </c>
      <c r="G203" t="s">
        <v>85</v>
      </c>
      <c r="H203" s="3">
        <v>47</v>
      </c>
      <c r="I203" s="8">
        <v>42164</v>
      </c>
      <c r="J203" s="4">
        <v>41429</v>
      </c>
      <c r="K203" s="1">
        <v>0</v>
      </c>
      <c r="L203" t="s">
        <v>21</v>
      </c>
      <c r="M203" t="s">
        <v>22</v>
      </c>
      <c r="O203" s="5">
        <f t="shared" si="3"/>
        <v>0</v>
      </c>
      <c r="P203" s="6">
        <f>Table1[[#This Row],[Annual Salary]]+Table1[[#This Row],[Bonus Amount]]</f>
        <v>41429</v>
      </c>
      <c r="Q203" t="str">
        <f>IF(Table1[[#This Row],[Exit Date]]="", "Active","Exited")</f>
        <v>Active</v>
      </c>
      <c r="R203" s="2">
        <f ca="1">IFERROR(DATEDIF(Table1[[#This Row],[Hire Date]],IF(Table1[[#This Row],[Exit Date]]="",TODAY(),Table1[[#This Row],[Exit Date]]),"Y"),"")</f>
        <v>10</v>
      </c>
      <c r="S203" t="str" cm="1">
        <f t="array" ref="S203">_xlfn.IFS(Table1[[#This Row],[Age]]&lt;30,"Under 30",Table1[[#This Row],[Age]]&lt;=40,"30-40",Table1[[#This Row],[Age]]&lt;50,"41-50",TRUE,"50+")</f>
        <v>41-50</v>
      </c>
    </row>
    <row r="204" spans="1:19" x14ac:dyDescent="0.35">
      <c r="A204" t="s">
        <v>477</v>
      </c>
      <c r="B204" t="s">
        <v>478</v>
      </c>
      <c r="C204" t="s">
        <v>79</v>
      </c>
      <c r="D204" t="s">
        <v>69</v>
      </c>
      <c r="E204" t="s">
        <v>26</v>
      </c>
      <c r="F204" t="s">
        <v>27</v>
      </c>
      <c r="G204" t="s">
        <v>28</v>
      </c>
      <c r="H204" s="3">
        <v>35</v>
      </c>
      <c r="I204" s="8">
        <v>40826</v>
      </c>
      <c r="J204" s="4">
        <v>245482</v>
      </c>
      <c r="K204" s="1">
        <v>0.39</v>
      </c>
      <c r="L204" t="s">
        <v>21</v>
      </c>
      <c r="M204" t="s">
        <v>22</v>
      </c>
      <c r="O204" s="5">
        <f t="shared" si="3"/>
        <v>95737.98000000001</v>
      </c>
      <c r="P204" s="6">
        <f>Table1[[#This Row],[Annual Salary]]+Table1[[#This Row],[Bonus Amount]]</f>
        <v>341219.98</v>
      </c>
      <c r="Q204" t="str">
        <f>IF(Table1[[#This Row],[Exit Date]]="", "Active","Exited")</f>
        <v>Active</v>
      </c>
      <c r="R204" s="2">
        <f ca="1">IFERROR(DATEDIF(Table1[[#This Row],[Hire Date]],IF(Table1[[#This Row],[Exit Date]]="",TODAY(),Table1[[#This Row],[Exit Date]]),"Y"),"")</f>
        <v>14</v>
      </c>
      <c r="S204" t="str" cm="1">
        <f t="array" ref="S204">_xlfn.IFS(Table1[[#This Row],[Age]]&lt;30,"Under 30",Table1[[#This Row],[Age]]&lt;=40,"30-40",Table1[[#This Row],[Age]]&lt;50,"41-50",TRUE,"50+")</f>
        <v>30-40</v>
      </c>
    </row>
    <row r="205" spans="1:19" x14ac:dyDescent="0.35">
      <c r="A205" t="s">
        <v>479</v>
      </c>
      <c r="B205" t="s">
        <v>480</v>
      </c>
      <c r="C205" t="s">
        <v>277</v>
      </c>
      <c r="D205" t="s">
        <v>69</v>
      </c>
      <c r="E205" t="s">
        <v>26</v>
      </c>
      <c r="F205" t="s">
        <v>19</v>
      </c>
      <c r="G205" t="s">
        <v>36</v>
      </c>
      <c r="H205" s="3">
        <v>25</v>
      </c>
      <c r="I205" s="8">
        <v>43850</v>
      </c>
      <c r="J205" s="4">
        <v>71359</v>
      </c>
      <c r="K205" s="1">
        <v>0</v>
      </c>
      <c r="L205" t="s">
        <v>21</v>
      </c>
      <c r="M205" t="s">
        <v>44</v>
      </c>
      <c r="O205" s="5">
        <f t="shared" si="3"/>
        <v>0</v>
      </c>
      <c r="P205" s="6">
        <f>Table1[[#This Row],[Annual Salary]]+Table1[[#This Row],[Bonus Amount]]</f>
        <v>71359</v>
      </c>
      <c r="Q205" t="str">
        <f>IF(Table1[[#This Row],[Exit Date]]="", "Active","Exited")</f>
        <v>Active</v>
      </c>
      <c r="R205" s="2">
        <f ca="1">IFERROR(DATEDIF(Table1[[#This Row],[Hire Date]],IF(Table1[[#This Row],[Exit Date]]="",TODAY(),Table1[[#This Row],[Exit Date]]),"Y"),"")</f>
        <v>6</v>
      </c>
      <c r="S205" t="str" cm="1">
        <f t="array" ref="S205">_xlfn.IFS(Table1[[#This Row],[Age]]&lt;30,"Under 30",Table1[[#This Row],[Age]]&lt;=40,"30-40",Table1[[#This Row],[Age]]&lt;50,"41-50",TRUE,"50+")</f>
        <v>Under 30</v>
      </c>
    </row>
    <row r="206" spans="1:19" x14ac:dyDescent="0.35">
      <c r="A206" t="s">
        <v>481</v>
      </c>
      <c r="B206" t="s">
        <v>482</v>
      </c>
      <c r="C206" t="s">
        <v>33</v>
      </c>
      <c r="D206" t="s">
        <v>69</v>
      </c>
      <c r="E206" t="s">
        <v>35</v>
      </c>
      <c r="F206" t="s">
        <v>27</v>
      </c>
      <c r="G206" t="s">
        <v>28</v>
      </c>
      <c r="H206" s="3">
        <v>45</v>
      </c>
      <c r="I206" s="8">
        <v>41879</v>
      </c>
      <c r="J206" s="4">
        <v>183161</v>
      </c>
      <c r="K206" s="1">
        <v>0.22</v>
      </c>
      <c r="L206" t="s">
        <v>21</v>
      </c>
      <c r="M206" t="s">
        <v>56</v>
      </c>
      <c r="O206" s="5">
        <f t="shared" si="3"/>
        <v>40295.42</v>
      </c>
      <c r="P206" s="6">
        <f>Table1[[#This Row],[Annual Salary]]+Table1[[#This Row],[Bonus Amount]]</f>
        <v>223456.41999999998</v>
      </c>
      <c r="Q206" t="str">
        <f>IF(Table1[[#This Row],[Exit Date]]="", "Active","Exited")</f>
        <v>Active</v>
      </c>
      <c r="R206" s="2">
        <f ca="1">IFERROR(DATEDIF(Table1[[#This Row],[Hire Date]],IF(Table1[[#This Row],[Exit Date]]="",TODAY(),Table1[[#This Row],[Exit Date]]),"Y"),"")</f>
        <v>11</v>
      </c>
      <c r="S206" t="str" cm="1">
        <f t="array" ref="S206">_xlfn.IFS(Table1[[#This Row],[Age]]&lt;30,"Under 30",Table1[[#This Row],[Age]]&lt;=40,"30-40",Table1[[#This Row],[Age]]&lt;50,"41-50",TRUE,"50+")</f>
        <v>41-50</v>
      </c>
    </row>
    <row r="207" spans="1:19" x14ac:dyDescent="0.35">
      <c r="A207" t="s">
        <v>483</v>
      </c>
      <c r="B207" t="s">
        <v>484</v>
      </c>
      <c r="C207" t="s">
        <v>485</v>
      </c>
      <c r="D207" t="s">
        <v>17</v>
      </c>
      <c r="E207" t="s">
        <v>49</v>
      </c>
      <c r="F207" t="s">
        <v>27</v>
      </c>
      <c r="G207" t="s">
        <v>36</v>
      </c>
      <c r="H207" s="3">
        <v>58</v>
      </c>
      <c r="I207" s="8">
        <v>34176</v>
      </c>
      <c r="J207" s="4">
        <v>69260</v>
      </c>
      <c r="K207" s="1">
        <v>0</v>
      </c>
      <c r="L207" t="s">
        <v>21</v>
      </c>
      <c r="M207" t="s">
        <v>44</v>
      </c>
      <c r="O207" s="5">
        <f t="shared" si="3"/>
        <v>0</v>
      </c>
      <c r="P207" s="6">
        <f>Table1[[#This Row],[Annual Salary]]+Table1[[#This Row],[Bonus Amount]]</f>
        <v>69260</v>
      </c>
      <c r="Q207" t="str">
        <f>IF(Table1[[#This Row],[Exit Date]]="", "Active","Exited")</f>
        <v>Active</v>
      </c>
      <c r="R207" s="2">
        <f ca="1">IFERROR(DATEDIF(Table1[[#This Row],[Hire Date]],IF(Table1[[#This Row],[Exit Date]]="",TODAY(),Table1[[#This Row],[Exit Date]]),"Y"),"")</f>
        <v>32</v>
      </c>
      <c r="S207" t="str" cm="1">
        <f t="array" ref="S207">_xlfn.IFS(Table1[[#This Row],[Age]]&lt;30,"Under 30",Table1[[#This Row],[Age]]&lt;=40,"30-40",Table1[[#This Row],[Age]]&lt;50,"41-50",TRUE,"50+")</f>
        <v>50+</v>
      </c>
    </row>
    <row r="208" spans="1:19" x14ac:dyDescent="0.35">
      <c r="A208" t="s">
        <v>486</v>
      </c>
      <c r="B208" t="s">
        <v>487</v>
      </c>
      <c r="C208" t="s">
        <v>181</v>
      </c>
      <c r="D208" t="s">
        <v>69</v>
      </c>
      <c r="E208" t="s">
        <v>35</v>
      </c>
      <c r="F208" t="s">
        <v>27</v>
      </c>
      <c r="G208" t="s">
        <v>36</v>
      </c>
      <c r="H208" s="3">
        <v>51</v>
      </c>
      <c r="I208" s="8">
        <v>36442</v>
      </c>
      <c r="J208" s="4">
        <v>95639</v>
      </c>
      <c r="K208" s="1">
        <v>0</v>
      </c>
      <c r="L208" t="s">
        <v>21</v>
      </c>
      <c r="M208" t="s">
        <v>60</v>
      </c>
      <c r="O208" s="5">
        <f t="shared" si="3"/>
        <v>0</v>
      </c>
      <c r="P208" s="6">
        <f>Table1[[#This Row],[Annual Salary]]+Table1[[#This Row],[Bonus Amount]]</f>
        <v>95639</v>
      </c>
      <c r="Q208" t="str">
        <f>IF(Table1[[#This Row],[Exit Date]]="", "Active","Exited")</f>
        <v>Active</v>
      </c>
      <c r="R208" s="2">
        <f ca="1">IFERROR(DATEDIF(Table1[[#This Row],[Hire Date]],IF(Table1[[#This Row],[Exit Date]]="",TODAY(),Table1[[#This Row],[Exit Date]]),"Y"),"")</f>
        <v>26</v>
      </c>
      <c r="S208" t="str" cm="1">
        <f t="array" ref="S208">_xlfn.IFS(Table1[[#This Row],[Age]]&lt;30,"Under 30",Table1[[#This Row],[Age]]&lt;=40,"30-40",Table1[[#This Row],[Age]]&lt;50,"41-50",TRUE,"50+")</f>
        <v>50+</v>
      </c>
    </row>
    <row r="209" spans="1:19" x14ac:dyDescent="0.35">
      <c r="A209" t="s">
        <v>488</v>
      </c>
      <c r="B209" t="s">
        <v>489</v>
      </c>
      <c r="C209" t="s">
        <v>52</v>
      </c>
      <c r="D209" t="s">
        <v>65</v>
      </c>
      <c r="E209" t="s">
        <v>18</v>
      </c>
      <c r="F209" t="s">
        <v>27</v>
      </c>
      <c r="G209" t="s">
        <v>28</v>
      </c>
      <c r="H209" s="3">
        <v>48</v>
      </c>
      <c r="I209" s="8">
        <v>38168</v>
      </c>
      <c r="J209" s="4">
        <v>120660</v>
      </c>
      <c r="K209" s="1">
        <v>7.0000000000000007E-2</v>
      </c>
      <c r="L209" t="s">
        <v>29</v>
      </c>
      <c r="M209" t="s">
        <v>134</v>
      </c>
      <c r="O209" s="5">
        <f t="shared" si="3"/>
        <v>8446.2000000000007</v>
      </c>
      <c r="P209" s="6">
        <f>Table1[[#This Row],[Annual Salary]]+Table1[[#This Row],[Bonus Amount]]</f>
        <v>129106.2</v>
      </c>
      <c r="Q209" t="str">
        <f>IF(Table1[[#This Row],[Exit Date]]="", "Active","Exited")</f>
        <v>Active</v>
      </c>
      <c r="R209" s="2">
        <f ca="1">IFERROR(DATEDIF(Table1[[#This Row],[Hire Date]],IF(Table1[[#This Row],[Exit Date]]="",TODAY(),Table1[[#This Row],[Exit Date]]),"Y"),"")</f>
        <v>21</v>
      </c>
      <c r="S209" t="str" cm="1">
        <f t="array" ref="S209">_xlfn.IFS(Table1[[#This Row],[Age]]&lt;30,"Under 30",Table1[[#This Row],[Age]]&lt;=40,"30-40",Table1[[#This Row],[Age]]&lt;50,"41-50",TRUE,"50+")</f>
        <v>41-50</v>
      </c>
    </row>
    <row r="210" spans="1:19" x14ac:dyDescent="0.35">
      <c r="A210" t="s">
        <v>490</v>
      </c>
      <c r="B210" t="s">
        <v>491</v>
      </c>
      <c r="C210" t="s">
        <v>43</v>
      </c>
      <c r="D210" t="s">
        <v>48</v>
      </c>
      <c r="E210" t="s">
        <v>49</v>
      </c>
      <c r="F210" t="s">
        <v>27</v>
      </c>
      <c r="G210" t="s">
        <v>20</v>
      </c>
      <c r="H210" s="3">
        <v>36</v>
      </c>
      <c r="I210" s="8">
        <v>44556</v>
      </c>
      <c r="J210" s="4">
        <v>75119</v>
      </c>
      <c r="K210" s="1">
        <v>0</v>
      </c>
      <c r="L210" t="s">
        <v>21</v>
      </c>
      <c r="M210" t="s">
        <v>37</v>
      </c>
      <c r="O210" s="5">
        <f t="shared" si="3"/>
        <v>0</v>
      </c>
      <c r="P210" s="6">
        <f>Table1[[#This Row],[Annual Salary]]+Table1[[#This Row],[Bonus Amount]]</f>
        <v>75119</v>
      </c>
      <c r="Q210" t="str">
        <f>IF(Table1[[#This Row],[Exit Date]]="", "Active","Exited")</f>
        <v>Active</v>
      </c>
      <c r="R210" s="2">
        <f ca="1">IFERROR(DATEDIF(Table1[[#This Row],[Hire Date]],IF(Table1[[#This Row],[Exit Date]]="",TODAY(),Table1[[#This Row],[Exit Date]]),"Y"),"")</f>
        <v>4</v>
      </c>
      <c r="S210" t="str" cm="1">
        <f t="array" ref="S210">_xlfn.IFS(Table1[[#This Row],[Age]]&lt;30,"Under 30",Table1[[#This Row],[Age]]&lt;=40,"30-40",Table1[[#This Row],[Age]]&lt;50,"41-50",TRUE,"50+")</f>
        <v>30-40</v>
      </c>
    </row>
    <row r="211" spans="1:19" x14ac:dyDescent="0.35">
      <c r="A211" t="s">
        <v>492</v>
      </c>
      <c r="B211" t="s">
        <v>493</v>
      </c>
      <c r="C211" t="s">
        <v>79</v>
      </c>
      <c r="D211" t="s">
        <v>59</v>
      </c>
      <c r="E211" t="s">
        <v>18</v>
      </c>
      <c r="F211" t="s">
        <v>27</v>
      </c>
      <c r="G211" t="s">
        <v>28</v>
      </c>
      <c r="H211" s="3">
        <v>59</v>
      </c>
      <c r="I211" s="8">
        <v>40681</v>
      </c>
      <c r="J211" s="4">
        <v>192213</v>
      </c>
      <c r="K211" s="1">
        <v>0.4</v>
      </c>
      <c r="L211" t="s">
        <v>21</v>
      </c>
      <c r="M211" t="s">
        <v>37</v>
      </c>
      <c r="O211" s="5">
        <f t="shared" si="3"/>
        <v>76885.2</v>
      </c>
      <c r="P211" s="6">
        <f>Table1[[#This Row],[Annual Salary]]+Table1[[#This Row],[Bonus Amount]]</f>
        <v>269098.2</v>
      </c>
      <c r="Q211" t="str">
        <f>IF(Table1[[#This Row],[Exit Date]]="", "Active","Exited")</f>
        <v>Active</v>
      </c>
      <c r="R211" s="2">
        <f ca="1">IFERROR(DATEDIF(Table1[[#This Row],[Hire Date]],IF(Table1[[#This Row],[Exit Date]]="",TODAY(),Table1[[#This Row],[Exit Date]]),"Y"),"")</f>
        <v>14</v>
      </c>
      <c r="S211" t="str" cm="1">
        <f t="array" ref="S211">_xlfn.IFS(Table1[[#This Row],[Age]]&lt;30,"Under 30",Table1[[#This Row],[Age]]&lt;=40,"30-40",Table1[[#This Row],[Age]]&lt;50,"41-50",TRUE,"50+")</f>
        <v>50+</v>
      </c>
    </row>
    <row r="212" spans="1:19" x14ac:dyDescent="0.35">
      <c r="A212" t="s">
        <v>494</v>
      </c>
      <c r="B212" t="s">
        <v>495</v>
      </c>
      <c r="C212" t="s">
        <v>47</v>
      </c>
      <c r="D212" t="s">
        <v>48</v>
      </c>
      <c r="E212" t="s">
        <v>35</v>
      </c>
      <c r="F212" t="s">
        <v>19</v>
      </c>
      <c r="G212" t="s">
        <v>85</v>
      </c>
      <c r="H212" s="3">
        <v>45</v>
      </c>
      <c r="I212" s="8">
        <v>41769</v>
      </c>
      <c r="J212" s="4">
        <v>65047</v>
      </c>
      <c r="K212" s="1">
        <v>0</v>
      </c>
      <c r="L212" t="s">
        <v>93</v>
      </c>
      <c r="M212" t="s">
        <v>218</v>
      </c>
      <c r="O212" s="5">
        <f t="shared" si="3"/>
        <v>0</v>
      </c>
      <c r="P212" s="6">
        <f>Table1[[#This Row],[Annual Salary]]+Table1[[#This Row],[Bonus Amount]]</f>
        <v>65047</v>
      </c>
      <c r="Q212" t="str">
        <f>IF(Table1[[#This Row],[Exit Date]]="", "Active","Exited")</f>
        <v>Active</v>
      </c>
      <c r="R212" s="2">
        <f ca="1">IFERROR(DATEDIF(Table1[[#This Row],[Hire Date]],IF(Table1[[#This Row],[Exit Date]]="",TODAY(),Table1[[#This Row],[Exit Date]]),"Y"),"")</f>
        <v>11</v>
      </c>
      <c r="S212" t="str" cm="1">
        <f t="array" ref="S212">_xlfn.IFS(Table1[[#This Row],[Age]]&lt;30,"Under 30",Table1[[#This Row],[Age]]&lt;=40,"30-40",Table1[[#This Row],[Age]]&lt;50,"41-50",TRUE,"50+")</f>
        <v>41-50</v>
      </c>
    </row>
    <row r="213" spans="1:19" x14ac:dyDescent="0.35">
      <c r="A213" t="s">
        <v>496</v>
      </c>
      <c r="B213" t="s">
        <v>497</v>
      </c>
      <c r="C213" t="s">
        <v>16</v>
      </c>
      <c r="D213" t="s">
        <v>48</v>
      </c>
      <c r="E213" t="s">
        <v>26</v>
      </c>
      <c r="F213" t="s">
        <v>27</v>
      </c>
      <c r="G213" t="s">
        <v>36</v>
      </c>
      <c r="H213" s="3">
        <v>29</v>
      </c>
      <c r="I213" s="8">
        <v>42810</v>
      </c>
      <c r="J213" s="4">
        <v>151413</v>
      </c>
      <c r="K213" s="1">
        <v>0.15</v>
      </c>
      <c r="L213" t="s">
        <v>21</v>
      </c>
      <c r="M213" t="s">
        <v>22</v>
      </c>
      <c r="O213" s="5">
        <f t="shared" si="3"/>
        <v>22711.95</v>
      </c>
      <c r="P213" s="6">
        <f>Table1[[#This Row],[Annual Salary]]+Table1[[#This Row],[Bonus Amount]]</f>
        <v>174124.95</v>
      </c>
      <c r="Q213" t="str">
        <f>IF(Table1[[#This Row],[Exit Date]]="", "Active","Exited")</f>
        <v>Active</v>
      </c>
      <c r="R213" s="2">
        <f ca="1">IFERROR(DATEDIF(Table1[[#This Row],[Hire Date]],IF(Table1[[#This Row],[Exit Date]]="",TODAY(),Table1[[#This Row],[Exit Date]]),"Y"),"")</f>
        <v>9</v>
      </c>
      <c r="S213" t="str" cm="1">
        <f t="array" ref="S213">_xlfn.IFS(Table1[[#This Row],[Age]]&lt;30,"Under 30",Table1[[#This Row],[Age]]&lt;=40,"30-40",Table1[[#This Row],[Age]]&lt;50,"41-50",TRUE,"50+")</f>
        <v>Under 30</v>
      </c>
    </row>
    <row r="214" spans="1:19" x14ac:dyDescent="0.35">
      <c r="A214" t="s">
        <v>498</v>
      </c>
      <c r="B214" t="s">
        <v>499</v>
      </c>
      <c r="C214" t="s">
        <v>43</v>
      </c>
      <c r="D214" t="s">
        <v>59</v>
      </c>
      <c r="E214" t="s">
        <v>35</v>
      </c>
      <c r="F214" t="s">
        <v>27</v>
      </c>
      <c r="G214" t="s">
        <v>36</v>
      </c>
      <c r="H214" s="3">
        <v>62</v>
      </c>
      <c r="I214" s="8">
        <v>37733</v>
      </c>
      <c r="J214" s="4">
        <v>76906</v>
      </c>
      <c r="K214" s="1">
        <v>0</v>
      </c>
      <c r="L214" t="s">
        <v>21</v>
      </c>
      <c r="M214" t="s">
        <v>22</v>
      </c>
      <c r="O214" s="5">
        <f t="shared" si="3"/>
        <v>0</v>
      </c>
      <c r="P214" s="6">
        <f>Table1[[#This Row],[Annual Salary]]+Table1[[#This Row],[Bonus Amount]]</f>
        <v>76906</v>
      </c>
      <c r="Q214" t="str">
        <f>IF(Table1[[#This Row],[Exit Date]]="", "Active","Exited")</f>
        <v>Active</v>
      </c>
      <c r="R214" s="2">
        <f ca="1">IFERROR(DATEDIF(Table1[[#This Row],[Hire Date]],IF(Table1[[#This Row],[Exit Date]]="",TODAY(),Table1[[#This Row],[Exit Date]]),"Y"),"")</f>
        <v>22</v>
      </c>
      <c r="S214" t="str" cm="1">
        <f t="array" ref="S214">_xlfn.IFS(Table1[[#This Row],[Age]]&lt;30,"Under 30",Table1[[#This Row],[Age]]&lt;=40,"30-40",Table1[[#This Row],[Age]]&lt;50,"41-50",TRUE,"50+")</f>
        <v>50+</v>
      </c>
    </row>
    <row r="215" spans="1:19" x14ac:dyDescent="0.35">
      <c r="A215" t="s">
        <v>500</v>
      </c>
      <c r="B215" t="s">
        <v>501</v>
      </c>
      <c r="C215" t="s">
        <v>52</v>
      </c>
      <c r="D215" t="s">
        <v>17</v>
      </c>
      <c r="E215" t="s">
        <v>49</v>
      </c>
      <c r="F215" t="s">
        <v>27</v>
      </c>
      <c r="G215" t="s">
        <v>28</v>
      </c>
      <c r="H215" s="3">
        <v>51</v>
      </c>
      <c r="I215" s="8">
        <v>34388</v>
      </c>
      <c r="J215" s="4">
        <v>122802</v>
      </c>
      <c r="K215" s="1">
        <v>0.05</v>
      </c>
      <c r="L215" t="s">
        <v>29</v>
      </c>
      <c r="M215" t="s">
        <v>74</v>
      </c>
      <c r="O215" s="5">
        <f t="shared" si="3"/>
        <v>6140.1</v>
      </c>
      <c r="P215" s="6">
        <f>Table1[[#This Row],[Annual Salary]]+Table1[[#This Row],[Bonus Amount]]</f>
        <v>128942.1</v>
      </c>
      <c r="Q215" t="str">
        <f>IF(Table1[[#This Row],[Exit Date]]="", "Active","Exited")</f>
        <v>Active</v>
      </c>
      <c r="R215" s="2">
        <f ca="1">IFERROR(DATEDIF(Table1[[#This Row],[Hire Date]],IF(Table1[[#This Row],[Exit Date]]="",TODAY(),Table1[[#This Row],[Exit Date]]),"Y"),"")</f>
        <v>32</v>
      </c>
      <c r="S215" t="str" cm="1">
        <f t="array" ref="S215">_xlfn.IFS(Table1[[#This Row],[Age]]&lt;30,"Under 30",Table1[[#This Row],[Age]]&lt;=40,"30-40",Table1[[#This Row],[Age]]&lt;50,"41-50",TRUE,"50+")</f>
        <v>50+</v>
      </c>
    </row>
    <row r="216" spans="1:19" x14ac:dyDescent="0.35">
      <c r="A216" t="s">
        <v>502</v>
      </c>
      <c r="B216" t="s">
        <v>503</v>
      </c>
      <c r="C216" t="s">
        <v>277</v>
      </c>
      <c r="D216" t="s">
        <v>69</v>
      </c>
      <c r="E216" t="s">
        <v>18</v>
      </c>
      <c r="F216" t="s">
        <v>27</v>
      </c>
      <c r="G216" t="s">
        <v>85</v>
      </c>
      <c r="H216" s="3">
        <v>47</v>
      </c>
      <c r="I216" s="8">
        <v>35990</v>
      </c>
      <c r="J216" s="4">
        <v>99091</v>
      </c>
      <c r="K216" s="1">
        <v>0</v>
      </c>
      <c r="L216" t="s">
        <v>21</v>
      </c>
      <c r="M216" t="s">
        <v>60</v>
      </c>
      <c r="O216" s="5">
        <f t="shared" si="3"/>
        <v>0</v>
      </c>
      <c r="P216" s="6">
        <f>Table1[[#This Row],[Annual Salary]]+Table1[[#This Row],[Bonus Amount]]</f>
        <v>99091</v>
      </c>
      <c r="Q216" t="str">
        <f>IF(Table1[[#This Row],[Exit Date]]="", "Active","Exited")</f>
        <v>Active</v>
      </c>
      <c r="R216" s="2">
        <f ca="1">IFERROR(DATEDIF(Table1[[#This Row],[Hire Date]],IF(Table1[[#This Row],[Exit Date]]="",TODAY(),Table1[[#This Row],[Exit Date]]),"Y"),"")</f>
        <v>27</v>
      </c>
      <c r="S216" t="str" cm="1">
        <f t="array" ref="S216">_xlfn.IFS(Table1[[#This Row],[Age]]&lt;30,"Under 30",Table1[[#This Row],[Age]]&lt;=40,"30-40",Table1[[#This Row],[Age]]&lt;50,"41-50",TRUE,"50+")</f>
        <v>41-50</v>
      </c>
    </row>
    <row r="217" spans="1:19" x14ac:dyDescent="0.35">
      <c r="A217" t="s">
        <v>504</v>
      </c>
      <c r="B217" t="s">
        <v>505</v>
      </c>
      <c r="C217" t="s">
        <v>68</v>
      </c>
      <c r="D217" t="s">
        <v>69</v>
      </c>
      <c r="E217" t="s">
        <v>26</v>
      </c>
      <c r="F217" t="s">
        <v>27</v>
      </c>
      <c r="G217" t="s">
        <v>85</v>
      </c>
      <c r="H217" s="3">
        <v>40</v>
      </c>
      <c r="I217" s="8">
        <v>39506</v>
      </c>
      <c r="J217" s="4">
        <v>113987</v>
      </c>
      <c r="K217" s="1">
        <v>0</v>
      </c>
      <c r="L217" t="s">
        <v>93</v>
      </c>
      <c r="M217" t="s">
        <v>94</v>
      </c>
      <c r="O217" s="5">
        <f t="shared" si="3"/>
        <v>0</v>
      </c>
      <c r="P217" s="6">
        <f>Table1[[#This Row],[Annual Salary]]+Table1[[#This Row],[Bonus Amount]]</f>
        <v>113987</v>
      </c>
      <c r="Q217" t="str">
        <f>IF(Table1[[#This Row],[Exit Date]]="", "Active","Exited")</f>
        <v>Active</v>
      </c>
      <c r="R217" s="2">
        <f ca="1">IFERROR(DATEDIF(Table1[[#This Row],[Hire Date]],IF(Table1[[#This Row],[Exit Date]]="",TODAY(),Table1[[#This Row],[Exit Date]]),"Y"),"")</f>
        <v>18</v>
      </c>
      <c r="S217" t="str" cm="1">
        <f t="array" ref="S217">_xlfn.IFS(Table1[[#This Row],[Age]]&lt;30,"Under 30",Table1[[#This Row],[Age]]&lt;=40,"30-40",Table1[[#This Row],[Age]]&lt;50,"41-50",TRUE,"50+")</f>
        <v>30-40</v>
      </c>
    </row>
    <row r="218" spans="1:19" x14ac:dyDescent="0.35">
      <c r="A218" t="s">
        <v>506</v>
      </c>
      <c r="B218" t="s">
        <v>507</v>
      </c>
      <c r="C218" t="s">
        <v>43</v>
      </c>
      <c r="D218" t="s">
        <v>34</v>
      </c>
      <c r="E218" t="s">
        <v>49</v>
      </c>
      <c r="F218" t="s">
        <v>19</v>
      </c>
      <c r="G218" t="s">
        <v>36</v>
      </c>
      <c r="H218" s="3">
        <v>28</v>
      </c>
      <c r="I218" s="8">
        <v>44078</v>
      </c>
      <c r="J218" s="4">
        <v>95045</v>
      </c>
      <c r="K218" s="1">
        <v>0</v>
      </c>
      <c r="L218" t="s">
        <v>21</v>
      </c>
      <c r="M218" t="s">
        <v>37</v>
      </c>
      <c r="O218" s="5">
        <f t="shared" si="3"/>
        <v>0</v>
      </c>
      <c r="P218" s="6">
        <f>Table1[[#This Row],[Annual Salary]]+Table1[[#This Row],[Bonus Amount]]</f>
        <v>95045</v>
      </c>
      <c r="Q218" t="str">
        <f>IF(Table1[[#This Row],[Exit Date]]="", "Active","Exited")</f>
        <v>Active</v>
      </c>
      <c r="R218" s="2">
        <f ca="1">IFERROR(DATEDIF(Table1[[#This Row],[Hire Date]],IF(Table1[[#This Row],[Exit Date]]="",TODAY(),Table1[[#This Row],[Exit Date]]),"Y"),"")</f>
        <v>5</v>
      </c>
      <c r="S218" t="str" cm="1">
        <f t="array" ref="S218">_xlfn.IFS(Table1[[#This Row],[Age]]&lt;30,"Under 30",Table1[[#This Row],[Age]]&lt;=40,"30-40",Table1[[#This Row],[Age]]&lt;50,"41-50",TRUE,"50+")</f>
        <v>Under 30</v>
      </c>
    </row>
    <row r="219" spans="1:19" x14ac:dyDescent="0.35">
      <c r="A219" t="s">
        <v>508</v>
      </c>
      <c r="B219" t="s">
        <v>509</v>
      </c>
      <c r="C219" t="s">
        <v>79</v>
      </c>
      <c r="D219" t="s">
        <v>80</v>
      </c>
      <c r="E219" t="s">
        <v>35</v>
      </c>
      <c r="F219" t="s">
        <v>19</v>
      </c>
      <c r="G219" t="s">
        <v>36</v>
      </c>
      <c r="H219" s="3">
        <v>29</v>
      </c>
      <c r="I219" s="8">
        <v>42740</v>
      </c>
      <c r="J219" s="4">
        <v>190401</v>
      </c>
      <c r="K219" s="1">
        <v>0.37</v>
      </c>
      <c r="L219" t="s">
        <v>21</v>
      </c>
      <c r="M219" t="s">
        <v>88</v>
      </c>
      <c r="O219" s="5">
        <f t="shared" si="3"/>
        <v>70448.37</v>
      </c>
      <c r="P219" s="6">
        <f>Table1[[#This Row],[Annual Salary]]+Table1[[#This Row],[Bonus Amount]]</f>
        <v>260849.37</v>
      </c>
      <c r="Q219" t="str">
        <f>IF(Table1[[#This Row],[Exit Date]]="", "Active","Exited")</f>
        <v>Active</v>
      </c>
      <c r="R219" s="2">
        <f ca="1">IFERROR(DATEDIF(Table1[[#This Row],[Hire Date]],IF(Table1[[#This Row],[Exit Date]]="",TODAY(),Table1[[#This Row],[Exit Date]]),"Y"),"")</f>
        <v>9</v>
      </c>
      <c r="S219" t="str" cm="1">
        <f t="array" ref="S219">_xlfn.IFS(Table1[[#This Row],[Age]]&lt;30,"Under 30",Table1[[#This Row],[Age]]&lt;=40,"30-40",Table1[[#This Row],[Age]]&lt;50,"41-50",TRUE,"50+")</f>
        <v>Under 30</v>
      </c>
    </row>
    <row r="220" spans="1:19" x14ac:dyDescent="0.35">
      <c r="A220" t="s">
        <v>510</v>
      </c>
      <c r="B220" t="s">
        <v>511</v>
      </c>
      <c r="C220" t="s">
        <v>43</v>
      </c>
      <c r="D220" t="s">
        <v>34</v>
      </c>
      <c r="E220" t="s">
        <v>49</v>
      </c>
      <c r="F220" t="s">
        <v>27</v>
      </c>
      <c r="G220" t="s">
        <v>85</v>
      </c>
      <c r="H220" s="3">
        <v>46</v>
      </c>
      <c r="I220" s="8">
        <v>41294</v>
      </c>
      <c r="J220" s="4">
        <v>86061</v>
      </c>
      <c r="K220" s="1">
        <v>0</v>
      </c>
      <c r="L220" t="s">
        <v>93</v>
      </c>
      <c r="M220" t="s">
        <v>99</v>
      </c>
      <c r="O220" s="5">
        <f t="shared" si="3"/>
        <v>0</v>
      </c>
      <c r="P220" s="6">
        <f>Table1[[#This Row],[Annual Salary]]+Table1[[#This Row],[Bonus Amount]]</f>
        <v>86061</v>
      </c>
      <c r="Q220" t="str">
        <f>IF(Table1[[#This Row],[Exit Date]]="", "Active","Exited")</f>
        <v>Active</v>
      </c>
      <c r="R220" s="2">
        <f ca="1">IFERROR(DATEDIF(Table1[[#This Row],[Hire Date]],IF(Table1[[#This Row],[Exit Date]]="",TODAY(),Table1[[#This Row],[Exit Date]]),"Y"),"")</f>
        <v>13</v>
      </c>
      <c r="S220" t="str" cm="1">
        <f t="array" ref="S220">_xlfn.IFS(Table1[[#This Row],[Age]]&lt;30,"Under 30",Table1[[#This Row],[Age]]&lt;=40,"30-40",Table1[[#This Row],[Age]]&lt;50,"41-50",TRUE,"50+")</f>
        <v>41-50</v>
      </c>
    </row>
    <row r="221" spans="1:19" x14ac:dyDescent="0.35">
      <c r="A221" t="s">
        <v>512</v>
      </c>
      <c r="B221" t="s">
        <v>513</v>
      </c>
      <c r="C221" t="s">
        <v>294</v>
      </c>
      <c r="D221" t="s">
        <v>48</v>
      </c>
      <c r="E221" t="s">
        <v>35</v>
      </c>
      <c r="F221" t="s">
        <v>27</v>
      </c>
      <c r="G221" t="s">
        <v>85</v>
      </c>
      <c r="H221" s="3">
        <v>45</v>
      </c>
      <c r="I221" s="8">
        <v>44237</v>
      </c>
      <c r="J221" s="4">
        <v>79882</v>
      </c>
      <c r="K221" s="1">
        <v>0</v>
      </c>
      <c r="L221" t="s">
        <v>21</v>
      </c>
      <c r="M221" t="s">
        <v>44</v>
      </c>
      <c r="O221" s="5">
        <f t="shared" si="3"/>
        <v>0</v>
      </c>
      <c r="P221" s="6">
        <f>Table1[[#This Row],[Annual Salary]]+Table1[[#This Row],[Bonus Amount]]</f>
        <v>79882</v>
      </c>
      <c r="Q221" t="str">
        <f>IF(Table1[[#This Row],[Exit Date]]="", "Active","Exited")</f>
        <v>Active</v>
      </c>
      <c r="R221" s="2">
        <f ca="1">IFERROR(DATEDIF(Table1[[#This Row],[Hire Date]],IF(Table1[[#This Row],[Exit Date]]="",TODAY(),Table1[[#This Row],[Exit Date]]),"Y"),"")</f>
        <v>5</v>
      </c>
      <c r="S221" t="str" cm="1">
        <f t="array" ref="S221">_xlfn.IFS(Table1[[#This Row],[Age]]&lt;30,"Under 30",Table1[[#This Row],[Age]]&lt;=40,"30-40",Table1[[#This Row],[Age]]&lt;50,"41-50",TRUE,"50+")</f>
        <v>41-50</v>
      </c>
    </row>
    <row r="222" spans="1:19" x14ac:dyDescent="0.35">
      <c r="A222" t="s">
        <v>514</v>
      </c>
      <c r="B222" t="s">
        <v>515</v>
      </c>
      <c r="C222" t="s">
        <v>79</v>
      </c>
      <c r="D222" t="s">
        <v>69</v>
      </c>
      <c r="E222" t="s">
        <v>26</v>
      </c>
      <c r="F222" t="s">
        <v>19</v>
      </c>
      <c r="G222" t="s">
        <v>36</v>
      </c>
      <c r="H222" s="3">
        <v>30</v>
      </c>
      <c r="I222" s="8">
        <v>43165</v>
      </c>
      <c r="J222" s="4">
        <v>255431</v>
      </c>
      <c r="K222" s="1">
        <v>0.36</v>
      </c>
      <c r="L222" t="s">
        <v>21</v>
      </c>
      <c r="M222" t="s">
        <v>88</v>
      </c>
      <c r="O222" s="5">
        <f t="shared" si="3"/>
        <v>91955.16</v>
      </c>
      <c r="P222" s="6">
        <f>Table1[[#This Row],[Annual Salary]]+Table1[[#This Row],[Bonus Amount]]</f>
        <v>347386.16000000003</v>
      </c>
      <c r="Q222" t="str">
        <f>IF(Table1[[#This Row],[Exit Date]]="", "Active","Exited")</f>
        <v>Active</v>
      </c>
      <c r="R222" s="2">
        <f ca="1">IFERROR(DATEDIF(Table1[[#This Row],[Hire Date]],IF(Table1[[#This Row],[Exit Date]]="",TODAY(),Table1[[#This Row],[Exit Date]]),"Y"),"")</f>
        <v>8</v>
      </c>
      <c r="S222" t="str" cm="1">
        <f t="array" ref="S222">_xlfn.IFS(Table1[[#This Row],[Age]]&lt;30,"Under 30",Table1[[#This Row],[Age]]&lt;=40,"30-40",Table1[[#This Row],[Age]]&lt;50,"41-50",TRUE,"50+")</f>
        <v>30-40</v>
      </c>
    </row>
    <row r="223" spans="1:19" x14ac:dyDescent="0.35">
      <c r="A223" t="s">
        <v>516</v>
      </c>
      <c r="B223" t="s">
        <v>517</v>
      </c>
      <c r="C223" t="s">
        <v>462</v>
      </c>
      <c r="D223" t="s">
        <v>17</v>
      </c>
      <c r="E223" t="s">
        <v>26</v>
      </c>
      <c r="F223" t="s">
        <v>19</v>
      </c>
      <c r="G223" t="s">
        <v>28</v>
      </c>
      <c r="H223" s="3">
        <v>48</v>
      </c>
      <c r="I223" s="8">
        <v>37855</v>
      </c>
      <c r="J223" s="4">
        <v>82017</v>
      </c>
      <c r="K223" s="1">
        <v>0</v>
      </c>
      <c r="L223" t="s">
        <v>29</v>
      </c>
      <c r="M223" t="s">
        <v>114</v>
      </c>
      <c r="O223" s="5">
        <f t="shared" si="3"/>
        <v>0</v>
      </c>
      <c r="P223" s="6">
        <f>Table1[[#This Row],[Annual Salary]]+Table1[[#This Row],[Bonus Amount]]</f>
        <v>82017</v>
      </c>
      <c r="Q223" t="str">
        <f>IF(Table1[[#This Row],[Exit Date]]="", "Active","Exited")</f>
        <v>Active</v>
      </c>
      <c r="R223" s="2">
        <f ca="1">IFERROR(DATEDIF(Table1[[#This Row],[Hire Date]],IF(Table1[[#This Row],[Exit Date]]="",TODAY(),Table1[[#This Row],[Exit Date]]),"Y"),"")</f>
        <v>22</v>
      </c>
      <c r="S223" t="str" cm="1">
        <f t="array" ref="S223">_xlfn.IFS(Table1[[#This Row],[Age]]&lt;30,"Under 30",Table1[[#This Row],[Age]]&lt;=40,"30-40",Table1[[#This Row],[Age]]&lt;50,"41-50",TRUE,"50+")</f>
        <v>41-50</v>
      </c>
    </row>
    <row r="224" spans="1:19" x14ac:dyDescent="0.35">
      <c r="A224" t="s">
        <v>518</v>
      </c>
      <c r="B224" t="s">
        <v>519</v>
      </c>
      <c r="C224" t="s">
        <v>55</v>
      </c>
      <c r="D224" t="s">
        <v>34</v>
      </c>
      <c r="E224" t="s">
        <v>26</v>
      </c>
      <c r="F224" t="s">
        <v>19</v>
      </c>
      <c r="G224" t="s">
        <v>36</v>
      </c>
      <c r="H224" s="3">
        <v>51</v>
      </c>
      <c r="I224" s="8">
        <v>42753</v>
      </c>
      <c r="J224" s="4">
        <v>53799</v>
      </c>
      <c r="K224" s="1">
        <v>0</v>
      </c>
      <c r="L224" t="s">
        <v>21</v>
      </c>
      <c r="M224" t="s">
        <v>88</v>
      </c>
      <c r="O224" s="5">
        <f t="shared" si="3"/>
        <v>0</v>
      </c>
      <c r="P224" s="6">
        <f>Table1[[#This Row],[Annual Salary]]+Table1[[#This Row],[Bonus Amount]]</f>
        <v>53799</v>
      </c>
      <c r="Q224" t="str">
        <f>IF(Table1[[#This Row],[Exit Date]]="", "Active","Exited")</f>
        <v>Active</v>
      </c>
      <c r="R224" s="2">
        <f ca="1">IFERROR(DATEDIF(Table1[[#This Row],[Hire Date]],IF(Table1[[#This Row],[Exit Date]]="",TODAY(),Table1[[#This Row],[Exit Date]]),"Y"),"")</f>
        <v>9</v>
      </c>
      <c r="S224" t="str" cm="1">
        <f t="array" ref="S224">_xlfn.IFS(Table1[[#This Row],[Age]]&lt;30,"Under 30",Table1[[#This Row],[Age]]&lt;=40,"30-40",Table1[[#This Row],[Age]]&lt;50,"41-50",TRUE,"50+")</f>
        <v>50+</v>
      </c>
    </row>
    <row r="225" spans="1:19" x14ac:dyDescent="0.35">
      <c r="A225" t="s">
        <v>520</v>
      </c>
      <c r="B225" t="s">
        <v>521</v>
      </c>
      <c r="C225" t="s">
        <v>43</v>
      </c>
      <c r="D225" t="s">
        <v>48</v>
      </c>
      <c r="E225" t="s">
        <v>49</v>
      </c>
      <c r="F225" t="s">
        <v>19</v>
      </c>
      <c r="G225" t="s">
        <v>36</v>
      </c>
      <c r="H225" s="3">
        <v>28</v>
      </c>
      <c r="I225" s="8">
        <v>44380</v>
      </c>
      <c r="J225" s="4">
        <v>82739</v>
      </c>
      <c r="K225" s="1">
        <v>0</v>
      </c>
      <c r="L225" t="s">
        <v>21</v>
      </c>
      <c r="M225" t="s">
        <v>44</v>
      </c>
      <c r="O225" s="5">
        <f t="shared" si="3"/>
        <v>0</v>
      </c>
      <c r="P225" s="6">
        <f>Table1[[#This Row],[Annual Salary]]+Table1[[#This Row],[Bonus Amount]]</f>
        <v>82739</v>
      </c>
      <c r="Q225" t="str">
        <f>IF(Table1[[#This Row],[Exit Date]]="", "Active","Exited")</f>
        <v>Active</v>
      </c>
      <c r="R225" s="2">
        <f ca="1">IFERROR(DATEDIF(Table1[[#This Row],[Hire Date]],IF(Table1[[#This Row],[Exit Date]]="",TODAY(),Table1[[#This Row],[Exit Date]]),"Y"),"")</f>
        <v>4</v>
      </c>
      <c r="S225" t="str" cm="1">
        <f t="array" ref="S225">_xlfn.IFS(Table1[[#This Row],[Age]]&lt;30,"Under 30",Table1[[#This Row],[Age]]&lt;=40,"30-40",Table1[[#This Row],[Age]]&lt;50,"41-50",TRUE,"50+")</f>
        <v>Under 30</v>
      </c>
    </row>
    <row r="226" spans="1:19" x14ac:dyDescent="0.35">
      <c r="A226" t="s">
        <v>522</v>
      </c>
      <c r="B226" t="s">
        <v>523</v>
      </c>
      <c r="C226" t="s">
        <v>207</v>
      </c>
      <c r="D226" t="s">
        <v>17</v>
      </c>
      <c r="E226" t="s">
        <v>26</v>
      </c>
      <c r="F226" t="s">
        <v>19</v>
      </c>
      <c r="G226" t="s">
        <v>36</v>
      </c>
      <c r="H226" s="3">
        <v>36</v>
      </c>
      <c r="I226" s="8">
        <v>41789</v>
      </c>
      <c r="J226" s="4">
        <v>99080</v>
      </c>
      <c r="K226" s="1">
        <v>0</v>
      </c>
      <c r="L226" t="s">
        <v>21</v>
      </c>
      <c r="M226" t="s">
        <v>37</v>
      </c>
      <c r="O226" s="5">
        <f t="shared" si="3"/>
        <v>0</v>
      </c>
      <c r="P226" s="6">
        <f>Table1[[#This Row],[Annual Salary]]+Table1[[#This Row],[Bonus Amount]]</f>
        <v>99080</v>
      </c>
      <c r="Q226" t="str">
        <f>IF(Table1[[#This Row],[Exit Date]]="", "Active","Exited")</f>
        <v>Active</v>
      </c>
      <c r="R226" s="2">
        <f ca="1">IFERROR(DATEDIF(Table1[[#This Row],[Hire Date]],IF(Table1[[#This Row],[Exit Date]]="",TODAY(),Table1[[#This Row],[Exit Date]]),"Y"),"")</f>
        <v>11</v>
      </c>
      <c r="S226" t="str" cm="1">
        <f t="array" ref="S226">_xlfn.IFS(Table1[[#This Row],[Age]]&lt;30,"Under 30",Table1[[#This Row],[Age]]&lt;=40,"30-40",Table1[[#This Row],[Age]]&lt;50,"41-50",TRUE,"50+")</f>
        <v>30-40</v>
      </c>
    </row>
    <row r="227" spans="1:19" x14ac:dyDescent="0.35">
      <c r="A227" t="s">
        <v>524</v>
      </c>
      <c r="B227" t="s">
        <v>525</v>
      </c>
      <c r="C227" t="s">
        <v>294</v>
      </c>
      <c r="D227" t="s">
        <v>48</v>
      </c>
      <c r="E227" t="s">
        <v>49</v>
      </c>
      <c r="F227" t="s">
        <v>19</v>
      </c>
      <c r="G227" t="s">
        <v>28</v>
      </c>
      <c r="H227" s="3">
        <v>40</v>
      </c>
      <c r="I227" s="8">
        <v>40563</v>
      </c>
      <c r="J227" s="4">
        <v>96719</v>
      </c>
      <c r="K227" s="1">
        <v>0</v>
      </c>
      <c r="L227" t="s">
        <v>29</v>
      </c>
      <c r="M227" t="s">
        <v>134</v>
      </c>
      <c r="O227" s="5">
        <f t="shared" si="3"/>
        <v>0</v>
      </c>
      <c r="P227" s="6">
        <f>Table1[[#This Row],[Annual Salary]]+Table1[[#This Row],[Bonus Amount]]</f>
        <v>96719</v>
      </c>
      <c r="Q227" t="str">
        <f>IF(Table1[[#This Row],[Exit Date]]="", "Active","Exited")</f>
        <v>Active</v>
      </c>
      <c r="R227" s="2">
        <f ca="1">IFERROR(DATEDIF(Table1[[#This Row],[Hire Date]],IF(Table1[[#This Row],[Exit Date]]="",TODAY(),Table1[[#This Row],[Exit Date]]),"Y"),"")</f>
        <v>15</v>
      </c>
      <c r="S227" t="str" cm="1">
        <f t="array" ref="S227">_xlfn.IFS(Table1[[#This Row],[Age]]&lt;30,"Under 30",Table1[[#This Row],[Age]]&lt;=40,"30-40",Table1[[#This Row],[Age]]&lt;50,"41-50",TRUE,"50+")</f>
        <v>30-40</v>
      </c>
    </row>
    <row r="228" spans="1:19" x14ac:dyDescent="0.35">
      <c r="A228" t="s">
        <v>526</v>
      </c>
      <c r="B228" t="s">
        <v>527</v>
      </c>
      <c r="C228" t="s">
        <v>33</v>
      </c>
      <c r="D228" t="s">
        <v>65</v>
      </c>
      <c r="E228" t="s">
        <v>18</v>
      </c>
      <c r="F228" t="s">
        <v>19</v>
      </c>
      <c r="G228" t="s">
        <v>36</v>
      </c>
      <c r="H228" s="3">
        <v>51</v>
      </c>
      <c r="I228" s="8">
        <v>44283</v>
      </c>
      <c r="J228" s="4">
        <v>180687</v>
      </c>
      <c r="K228" s="1">
        <v>0.19</v>
      </c>
      <c r="L228" t="s">
        <v>21</v>
      </c>
      <c r="M228" t="s">
        <v>44</v>
      </c>
      <c r="O228" s="5">
        <f t="shared" si="3"/>
        <v>34330.53</v>
      </c>
      <c r="P228" s="6">
        <f>Table1[[#This Row],[Annual Salary]]+Table1[[#This Row],[Bonus Amount]]</f>
        <v>215017.53</v>
      </c>
      <c r="Q228" t="str">
        <f>IF(Table1[[#This Row],[Exit Date]]="", "Active","Exited")</f>
        <v>Active</v>
      </c>
      <c r="R228" s="2">
        <f ca="1">IFERROR(DATEDIF(Table1[[#This Row],[Hire Date]],IF(Table1[[#This Row],[Exit Date]]="",TODAY(),Table1[[#This Row],[Exit Date]]),"Y"),"")</f>
        <v>4</v>
      </c>
      <c r="S228" t="str" cm="1">
        <f t="array" ref="S228">_xlfn.IFS(Table1[[#This Row],[Age]]&lt;30,"Under 30",Table1[[#This Row],[Age]]&lt;=40,"30-40",Table1[[#This Row],[Age]]&lt;50,"41-50",TRUE,"50+")</f>
        <v>50+</v>
      </c>
    </row>
    <row r="229" spans="1:19" x14ac:dyDescent="0.35">
      <c r="A229" t="s">
        <v>528</v>
      </c>
      <c r="B229" t="s">
        <v>529</v>
      </c>
      <c r="C229" t="s">
        <v>113</v>
      </c>
      <c r="D229" t="s">
        <v>69</v>
      </c>
      <c r="E229" t="s">
        <v>49</v>
      </c>
      <c r="F229" t="s">
        <v>27</v>
      </c>
      <c r="G229" t="s">
        <v>28</v>
      </c>
      <c r="H229" s="3">
        <v>45</v>
      </c>
      <c r="I229" s="8">
        <v>36993</v>
      </c>
      <c r="J229" s="4">
        <v>95743</v>
      </c>
      <c r="K229" s="1">
        <v>0.15</v>
      </c>
      <c r="L229" t="s">
        <v>21</v>
      </c>
      <c r="M229" t="s">
        <v>60</v>
      </c>
      <c r="N229" s="7">
        <v>40193</v>
      </c>
      <c r="O229" s="5">
        <f t="shared" si="3"/>
        <v>14361.449999999999</v>
      </c>
      <c r="P229" s="6">
        <f>Table1[[#This Row],[Annual Salary]]+Table1[[#This Row],[Bonus Amount]]</f>
        <v>110104.45</v>
      </c>
      <c r="Q229" t="str">
        <f>IF(Table1[[#This Row],[Exit Date]]="", "Active","Exited")</f>
        <v>Exited</v>
      </c>
      <c r="R229" s="2">
        <f ca="1">IFERROR(DATEDIF(Table1[[#This Row],[Hire Date]],IF(Table1[[#This Row],[Exit Date]]="",TODAY(),Table1[[#This Row],[Exit Date]]),"Y"),"")</f>
        <v>8</v>
      </c>
      <c r="S229" t="str" cm="1">
        <f t="array" ref="S229">_xlfn.IFS(Table1[[#This Row],[Age]]&lt;30,"Under 30",Table1[[#This Row],[Age]]&lt;=40,"30-40",Table1[[#This Row],[Age]]&lt;50,"41-50",TRUE,"50+")</f>
        <v>41-50</v>
      </c>
    </row>
    <row r="230" spans="1:19" x14ac:dyDescent="0.35">
      <c r="A230" t="s">
        <v>530</v>
      </c>
      <c r="B230" t="s">
        <v>531</v>
      </c>
      <c r="C230" t="s">
        <v>277</v>
      </c>
      <c r="D230" t="s">
        <v>69</v>
      </c>
      <c r="E230" t="s">
        <v>18</v>
      </c>
      <c r="F230" t="s">
        <v>19</v>
      </c>
      <c r="G230" t="s">
        <v>36</v>
      </c>
      <c r="H230" s="3">
        <v>44</v>
      </c>
      <c r="I230" s="8">
        <v>40060</v>
      </c>
      <c r="J230" s="4">
        <v>89695</v>
      </c>
      <c r="K230" s="1">
        <v>0</v>
      </c>
      <c r="L230" t="s">
        <v>21</v>
      </c>
      <c r="M230" t="s">
        <v>60</v>
      </c>
      <c r="O230" s="5">
        <f t="shared" si="3"/>
        <v>0</v>
      </c>
      <c r="P230" s="6">
        <f>Table1[[#This Row],[Annual Salary]]+Table1[[#This Row],[Bonus Amount]]</f>
        <v>89695</v>
      </c>
      <c r="Q230" t="str">
        <f>IF(Table1[[#This Row],[Exit Date]]="", "Active","Exited")</f>
        <v>Active</v>
      </c>
      <c r="R230" s="2">
        <f ca="1">IFERROR(DATEDIF(Table1[[#This Row],[Hire Date]],IF(Table1[[#This Row],[Exit Date]]="",TODAY(),Table1[[#This Row],[Exit Date]]),"Y"),"")</f>
        <v>16</v>
      </c>
      <c r="S230" t="str" cm="1">
        <f t="array" ref="S230">_xlfn.IFS(Table1[[#This Row],[Age]]&lt;30,"Under 30",Table1[[#This Row],[Age]]&lt;=40,"30-40",Table1[[#This Row],[Age]]&lt;50,"41-50",TRUE,"50+")</f>
        <v>41-50</v>
      </c>
    </row>
    <row r="231" spans="1:19" x14ac:dyDescent="0.35">
      <c r="A231" t="s">
        <v>532</v>
      </c>
      <c r="B231" t="s">
        <v>533</v>
      </c>
      <c r="C231" t="s">
        <v>52</v>
      </c>
      <c r="D231" t="s">
        <v>34</v>
      </c>
      <c r="E231" t="s">
        <v>26</v>
      </c>
      <c r="F231" t="s">
        <v>27</v>
      </c>
      <c r="G231" t="s">
        <v>28</v>
      </c>
      <c r="H231" s="3">
        <v>64</v>
      </c>
      <c r="I231" s="8">
        <v>35996</v>
      </c>
      <c r="J231" s="4">
        <v>122753</v>
      </c>
      <c r="K231" s="1">
        <v>0.09</v>
      </c>
      <c r="L231" t="s">
        <v>29</v>
      </c>
      <c r="M231" t="s">
        <v>30</v>
      </c>
      <c r="O231" s="5">
        <f t="shared" si="3"/>
        <v>11047.77</v>
      </c>
      <c r="P231" s="6">
        <f>Table1[[#This Row],[Annual Salary]]+Table1[[#This Row],[Bonus Amount]]</f>
        <v>133800.76999999999</v>
      </c>
      <c r="Q231" t="str">
        <f>IF(Table1[[#This Row],[Exit Date]]="", "Active","Exited")</f>
        <v>Active</v>
      </c>
      <c r="R231" s="2">
        <f ca="1">IFERROR(DATEDIF(Table1[[#This Row],[Hire Date]],IF(Table1[[#This Row],[Exit Date]]="",TODAY(),Table1[[#This Row],[Exit Date]]),"Y"),"")</f>
        <v>27</v>
      </c>
      <c r="S231" t="str" cm="1">
        <f t="array" ref="S231">_xlfn.IFS(Table1[[#This Row],[Age]]&lt;30,"Under 30",Table1[[#This Row],[Age]]&lt;=40,"30-40",Table1[[#This Row],[Age]]&lt;50,"41-50",TRUE,"50+")</f>
        <v>50+</v>
      </c>
    </row>
    <row r="232" spans="1:19" x14ac:dyDescent="0.35">
      <c r="A232" t="s">
        <v>534</v>
      </c>
      <c r="B232" t="s">
        <v>535</v>
      </c>
      <c r="C232" t="s">
        <v>143</v>
      </c>
      <c r="D232" t="s">
        <v>65</v>
      </c>
      <c r="E232" t="s">
        <v>18</v>
      </c>
      <c r="F232" t="s">
        <v>27</v>
      </c>
      <c r="G232" t="s">
        <v>36</v>
      </c>
      <c r="H232" s="3">
        <v>30</v>
      </c>
      <c r="I232" s="8">
        <v>42078</v>
      </c>
      <c r="J232" s="4">
        <v>93734</v>
      </c>
      <c r="K232" s="1">
        <v>0</v>
      </c>
      <c r="L232" t="s">
        <v>21</v>
      </c>
      <c r="M232" t="s">
        <v>44</v>
      </c>
      <c r="O232" s="5">
        <f t="shared" si="3"/>
        <v>0</v>
      </c>
      <c r="P232" s="6">
        <f>Table1[[#This Row],[Annual Salary]]+Table1[[#This Row],[Bonus Amount]]</f>
        <v>93734</v>
      </c>
      <c r="Q232" t="str">
        <f>IF(Table1[[#This Row],[Exit Date]]="", "Active","Exited")</f>
        <v>Active</v>
      </c>
      <c r="R232" s="2">
        <f ca="1">IFERROR(DATEDIF(Table1[[#This Row],[Hire Date]],IF(Table1[[#This Row],[Exit Date]]="",TODAY(),Table1[[#This Row],[Exit Date]]),"Y"),"")</f>
        <v>11</v>
      </c>
      <c r="S232" t="str" cm="1">
        <f t="array" ref="S232">_xlfn.IFS(Table1[[#This Row],[Age]]&lt;30,"Under 30",Table1[[#This Row],[Age]]&lt;=40,"30-40",Table1[[#This Row],[Age]]&lt;50,"41-50",TRUE,"50+")</f>
        <v>30-40</v>
      </c>
    </row>
    <row r="233" spans="1:19" x14ac:dyDescent="0.35">
      <c r="A233" t="s">
        <v>536</v>
      </c>
      <c r="B233" t="s">
        <v>537</v>
      </c>
      <c r="C233" t="s">
        <v>55</v>
      </c>
      <c r="D233" t="s">
        <v>59</v>
      </c>
      <c r="E233" t="s">
        <v>49</v>
      </c>
      <c r="F233" t="s">
        <v>27</v>
      </c>
      <c r="G233" t="s">
        <v>28</v>
      </c>
      <c r="H233" s="3">
        <v>28</v>
      </c>
      <c r="I233" s="8">
        <v>42867</v>
      </c>
      <c r="J233" s="4">
        <v>52069</v>
      </c>
      <c r="K233" s="1">
        <v>0</v>
      </c>
      <c r="L233" t="s">
        <v>29</v>
      </c>
      <c r="M233" t="s">
        <v>30</v>
      </c>
      <c r="O233" s="5">
        <f t="shared" si="3"/>
        <v>0</v>
      </c>
      <c r="P233" s="6">
        <f>Table1[[#This Row],[Annual Salary]]+Table1[[#This Row],[Bonus Amount]]</f>
        <v>52069</v>
      </c>
      <c r="Q233" t="str">
        <f>IF(Table1[[#This Row],[Exit Date]]="", "Active","Exited")</f>
        <v>Active</v>
      </c>
      <c r="R233" s="2">
        <f ca="1">IFERROR(DATEDIF(Table1[[#This Row],[Hire Date]],IF(Table1[[#This Row],[Exit Date]]="",TODAY(),Table1[[#This Row],[Exit Date]]),"Y"),"")</f>
        <v>8</v>
      </c>
      <c r="S233" t="str" cm="1">
        <f t="array" ref="S233">_xlfn.IFS(Table1[[#This Row],[Age]]&lt;30,"Under 30",Table1[[#This Row],[Age]]&lt;=40,"30-40",Table1[[#This Row],[Age]]&lt;50,"41-50",TRUE,"50+")</f>
        <v>Under 30</v>
      </c>
    </row>
    <row r="234" spans="1:19" x14ac:dyDescent="0.35">
      <c r="A234" t="s">
        <v>538</v>
      </c>
      <c r="B234" t="s">
        <v>539</v>
      </c>
      <c r="C234" t="s">
        <v>79</v>
      </c>
      <c r="D234" t="s">
        <v>59</v>
      </c>
      <c r="E234" t="s">
        <v>49</v>
      </c>
      <c r="F234" t="s">
        <v>19</v>
      </c>
      <c r="G234" t="s">
        <v>85</v>
      </c>
      <c r="H234" s="3">
        <v>33</v>
      </c>
      <c r="I234" s="8">
        <v>44181</v>
      </c>
      <c r="J234" s="4">
        <v>258426</v>
      </c>
      <c r="K234" s="1">
        <v>0.4</v>
      </c>
      <c r="L234" t="s">
        <v>93</v>
      </c>
      <c r="M234" t="s">
        <v>99</v>
      </c>
      <c r="O234" s="5">
        <f t="shared" si="3"/>
        <v>103370.40000000001</v>
      </c>
      <c r="P234" s="6">
        <f>Table1[[#This Row],[Annual Salary]]+Table1[[#This Row],[Bonus Amount]]</f>
        <v>361796.4</v>
      </c>
      <c r="Q234" t="str">
        <f>IF(Table1[[#This Row],[Exit Date]]="", "Active","Exited")</f>
        <v>Active</v>
      </c>
      <c r="R234" s="2">
        <f ca="1">IFERROR(DATEDIF(Table1[[#This Row],[Hire Date]],IF(Table1[[#This Row],[Exit Date]]="",TODAY(),Table1[[#This Row],[Exit Date]]),"Y"),"")</f>
        <v>5</v>
      </c>
      <c r="S234" t="str" cm="1">
        <f t="array" ref="S234">_xlfn.IFS(Table1[[#This Row],[Age]]&lt;30,"Under 30",Table1[[#This Row],[Age]]&lt;=40,"30-40",Table1[[#This Row],[Age]]&lt;50,"41-50",TRUE,"50+")</f>
        <v>30-40</v>
      </c>
    </row>
    <row r="235" spans="1:19" x14ac:dyDescent="0.35">
      <c r="A235" t="s">
        <v>540</v>
      </c>
      <c r="B235" t="s">
        <v>541</v>
      </c>
      <c r="C235" t="s">
        <v>52</v>
      </c>
      <c r="D235" t="s">
        <v>34</v>
      </c>
      <c r="E235" t="s">
        <v>35</v>
      </c>
      <c r="F235" t="s">
        <v>27</v>
      </c>
      <c r="G235" t="s">
        <v>20</v>
      </c>
      <c r="H235" s="3">
        <v>51</v>
      </c>
      <c r="I235" s="8">
        <v>34746</v>
      </c>
      <c r="J235" s="4">
        <v>125375</v>
      </c>
      <c r="K235" s="1">
        <v>0.09</v>
      </c>
      <c r="L235" t="s">
        <v>21</v>
      </c>
      <c r="M235" t="s">
        <v>37</v>
      </c>
      <c r="O235" s="5">
        <f t="shared" si="3"/>
        <v>11283.75</v>
      </c>
      <c r="P235" s="6">
        <f>Table1[[#This Row],[Annual Salary]]+Table1[[#This Row],[Bonus Amount]]</f>
        <v>136658.75</v>
      </c>
      <c r="Q235" t="str">
        <f>IF(Table1[[#This Row],[Exit Date]]="", "Active","Exited")</f>
        <v>Active</v>
      </c>
      <c r="R235" s="2">
        <f ca="1">IFERROR(DATEDIF(Table1[[#This Row],[Hire Date]],IF(Table1[[#This Row],[Exit Date]]="",TODAY(),Table1[[#This Row],[Exit Date]]),"Y"),"")</f>
        <v>31</v>
      </c>
      <c r="S235" t="str" cm="1">
        <f t="array" ref="S235">_xlfn.IFS(Table1[[#This Row],[Age]]&lt;30,"Under 30",Table1[[#This Row],[Age]]&lt;=40,"30-40",Table1[[#This Row],[Age]]&lt;50,"41-50",TRUE,"50+")</f>
        <v>50+</v>
      </c>
    </row>
    <row r="236" spans="1:19" x14ac:dyDescent="0.35">
      <c r="A236" t="s">
        <v>542</v>
      </c>
      <c r="B236" t="s">
        <v>543</v>
      </c>
      <c r="C236" t="s">
        <v>79</v>
      </c>
      <c r="D236" t="s">
        <v>59</v>
      </c>
      <c r="E236" t="s">
        <v>26</v>
      </c>
      <c r="F236" t="s">
        <v>27</v>
      </c>
      <c r="G236" t="s">
        <v>28</v>
      </c>
      <c r="H236" s="3">
        <v>25</v>
      </c>
      <c r="I236" s="8">
        <v>44235</v>
      </c>
      <c r="J236" s="4">
        <v>198243</v>
      </c>
      <c r="K236" s="1">
        <v>0.31</v>
      </c>
      <c r="L236" t="s">
        <v>21</v>
      </c>
      <c r="M236" t="s">
        <v>56</v>
      </c>
      <c r="O236" s="5">
        <f t="shared" si="3"/>
        <v>61455.33</v>
      </c>
      <c r="P236" s="6">
        <f>Table1[[#This Row],[Annual Salary]]+Table1[[#This Row],[Bonus Amount]]</f>
        <v>259698.33000000002</v>
      </c>
      <c r="Q236" t="str">
        <f>IF(Table1[[#This Row],[Exit Date]]="", "Active","Exited")</f>
        <v>Active</v>
      </c>
      <c r="R236" s="2">
        <f ca="1">IFERROR(DATEDIF(Table1[[#This Row],[Hire Date]],IF(Table1[[#This Row],[Exit Date]]="",TODAY(),Table1[[#This Row],[Exit Date]]),"Y"),"")</f>
        <v>5</v>
      </c>
      <c r="S236" t="str" cm="1">
        <f t="array" ref="S236">_xlfn.IFS(Table1[[#This Row],[Age]]&lt;30,"Under 30",Table1[[#This Row],[Age]]&lt;=40,"30-40",Table1[[#This Row],[Age]]&lt;50,"41-50",TRUE,"50+")</f>
        <v>Under 30</v>
      </c>
    </row>
    <row r="237" spans="1:19" x14ac:dyDescent="0.35">
      <c r="A237" t="s">
        <v>544</v>
      </c>
      <c r="B237" t="s">
        <v>545</v>
      </c>
      <c r="C237" t="s">
        <v>223</v>
      </c>
      <c r="D237" t="s">
        <v>69</v>
      </c>
      <c r="E237" t="s">
        <v>18</v>
      </c>
      <c r="F237" t="s">
        <v>19</v>
      </c>
      <c r="G237" t="s">
        <v>85</v>
      </c>
      <c r="H237" s="3">
        <v>42</v>
      </c>
      <c r="I237" s="8">
        <v>43062</v>
      </c>
      <c r="J237" s="4">
        <v>96023</v>
      </c>
      <c r="K237" s="1">
        <v>0</v>
      </c>
      <c r="L237" t="s">
        <v>21</v>
      </c>
      <c r="M237" t="s">
        <v>56</v>
      </c>
      <c r="O237" s="5">
        <f t="shared" si="3"/>
        <v>0</v>
      </c>
      <c r="P237" s="6">
        <f>Table1[[#This Row],[Annual Salary]]+Table1[[#This Row],[Bonus Amount]]</f>
        <v>96023</v>
      </c>
      <c r="Q237" t="str">
        <f>IF(Table1[[#This Row],[Exit Date]]="", "Active","Exited")</f>
        <v>Active</v>
      </c>
      <c r="R237" s="2">
        <f ca="1">IFERROR(DATEDIF(Table1[[#This Row],[Hire Date]],IF(Table1[[#This Row],[Exit Date]]="",TODAY(),Table1[[#This Row],[Exit Date]]),"Y"),"")</f>
        <v>8</v>
      </c>
      <c r="S237" t="str" cm="1">
        <f t="array" ref="S237">_xlfn.IFS(Table1[[#This Row],[Age]]&lt;30,"Under 30",Table1[[#This Row],[Age]]&lt;=40,"30-40",Table1[[#This Row],[Age]]&lt;50,"41-50",TRUE,"50+")</f>
        <v>41-50</v>
      </c>
    </row>
    <row r="238" spans="1:19" x14ac:dyDescent="0.35">
      <c r="A238" t="s">
        <v>546</v>
      </c>
      <c r="B238" t="s">
        <v>547</v>
      </c>
      <c r="C238" t="s">
        <v>43</v>
      </c>
      <c r="D238" t="s">
        <v>80</v>
      </c>
      <c r="E238" t="s">
        <v>18</v>
      </c>
      <c r="F238" t="s">
        <v>19</v>
      </c>
      <c r="G238" t="s">
        <v>36</v>
      </c>
      <c r="H238" s="3">
        <v>34</v>
      </c>
      <c r="I238" s="8">
        <v>41085</v>
      </c>
      <c r="J238" s="4">
        <v>83066</v>
      </c>
      <c r="K238" s="1">
        <v>0</v>
      </c>
      <c r="L238" t="s">
        <v>21</v>
      </c>
      <c r="M238" t="s">
        <v>37</v>
      </c>
      <c r="N238" s="7">
        <v>41430</v>
      </c>
      <c r="O238" s="5">
        <f t="shared" si="3"/>
        <v>0</v>
      </c>
      <c r="P238" s="6">
        <f>Table1[[#This Row],[Annual Salary]]+Table1[[#This Row],[Bonus Amount]]</f>
        <v>83066</v>
      </c>
      <c r="Q238" t="str">
        <f>IF(Table1[[#This Row],[Exit Date]]="", "Active","Exited")</f>
        <v>Exited</v>
      </c>
      <c r="R238" s="2">
        <f ca="1">IFERROR(DATEDIF(Table1[[#This Row],[Hire Date]],IF(Table1[[#This Row],[Exit Date]]="",TODAY(),Table1[[#This Row],[Exit Date]]),"Y"),"")</f>
        <v>0</v>
      </c>
      <c r="S238" t="str" cm="1">
        <f t="array" ref="S238">_xlfn.IFS(Table1[[#This Row],[Age]]&lt;30,"Under 30",Table1[[#This Row],[Age]]&lt;=40,"30-40",Table1[[#This Row],[Age]]&lt;50,"41-50",TRUE,"50+")</f>
        <v>30-40</v>
      </c>
    </row>
    <row r="239" spans="1:19" x14ac:dyDescent="0.35">
      <c r="A239" t="s">
        <v>548</v>
      </c>
      <c r="B239" t="s">
        <v>549</v>
      </c>
      <c r="C239" t="s">
        <v>124</v>
      </c>
      <c r="D239" t="s">
        <v>48</v>
      </c>
      <c r="E239" t="s">
        <v>18</v>
      </c>
      <c r="F239" t="s">
        <v>19</v>
      </c>
      <c r="G239" t="s">
        <v>85</v>
      </c>
      <c r="H239" s="3">
        <v>48</v>
      </c>
      <c r="I239" s="8">
        <v>41773</v>
      </c>
      <c r="J239" s="4">
        <v>61216</v>
      </c>
      <c r="K239" s="1">
        <v>0</v>
      </c>
      <c r="L239" t="s">
        <v>21</v>
      </c>
      <c r="M239" t="s">
        <v>22</v>
      </c>
      <c r="O239" s="5">
        <f t="shared" si="3"/>
        <v>0</v>
      </c>
      <c r="P239" s="6">
        <f>Table1[[#This Row],[Annual Salary]]+Table1[[#This Row],[Bonus Amount]]</f>
        <v>61216</v>
      </c>
      <c r="Q239" t="str">
        <f>IF(Table1[[#This Row],[Exit Date]]="", "Active","Exited")</f>
        <v>Active</v>
      </c>
      <c r="R239" s="2">
        <f ca="1">IFERROR(DATEDIF(Table1[[#This Row],[Hire Date]],IF(Table1[[#This Row],[Exit Date]]="",TODAY(),Table1[[#This Row],[Exit Date]]),"Y"),"")</f>
        <v>11</v>
      </c>
      <c r="S239" t="str" cm="1">
        <f t="array" ref="S239">_xlfn.IFS(Table1[[#This Row],[Age]]&lt;30,"Under 30",Table1[[#This Row],[Age]]&lt;=40,"30-40",Table1[[#This Row],[Age]]&lt;50,"41-50",TRUE,"50+")</f>
        <v>41-50</v>
      </c>
    </row>
    <row r="240" spans="1:19" x14ac:dyDescent="0.35">
      <c r="A240" t="s">
        <v>550</v>
      </c>
      <c r="B240" t="s">
        <v>551</v>
      </c>
      <c r="C240" t="s">
        <v>16</v>
      </c>
      <c r="D240" t="s">
        <v>59</v>
      </c>
      <c r="E240" t="s">
        <v>49</v>
      </c>
      <c r="F240" t="s">
        <v>27</v>
      </c>
      <c r="G240" t="s">
        <v>36</v>
      </c>
      <c r="H240" s="3">
        <v>33</v>
      </c>
      <c r="I240" s="8">
        <v>41315</v>
      </c>
      <c r="J240" s="4">
        <v>144231</v>
      </c>
      <c r="K240" s="1">
        <v>0.14000000000000001</v>
      </c>
      <c r="L240" t="s">
        <v>21</v>
      </c>
      <c r="M240" t="s">
        <v>88</v>
      </c>
      <c r="N240" s="7">
        <v>44029</v>
      </c>
      <c r="O240" s="5">
        <f t="shared" si="3"/>
        <v>20192.34</v>
      </c>
      <c r="P240" s="6">
        <f>Table1[[#This Row],[Annual Salary]]+Table1[[#This Row],[Bonus Amount]]</f>
        <v>164423.34</v>
      </c>
      <c r="Q240" t="str">
        <f>IF(Table1[[#This Row],[Exit Date]]="", "Active","Exited")</f>
        <v>Exited</v>
      </c>
      <c r="R240" s="2">
        <f ca="1">IFERROR(DATEDIF(Table1[[#This Row],[Hire Date]],IF(Table1[[#This Row],[Exit Date]]="",TODAY(),Table1[[#This Row],[Exit Date]]),"Y"),"")</f>
        <v>7</v>
      </c>
      <c r="S240" t="str" cm="1">
        <f t="array" ref="S240">_xlfn.IFS(Table1[[#This Row],[Age]]&lt;30,"Under 30",Table1[[#This Row],[Age]]&lt;=40,"30-40",Table1[[#This Row],[Age]]&lt;50,"41-50",TRUE,"50+")</f>
        <v>30-40</v>
      </c>
    </row>
    <row r="241" spans="1:19" x14ac:dyDescent="0.35">
      <c r="A241" t="s">
        <v>552</v>
      </c>
      <c r="B241" t="s">
        <v>553</v>
      </c>
      <c r="C241" t="s">
        <v>164</v>
      </c>
      <c r="D241" t="s">
        <v>65</v>
      </c>
      <c r="E241" t="s">
        <v>18</v>
      </c>
      <c r="F241" t="s">
        <v>27</v>
      </c>
      <c r="G241" t="s">
        <v>28</v>
      </c>
      <c r="H241" s="3">
        <v>41</v>
      </c>
      <c r="I241" s="8">
        <v>39379</v>
      </c>
      <c r="J241" s="4">
        <v>51630</v>
      </c>
      <c r="K241" s="1">
        <v>0</v>
      </c>
      <c r="L241" t="s">
        <v>29</v>
      </c>
      <c r="M241" t="s">
        <v>114</v>
      </c>
      <c r="O241" s="5">
        <f t="shared" si="3"/>
        <v>0</v>
      </c>
      <c r="P241" s="6">
        <f>Table1[[#This Row],[Annual Salary]]+Table1[[#This Row],[Bonus Amount]]</f>
        <v>51630</v>
      </c>
      <c r="Q241" t="str">
        <f>IF(Table1[[#This Row],[Exit Date]]="", "Active","Exited")</f>
        <v>Active</v>
      </c>
      <c r="R241" s="2">
        <f ca="1">IFERROR(DATEDIF(Table1[[#This Row],[Hire Date]],IF(Table1[[#This Row],[Exit Date]]="",TODAY(),Table1[[#This Row],[Exit Date]]),"Y"),"")</f>
        <v>18</v>
      </c>
      <c r="S241" t="str" cm="1">
        <f t="array" ref="S241">_xlfn.IFS(Table1[[#This Row],[Age]]&lt;30,"Under 30",Table1[[#This Row],[Age]]&lt;=40,"30-40",Table1[[#This Row],[Age]]&lt;50,"41-50",TRUE,"50+")</f>
        <v>41-50</v>
      </c>
    </row>
    <row r="242" spans="1:19" x14ac:dyDescent="0.35">
      <c r="A242" t="s">
        <v>554</v>
      </c>
      <c r="B242" t="s">
        <v>555</v>
      </c>
      <c r="C242" t="s">
        <v>16</v>
      </c>
      <c r="D242" t="s">
        <v>48</v>
      </c>
      <c r="E242" t="s">
        <v>49</v>
      </c>
      <c r="F242" t="s">
        <v>27</v>
      </c>
      <c r="G242" t="s">
        <v>85</v>
      </c>
      <c r="H242" s="3">
        <v>55</v>
      </c>
      <c r="I242" s="8">
        <v>41594</v>
      </c>
      <c r="J242" s="4">
        <v>124129</v>
      </c>
      <c r="K242" s="1">
        <v>0.15</v>
      </c>
      <c r="L242" t="s">
        <v>93</v>
      </c>
      <c r="M242" t="s">
        <v>218</v>
      </c>
      <c r="O242" s="5">
        <f t="shared" si="3"/>
        <v>18619.349999999999</v>
      </c>
      <c r="P242" s="6">
        <f>Table1[[#This Row],[Annual Salary]]+Table1[[#This Row],[Bonus Amount]]</f>
        <v>142748.35</v>
      </c>
      <c r="Q242" t="str">
        <f>IF(Table1[[#This Row],[Exit Date]]="", "Active","Exited")</f>
        <v>Active</v>
      </c>
      <c r="R242" s="2">
        <f ca="1">IFERROR(DATEDIF(Table1[[#This Row],[Hire Date]],IF(Table1[[#This Row],[Exit Date]]="",TODAY(),Table1[[#This Row],[Exit Date]]),"Y"),"")</f>
        <v>12</v>
      </c>
      <c r="S242" t="str" cm="1">
        <f t="array" ref="S242">_xlfn.IFS(Table1[[#This Row],[Age]]&lt;30,"Under 30",Table1[[#This Row],[Age]]&lt;=40,"30-40",Table1[[#This Row],[Age]]&lt;50,"41-50",TRUE,"50+")</f>
        <v>50+</v>
      </c>
    </row>
    <row r="243" spans="1:19" x14ac:dyDescent="0.35">
      <c r="A243" t="s">
        <v>556</v>
      </c>
      <c r="B243" t="s">
        <v>557</v>
      </c>
      <c r="C243" t="s">
        <v>223</v>
      </c>
      <c r="D243" t="s">
        <v>69</v>
      </c>
      <c r="E243" t="s">
        <v>26</v>
      </c>
      <c r="F243" t="s">
        <v>27</v>
      </c>
      <c r="G243" t="s">
        <v>85</v>
      </c>
      <c r="H243" s="3">
        <v>36</v>
      </c>
      <c r="I243" s="8">
        <v>39912</v>
      </c>
      <c r="J243" s="4">
        <v>60055</v>
      </c>
      <c r="K243" s="1">
        <v>0</v>
      </c>
      <c r="L243" t="s">
        <v>21</v>
      </c>
      <c r="M243" t="s">
        <v>22</v>
      </c>
      <c r="O243" s="5">
        <f t="shared" si="3"/>
        <v>0</v>
      </c>
      <c r="P243" s="6">
        <f>Table1[[#This Row],[Annual Salary]]+Table1[[#This Row],[Bonus Amount]]</f>
        <v>60055</v>
      </c>
      <c r="Q243" t="str">
        <f>IF(Table1[[#This Row],[Exit Date]]="", "Active","Exited")</f>
        <v>Active</v>
      </c>
      <c r="R243" s="2">
        <f ca="1">IFERROR(DATEDIF(Table1[[#This Row],[Hire Date]],IF(Table1[[#This Row],[Exit Date]]="",TODAY(),Table1[[#This Row],[Exit Date]]),"Y"),"")</f>
        <v>16</v>
      </c>
      <c r="S243" t="str" cm="1">
        <f t="array" ref="S243">_xlfn.IFS(Table1[[#This Row],[Age]]&lt;30,"Under 30",Table1[[#This Row],[Age]]&lt;=40,"30-40",Table1[[#This Row],[Age]]&lt;50,"41-50",TRUE,"50+")</f>
        <v>30-40</v>
      </c>
    </row>
    <row r="244" spans="1:19" x14ac:dyDescent="0.35">
      <c r="A244" t="s">
        <v>558</v>
      </c>
      <c r="B244" t="s">
        <v>559</v>
      </c>
      <c r="C244" t="s">
        <v>33</v>
      </c>
      <c r="D244" t="s">
        <v>69</v>
      </c>
      <c r="E244" t="s">
        <v>18</v>
      </c>
      <c r="F244" t="s">
        <v>27</v>
      </c>
      <c r="G244" t="s">
        <v>85</v>
      </c>
      <c r="H244" s="3">
        <v>31</v>
      </c>
      <c r="I244" s="8">
        <v>44069</v>
      </c>
      <c r="J244" s="4">
        <v>189290</v>
      </c>
      <c r="K244" s="1">
        <v>0.22</v>
      </c>
      <c r="L244" t="s">
        <v>93</v>
      </c>
      <c r="M244" t="s">
        <v>218</v>
      </c>
      <c r="N244" s="7">
        <v>44099</v>
      </c>
      <c r="O244" s="5">
        <f t="shared" si="3"/>
        <v>41643.800000000003</v>
      </c>
      <c r="P244" s="6">
        <f>Table1[[#This Row],[Annual Salary]]+Table1[[#This Row],[Bonus Amount]]</f>
        <v>230933.8</v>
      </c>
      <c r="Q244" t="str">
        <f>IF(Table1[[#This Row],[Exit Date]]="", "Active","Exited")</f>
        <v>Exited</v>
      </c>
      <c r="R244" s="2">
        <f ca="1">IFERROR(DATEDIF(Table1[[#This Row],[Hire Date]],IF(Table1[[#This Row],[Exit Date]]="",TODAY(),Table1[[#This Row],[Exit Date]]),"Y"),"")</f>
        <v>0</v>
      </c>
      <c r="S244" t="str" cm="1">
        <f t="array" ref="S244">_xlfn.IFS(Table1[[#This Row],[Age]]&lt;30,"Under 30",Table1[[#This Row],[Age]]&lt;=40,"30-40",Table1[[#This Row],[Age]]&lt;50,"41-50",TRUE,"50+")</f>
        <v>30-40</v>
      </c>
    </row>
    <row r="245" spans="1:19" x14ac:dyDescent="0.35">
      <c r="A245" t="s">
        <v>560</v>
      </c>
      <c r="B245" t="s">
        <v>561</v>
      </c>
      <c r="C245" t="s">
        <v>79</v>
      </c>
      <c r="D245" t="s">
        <v>17</v>
      </c>
      <c r="E245" t="s">
        <v>49</v>
      </c>
      <c r="F245" t="s">
        <v>19</v>
      </c>
      <c r="G245" t="s">
        <v>28</v>
      </c>
      <c r="H245" s="3">
        <v>53</v>
      </c>
      <c r="I245" s="8">
        <v>39568</v>
      </c>
      <c r="J245" s="4">
        <v>182202</v>
      </c>
      <c r="K245" s="1">
        <v>0.3</v>
      </c>
      <c r="L245" t="s">
        <v>21</v>
      </c>
      <c r="M245" t="s">
        <v>60</v>
      </c>
      <c r="O245" s="5">
        <f t="shared" si="3"/>
        <v>54660.6</v>
      </c>
      <c r="P245" s="6">
        <f>Table1[[#This Row],[Annual Salary]]+Table1[[#This Row],[Bonus Amount]]</f>
        <v>236862.6</v>
      </c>
      <c r="Q245" t="str">
        <f>IF(Table1[[#This Row],[Exit Date]]="", "Active","Exited")</f>
        <v>Active</v>
      </c>
      <c r="R245" s="2">
        <f ca="1">IFERROR(DATEDIF(Table1[[#This Row],[Hire Date]],IF(Table1[[#This Row],[Exit Date]]="",TODAY(),Table1[[#This Row],[Exit Date]]),"Y"),"")</f>
        <v>17</v>
      </c>
      <c r="S245" t="str" cm="1">
        <f t="array" ref="S245">_xlfn.IFS(Table1[[#This Row],[Age]]&lt;30,"Under 30",Table1[[#This Row],[Age]]&lt;=40,"30-40",Table1[[#This Row],[Age]]&lt;50,"41-50",TRUE,"50+")</f>
        <v>50+</v>
      </c>
    </row>
    <row r="246" spans="1:19" x14ac:dyDescent="0.35">
      <c r="A246" t="s">
        <v>562</v>
      </c>
      <c r="B246" t="s">
        <v>563</v>
      </c>
      <c r="C246" t="s">
        <v>52</v>
      </c>
      <c r="D246" t="s">
        <v>48</v>
      </c>
      <c r="E246" t="s">
        <v>35</v>
      </c>
      <c r="F246" t="s">
        <v>27</v>
      </c>
      <c r="G246" t="s">
        <v>36</v>
      </c>
      <c r="H246" s="3">
        <v>43</v>
      </c>
      <c r="I246" s="8">
        <v>38748</v>
      </c>
      <c r="J246" s="4">
        <v>117518</v>
      </c>
      <c r="K246" s="1">
        <v>7.0000000000000007E-2</v>
      </c>
      <c r="L246" t="s">
        <v>21</v>
      </c>
      <c r="M246" t="s">
        <v>22</v>
      </c>
      <c r="O246" s="5">
        <f t="shared" si="3"/>
        <v>8226.26</v>
      </c>
      <c r="P246" s="6">
        <f>Table1[[#This Row],[Annual Salary]]+Table1[[#This Row],[Bonus Amount]]</f>
        <v>125744.26</v>
      </c>
      <c r="Q246" t="str">
        <f>IF(Table1[[#This Row],[Exit Date]]="", "Active","Exited")</f>
        <v>Active</v>
      </c>
      <c r="R246" s="2">
        <f ca="1">IFERROR(DATEDIF(Table1[[#This Row],[Hire Date]],IF(Table1[[#This Row],[Exit Date]]="",TODAY(),Table1[[#This Row],[Exit Date]]),"Y"),"")</f>
        <v>20</v>
      </c>
      <c r="S246" t="str" cm="1">
        <f t="array" ref="S246">_xlfn.IFS(Table1[[#This Row],[Age]]&lt;30,"Under 30",Table1[[#This Row],[Age]]&lt;=40,"30-40",Table1[[#This Row],[Age]]&lt;50,"41-50",TRUE,"50+")</f>
        <v>41-50</v>
      </c>
    </row>
    <row r="247" spans="1:19" x14ac:dyDescent="0.35">
      <c r="A247" t="s">
        <v>564</v>
      </c>
      <c r="B247" t="s">
        <v>565</v>
      </c>
      <c r="C247" t="s">
        <v>16</v>
      </c>
      <c r="D247" t="s">
        <v>34</v>
      </c>
      <c r="E247" t="s">
        <v>26</v>
      </c>
      <c r="F247" t="s">
        <v>19</v>
      </c>
      <c r="G247" t="s">
        <v>85</v>
      </c>
      <c r="H247" s="3">
        <v>37</v>
      </c>
      <c r="I247" s="8">
        <v>41329</v>
      </c>
      <c r="J247" s="4">
        <v>157474</v>
      </c>
      <c r="K247" s="1">
        <v>0.11</v>
      </c>
      <c r="L247" t="s">
        <v>93</v>
      </c>
      <c r="M247" t="s">
        <v>99</v>
      </c>
      <c r="O247" s="5">
        <f t="shared" si="3"/>
        <v>17322.14</v>
      </c>
      <c r="P247" s="6">
        <f>Table1[[#This Row],[Annual Salary]]+Table1[[#This Row],[Bonus Amount]]</f>
        <v>174796.14</v>
      </c>
      <c r="Q247" t="str">
        <f>IF(Table1[[#This Row],[Exit Date]]="", "Active","Exited")</f>
        <v>Active</v>
      </c>
      <c r="R247" s="2">
        <f ca="1">IFERROR(DATEDIF(Table1[[#This Row],[Hire Date]],IF(Table1[[#This Row],[Exit Date]]="",TODAY(),Table1[[#This Row],[Exit Date]]),"Y"),"")</f>
        <v>13</v>
      </c>
      <c r="S247" t="str" cm="1">
        <f t="array" ref="S247">_xlfn.IFS(Table1[[#This Row],[Age]]&lt;30,"Under 30",Table1[[#This Row],[Age]]&lt;=40,"30-40",Table1[[#This Row],[Age]]&lt;50,"41-50",TRUE,"50+")</f>
        <v>30-40</v>
      </c>
    </row>
    <row r="248" spans="1:19" x14ac:dyDescent="0.35">
      <c r="A248" t="s">
        <v>566</v>
      </c>
      <c r="B248" t="s">
        <v>567</v>
      </c>
      <c r="C248" t="s">
        <v>52</v>
      </c>
      <c r="D248" t="s">
        <v>80</v>
      </c>
      <c r="E248" t="s">
        <v>26</v>
      </c>
      <c r="F248" t="s">
        <v>27</v>
      </c>
      <c r="G248" t="s">
        <v>36</v>
      </c>
      <c r="H248" s="3">
        <v>38</v>
      </c>
      <c r="I248" s="8">
        <v>39544</v>
      </c>
      <c r="J248" s="4">
        <v>126856</v>
      </c>
      <c r="K248" s="1">
        <v>0.06</v>
      </c>
      <c r="L248" t="s">
        <v>21</v>
      </c>
      <c r="M248" t="s">
        <v>88</v>
      </c>
      <c r="O248" s="5">
        <f t="shared" si="3"/>
        <v>7611.36</v>
      </c>
      <c r="P248" s="6">
        <f>Table1[[#This Row],[Annual Salary]]+Table1[[#This Row],[Bonus Amount]]</f>
        <v>134467.35999999999</v>
      </c>
      <c r="Q248" t="str">
        <f>IF(Table1[[#This Row],[Exit Date]]="", "Active","Exited")</f>
        <v>Active</v>
      </c>
      <c r="R248" s="2">
        <f ca="1">IFERROR(DATEDIF(Table1[[#This Row],[Hire Date]],IF(Table1[[#This Row],[Exit Date]]="",TODAY(),Table1[[#This Row],[Exit Date]]),"Y"),"")</f>
        <v>17</v>
      </c>
      <c r="S248" t="str" cm="1">
        <f t="array" ref="S248">_xlfn.IFS(Table1[[#This Row],[Age]]&lt;30,"Under 30",Table1[[#This Row],[Age]]&lt;=40,"30-40",Table1[[#This Row],[Age]]&lt;50,"41-50",TRUE,"50+")</f>
        <v>30-40</v>
      </c>
    </row>
    <row r="249" spans="1:19" x14ac:dyDescent="0.35">
      <c r="A249" t="s">
        <v>568</v>
      </c>
      <c r="B249" t="s">
        <v>569</v>
      </c>
      <c r="C249" t="s">
        <v>16</v>
      </c>
      <c r="D249" t="s">
        <v>59</v>
      </c>
      <c r="E249" t="s">
        <v>26</v>
      </c>
      <c r="F249" t="s">
        <v>19</v>
      </c>
      <c r="G249" t="s">
        <v>28</v>
      </c>
      <c r="H249" s="3">
        <v>49</v>
      </c>
      <c r="I249" s="8">
        <v>36983</v>
      </c>
      <c r="J249" s="4">
        <v>129124</v>
      </c>
      <c r="K249" s="1">
        <v>0.12</v>
      </c>
      <c r="L249" t="s">
        <v>29</v>
      </c>
      <c r="M249" t="s">
        <v>74</v>
      </c>
      <c r="O249" s="5">
        <f t="shared" si="3"/>
        <v>15494.88</v>
      </c>
      <c r="P249" s="6">
        <f>Table1[[#This Row],[Annual Salary]]+Table1[[#This Row],[Bonus Amount]]</f>
        <v>144618.88</v>
      </c>
      <c r="Q249" t="str">
        <f>IF(Table1[[#This Row],[Exit Date]]="", "Active","Exited")</f>
        <v>Active</v>
      </c>
      <c r="R249" s="2">
        <f ca="1">IFERROR(DATEDIF(Table1[[#This Row],[Hire Date]],IF(Table1[[#This Row],[Exit Date]]="",TODAY(),Table1[[#This Row],[Exit Date]]),"Y"),"")</f>
        <v>24</v>
      </c>
      <c r="S249" t="str" cm="1">
        <f t="array" ref="S249">_xlfn.IFS(Table1[[#This Row],[Age]]&lt;30,"Under 30",Table1[[#This Row],[Age]]&lt;=40,"30-40",Table1[[#This Row],[Age]]&lt;50,"41-50",TRUE,"50+")</f>
        <v>41-50</v>
      </c>
    </row>
    <row r="250" spans="1:19" x14ac:dyDescent="0.35">
      <c r="A250" t="s">
        <v>570</v>
      </c>
      <c r="B250" t="s">
        <v>571</v>
      </c>
      <c r="C250" t="s">
        <v>33</v>
      </c>
      <c r="D250" t="s">
        <v>48</v>
      </c>
      <c r="E250" t="s">
        <v>18</v>
      </c>
      <c r="F250" t="s">
        <v>19</v>
      </c>
      <c r="G250" t="s">
        <v>28</v>
      </c>
      <c r="H250" s="3">
        <v>45</v>
      </c>
      <c r="I250" s="8">
        <v>37316</v>
      </c>
      <c r="J250" s="4">
        <v>165181</v>
      </c>
      <c r="K250" s="1">
        <v>0.16</v>
      </c>
      <c r="L250" t="s">
        <v>21</v>
      </c>
      <c r="M250" t="s">
        <v>22</v>
      </c>
      <c r="O250" s="5">
        <f t="shared" si="3"/>
        <v>26428.959999999999</v>
      </c>
      <c r="P250" s="6">
        <f>Table1[[#This Row],[Annual Salary]]+Table1[[#This Row],[Bonus Amount]]</f>
        <v>191609.96</v>
      </c>
      <c r="Q250" t="str">
        <f>IF(Table1[[#This Row],[Exit Date]]="", "Active","Exited")</f>
        <v>Active</v>
      </c>
      <c r="R250" s="2">
        <f ca="1">IFERROR(DATEDIF(Table1[[#This Row],[Hire Date]],IF(Table1[[#This Row],[Exit Date]]="",TODAY(),Table1[[#This Row],[Exit Date]]),"Y"),"")</f>
        <v>24</v>
      </c>
      <c r="S250" t="str" cm="1">
        <f t="array" ref="S250">_xlfn.IFS(Table1[[#This Row],[Age]]&lt;30,"Under 30",Table1[[#This Row],[Age]]&lt;=40,"30-40",Table1[[#This Row],[Age]]&lt;50,"41-50",TRUE,"50+")</f>
        <v>41-50</v>
      </c>
    </row>
    <row r="251" spans="1:19" x14ac:dyDescent="0.35">
      <c r="A251" t="s">
        <v>572</v>
      </c>
      <c r="B251" t="s">
        <v>573</v>
      </c>
      <c r="C251" t="s">
        <v>79</v>
      </c>
      <c r="D251" t="s">
        <v>34</v>
      </c>
      <c r="E251" t="s">
        <v>49</v>
      </c>
      <c r="F251" t="s">
        <v>27</v>
      </c>
      <c r="G251" t="s">
        <v>85</v>
      </c>
      <c r="H251" s="3">
        <v>50</v>
      </c>
      <c r="I251" s="8">
        <v>38004</v>
      </c>
      <c r="J251" s="4">
        <v>247939</v>
      </c>
      <c r="K251" s="1">
        <v>0.35</v>
      </c>
      <c r="L251" t="s">
        <v>93</v>
      </c>
      <c r="M251" t="s">
        <v>99</v>
      </c>
      <c r="O251" s="5">
        <f t="shared" si="3"/>
        <v>86778.65</v>
      </c>
      <c r="P251" s="6">
        <f>Table1[[#This Row],[Annual Salary]]+Table1[[#This Row],[Bonus Amount]]</f>
        <v>334717.65000000002</v>
      </c>
      <c r="Q251" t="str">
        <f>IF(Table1[[#This Row],[Exit Date]]="", "Active","Exited")</f>
        <v>Active</v>
      </c>
      <c r="R251" s="2">
        <f ca="1">IFERROR(DATEDIF(Table1[[#This Row],[Hire Date]],IF(Table1[[#This Row],[Exit Date]]="",TODAY(),Table1[[#This Row],[Exit Date]]),"Y"),"")</f>
        <v>22</v>
      </c>
      <c r="S251" t="str" cm="1">
        <f t="array" ref="S251">_xlfn.IFS(Table1[[#This Row],[Age]]&lt;30,"Under 30",Table1[[#This Row],[Age]]&lt;=40,"30-40",Table1[[#This Row],[Age]]&lt;50,"41-50",TRUE,"50+")</f>
        <v>50+</v>
      </c>
    </row>
    <row r="252" spans="1:19" x14ac:dyDescent="0.35">
      <c r="A252" t="s">
        <v>574</v>
      </c>
      <c r="B252" t="s">
        <v>575</v>
      </c>
      <c r="C252" t="s">
        <v>33</v>
      </c>
      <c r="D252" t="s">
        <v>69</v>
      </c>
      <c r="E252" t="s">
        <v>35</v>
      </c>
      <c r="F252" t="s">
        <v>27</v>
      </c>
      <c r="G252" t="s">
        <v>85</v>
      </c>
      <c r="H252" s="3">
        <v>64</v>
      </c>
      <c r="I252" s="8">
        <v>42972</v>
      </c>
      <c r="J252" s="4">
        <v>169509</v>
      </c>
      <c r="K252" s="1">
        <v>0.18</v>
      </c>
      <c r="L252" t="s">
        <v>93</v>
      </c>
      <c r="M252" t="s">
        <v>94</v>
      </c>
      <c r="O252" s="5">
        <f t="shared" si="3"/>
        <v>30511.62</v>
      </c>
      <c r="P252" s="6">
        <f>Table1[[#This Row],[Annual Salary]]+Table1[[#This Row],[Bonus Amount]]</f>
        <v>200020.62</v>
      </c>
      <c r="Q252" t="str">
        <f>IF(Table1[[#This Row],[Exit Date]]="", "Active","Exited")</f>
        <v>Active</v>
      </c>
      <c r="R252" s="2">
        <f ca="1">IFERROR(DATEDIF(Table1[[#This Row],[Hire Date]],IF(Table1[[#This Row],[Exit Date]]="",TODAY(),Table1[[#This Row],[Exit Date]]),"Y"),"")</f>
        <v>8</v>
      </c>
      <c r="S252" t="str" cm="1">
        <f t="array" ref="S252">_xlfn.IFS(Table1[[#This Row],[Age]]&lt;30,"Under 30",Table1[[#This Row],[Age]]&lt;=40,"30-40",Table1[[#This Row],[Age]]&lt;50,"41-50",TRUE,"50+")</f>
        <v>50+</v>
      </c>
    </row>
    <row r="253" spans="1:19" x14ac:dyDescent="0.35">
      <c r="A253" t="s">
        <v>576</v>
      </c>
      <c r="B253" t="s">
        <v>577</v>
      </c>
      <c r="C253" t="s">
        <v>16</v>
      </c>
      <c r="D253" t="s">
        <v>59</v>
      </c>
      <c r="E253" t="s">
        <v>26</v>
      </c>
      <c r="F253" t="s">
        <v>19</v>
      </c>
      <c r="G253" t="s">
        <v>36</v>
      </c>
      <c r="H253" s="3">
        <v>55</v>
      </c>
      <c r="I253" s="8">
        <v>40552</v>
      </c>
      <c r="J253" s="4">
        <v>138521</v>
      </c>
      <c r="K253" s="1">
        <v>0.1</v>
      </c>
      <c r="L253" t="s">
        <v>21</v>
      </c>
      <c r="M253" t="s">
        <v>56</v>
      </c>
      <c r="O253" s="5">
        <f t="shared" si="3"/>
        <v>13852.1</v>
      </c>
      <c r="P253" s="6">
        <f>Table1[[#This Row],[Annual Salary]]+Table1[[#This Row],[Bonus Amount]]</f>
        <v>152373.1</v>
      </c>
      <c r="Q253" t="str">
        <f>IF(Table1[[#This Row],[Exit Date]]="", "Active","Exited")</f>
        <v>Active</v>
      </c>
      <c r="R253" s="2">
        <f ca="1">IFERROR(DATEDIF(Table1[[#This Row],[Hire Date]],IF(Table1[[#This Row],[Exit Date]]="",TODAY(),Table1[[#This Row],[Exit Date]]),"Y"),"")</f>
        <v>15</v>
      </c>
      <c r="S253" t="str" cm="1">
        <f t="array" ref="S253">_xlfn.IFS(Table1[[#This Row],[Age]]&lt;30,"Under 30",Table1[[#This Row],[Age]]&lt;=40,"30-40",Table1[[#This Row],[Age]]&lt;50,"41-50",TRUE,"50+")</f>
        <v>50+</v>
      </c>
    </row>
    <row r="254" spans="1:19" x14ac:dyDescent="0.35">
      <c r="A254" t="s">
        <v>578</v>
      </c>
      <c r="B254" t="s">
        <v>579</v>
      </c>
      <c r="C254" t="s">
        <v>113</v>
      </c>
      <c r="D254" t="s">
        <v>69</v>
      </c>
      <c r="E254" t="s">
        <v>35</v>
      </c>
      <c r="F254" t="s">
        <v>19</v>
      </c>
      <c r="G254" t="s">
        <v>85</v>
      </c>
      <c r="H254" s="3">
        <v>45</v>
      </c>
      <c r="I254" s="8">
        <v>41712</v>
      </c>
      <c r="J254" s="4">
        <v>113873</v>
      </c>
      <c r="K254" s="1">
        <v>0.11</v>
      </c>
      <c r="L254" t="s">
        <v>93</v>
      </c>
      <c r="M254" t="s">
        <v>99</v>
      </c>
      <c r="O254" s="5">
        <f t="shared" si="3"/>
        <v>12526.03</v>
      </c>
      <c r="P254" s="6">
        <f>Table1[[#This Row],[Annual Salary]]+Table1[[#This Row],[Bonus Amount]]</f>
        <v>126399.03</v>
      </c>
      <c r="Q254" t="str">
        <f>IF(Table1[[#This Row],[Exit Date]]="", "Active","Exited")</f>
        <v>Active</v>
      </c>
      <c r="R254" s="2">
        <f ca="1">IFERROR(DATEDIF(Table1[[#This Row],[Hire Date]],IF(Table1[[#This Row],[Exit Date]]="",TODAY(),Table1[[#This Row],[Exit Date]]),"Y"),"")</f>
        <v>12</v>
      </c>
      <c r="S254" t="str" cm="1">
        <f t="array" ref="S254">_xlfn.IFS(Table1[[#This Row],[Age]]&lt;30,"Under 30",Table1[[#This Row],[Age]]&lt;=40,"30-40",Table1[[#This Row],[Age]]&lt;50,"41-50",TRUE,"50+")</f>
        <v>41-50</v>
      </c>
    </row>
    <row r="255" spans="1:19" x14ac:dyDescent="0.35">
      <c r="A255" t="s">
        <v>580</v>
      </c>
      <c r="B255" t="s">
        <v>581</v>
      </c>
      <c r="C255" t="s">
        <v>131</v>
      </c>
      <c r="D255" t="s">
        <v>17</v>
      </c>
      <c r="E255" t="s">
        <v>49</v>
      </c>
      <c r="F255" t="s">
        <v>19</v>
      </c>
      <c r="G255" t="s">
        <v>20</v>
      </c>
      <c r="H255" s="3">
        <v>39</v>
      </c>
      <c r="I255" s="8">
        <v>43229</v>
      </c>
      <c r="J255" s="4">
        <v>73317</v>
      </c>
      <c r="K255" s="1">
        <v>0</v>
      </c>
      <c r="L255" t="s">
        <v>21</v>
      </c>
      <c r="M255" t="s">
        <v>56</v>
      </c>
      <c r="O255" s="5">
        <f t="shared" si="3"/>
        <v>0</v>
      </c>
      <c r="P255" s="6">
        <f>Table1[[#This Row],[Annual Salary]]+Table1[[#This Row],[Bonus Amount]]</f>
        <v>73317</v>
      </c>
      <c r="Q255" t="str">
        <f>IF(Table1[[#This Row],[Exit Date]]="", "Active","Exited")</f>
        <v>Active</v>
      </c>
      <c r="R255" s="2">
        <f ca="1">IFERROR(DATEDIF(Table1[[#This Row],[Hire Date]],IF(Table1[[#This Row],[Exit Date]]="",TODAY(),Table1[[#This Row],[Exit Date]]),"Y"),"")</f>
        <v>7</v>
      </c>
      <c r="S255" t="str" cm="1">
        <f t="array" ref="S255">_xlfn.IFS(Table1[[#This Row],[Age]]&lt;30,"Under 30",Table1[[#This Row],[Age]]&lt;=40,"30-40",Table1[[#This Row],[Age]]&lt;50,"41-50",TRUE,"50+")</f>
        <v>30-40</v>
      </c>
    </row>
    <row r="256" spans="1:19" x14ac:dyDescent="0.35">
      <c r="A256" t="s">
        <v>582</v>
      </c>
      <c r="B256" t="s">
        <v>583</v>
      </c>
      <c r="C256" t="s">
        <v>462</v>
      </c>
      <c r="D256" t="s">
        <v>17</v>
      </c>
      <c r="E256" t="s">
        <v>35</v>
      </c>
      <c r="F256" t="s">
        <v>19</v>
      </c>
      <c r="G256" t="s">
        <v>28</v>
      </c>
      <c r="H256" s="3">
        <v>40</v>
      </c>
      <c r="I256" s="8">
        <v>41451</v>
      </c>
      <c r="J256" s="4">
        <v>69096</v>
      </c>
      <c r="K256" s="1">
        <v>0</v>
      </c>
      <c r="L256" t="s">
        <v>21</v>
      </c>
      <c r="M256" t="s">
        <v>22</v>
      </c>
      <c r="O256" s="5">
        <f t="shared" si="3"/>
        <v>0</v>
      </c>
      <c r="P256" s="6">
        <f>Table1[[#This Row],[Annual Salary]]+Table1[[#This Row],[Bonus Amount]]</f>
        <v>69096</v>
      </c>
      <c r="Q256" t="str">
        <f>IF(Table1[[#This Row],[Exit Date]]="", "Active","Exited")</f>
        <v>Active</v>
      </c>
      <c r="R256" s="2">
        <f ca="1">IFERROR(DATEDIF(Table1[[#This Row],[Hire Date]],IF(Table1[[#This Row],[Exit Date]]="",TODAY(),Table1[[#This Row],[Exit Date]]),"Y"),"")</f>
        <v>12</v>
      </c>
      <c r="S256" t="str" cm="1">
        <f t="array" ref="S256">_xlfn.IFS(Table1[[#This Row],[Age]]&lt;30,"Under 30",Table1[[#This Row],[Age]]&lt;=40,"30-40",Table1[[#This Row],[Age]]&lt;50,"41-50",TRUE,"50+")</f>
        <v>30-40</v>
      </c>
    </row>
    <row r="257" spans="1:19" x14ac:dyDescent="0.35">
      <c r="A257" t="s">
        <v>584</v>
      </c>
      <c r="B257" t="s">
        <v>585</v>
      </c>
      <c r="C257" t="s">
        <v>143</v>
      </c>
      <c r="D257" t="s">
        <v>65</v>
      </c>
      <c r="E257" t="s">
        <v>26</v>
      </c>
      <c r="F257" t="s">
        <v>27</v>
      </c>
      <c r="G257" t="s">
        <v>85</v>
      </c>
      <c r="H257" s="3">
        <v>48</v>
      </c>
      <c r="I257" s="8">
        <v>38454</v>
      </c>
      <c r="J257" s="4">
        <v>87158</v>
      </c>
      <c r="K257" s="1">
        <v>0</v>
      </c>
      <c r="L257" t="s">
        <v>93</v>
      </c>
      <c r="M257" t="s">
        <v>94</v>
      </c>
      <c r="O257" s="5">
        <f t="shared" si="3"/>
        <v>0</v>
      </c>
      <c r="P257" s="6">
        <f>Table1[[#This Row],[Annual Salary]]+Table1[[#This Row],[Bonus Amount]]</f>
        <v>87158</v>
      </c>
      <c r="Q257" t="str">
        <f>IF(Table1[[#This Row],[Exit Date]]="", "Active","Exited")</f>
        <v>Active</v>
      </c>
      <c r="R257" s="2">
        <f ca="1">IFERROR(DATEDIF(Table1[[#This Row],[Hire Date]],IF(Table1[[#This Row],[Exit Date]]="",TODAY(),Table1[[#This Row],[Exit Date]]),"Y"),"")</f>
        <v>20</v>
      </c>
      <c r="S257" t="str" cm="1">
        <f t="array" ref="S257">_xlfn.IFS(Table1[[#This Row],[Age]]&lt;30,"Under 30",Table1[[#This Row],[Age]]&lt;=40,"30-40",Table1[[#This Row],[Age]]&lt;50,"41-50",TRUE,"50+")</f>
        <v>41-50</v>
      </c>
    </row>
    <row r="258" spans="1:19" x14ac:dyDescent="0.35">
      <c r="A258" t="s">
        <v>586</v>
      </c>
      <c r="B258" t="s">
        <v>587</v>
      </c>
      <c r="C258" t="s">
        <v>223</v>
      </c>
      <c r="D258" t="s">
        <v>69</v>
      </c>
      <c r="E258" t="s">
        <v>49</v>
      </c>
      <c r="F258" t="s">
        <v>27</v>
      </c>
      <c r="G258" t="s">
        <v>85</v>
      </c>
      <c r="H258" s="3">
        <v>64</v>
      </c>
      <c r="I258" s="8">
        <v>33875</v>
      </c>
      <c r="J258" s="4">
        <v>70778</v>
      </c>
      <c r="K258" s="1">
        <v>0</v>
      </c>
      <c r="L258" t="s">
        <v>21</v>
      </c>
      <c r="M258" t="s">
        <v>60</v>
      </c>
      <c r="O258" s="5">
        <f t="shared" si="3"/>
        <v>0</v>
      </c>
      <c r="P258" s="6">
        <f>Table1[[#This Row],[Annual Salary]]+Table1[[#This Row],[Bonus Amount]]</f>
        <v>70778</v>
      </c>
      <c r="Q258" t="str">
        <f>IF(Table1[[#This Row],[Exit Date]]="", "Active","Exited")</f>
        <v>Active</v>
      </c>
      <c r="R258" s="2">
        <f ca="1">IFERROR(DATEDIF(Table1[[#This Row],[Hire Date]],IF(Table1[[#This Row],[Exit Date]]="",TODAY(),Table1[[#This Row],[Exit Date]]),"Y"),"")</f>
        <v>33</v>
      </c>
      <c r="S258" t="str" cm="1">
        <f t="array" ref="S258">_xlfn.IFS(Table1[[#This Row],[Age]]&lt;30,"Under 30",Table1[[#This Row],[Age]]&lt;=40,"30-40",Table1[[#This Row],[Age]]&lt;50,"41-50",TRUE,"50+")</f>
        <v>50+</v>
      </c>
    </row>
    <row r="259" spans="1:19" x14ac:dyDescent="0.35">
      <c r="A259" t="s">
        <v>588</v>
      </c>
      <c r="B259" t="s">
        <v>589</v>
      </c>
      <c r="C259" t="s">
        <v>33</v>
      </c>
      <c r="D259" t="s">
        <v>65</v>
      </c>
      <c r="E259" t="s">
        <v>35</v>
      </c>
      <c r="F259" t="s">
        <v>19</v>
      </c>
      <c r="G259" t="s">
        <v>85</v>
      </c>
      <c r="H259" s="3">
        <v>65</v>
      </c>
      <c r="I259" s="8">
        <v>38130</v>
      </c>
      <c r="J259" s="4">
        <v>153938</v>
      </c>
      <c r="K259" s="1">
        <v>0.2</v>
      </c>
      <c r="L259" t="s">
        <v>21</v>
      </c>
      <c r="M259" t="s">
        <v>44</v>
      </c>
      <c r="O259" s="5">
        <f t="shared" ref="O259:O322" si="4">J259*K259</f>
        <v>30787.600000000002</v>
      </c>
      <c r="P259" s="6">
        <f>Table1[[#This Row],[Annual Salary]]+Table1[[#This Row],[Bonus Amount]]</f>
        <v>184725.6</v>
      </c>
      <c r="Q259" t="str">
        <f>IF(Table1[[#This Row],[Exit Date]]="", "Active","Exited")</f>
        <v>Active</v>
      </c>
      <c r="R259" s="2">
        <f ca="1">IFERROR(DATEDIF(Table1[[#This Row],[Hire Date]],IF(Table1[[#This Row],[Exit Date]]="",TODAY(),Table1[[#This Row],[Exit Date]]),"Y"),"")</f>
        <v>21</v>
      </c>
      <c r="S259" t="str" cm="1">
        <f t="array" ref="S259">_xlfn.IFS(Table1[[#This Row],[Age]]&lt;30,"Under 30",Table1[[#This Row],[Age]]&lt;=40,"30-40",Table1[[#This Row],[Age]]&lt;50,"41-50",TRUE,"50+")</f>
        <v>50+</v>
      </c>
    </row>
    <row r="260" spans="1:19" x14ac:dyDescent="0.35">
      <c r="A260" t="s">
        <v>590</v>
      </c>
      <c r="B260" t="s">
        <v>591</v>
      </c>
      <c r="C260" t="s">
        <v>330</v>
      </c>
      <c r="D260" t="s">
        <v>17</v>
      </c>
      <c r="E260" t="s">
        <v>18</v>
      </c>
      <c r="F260" t="s">
        <v>27</v>
      </c>
      <c r="G260" t="s">
        <v>28</v>
      </c>
      <c r="H260" s="3">
        <v>43</v>
      </c>
      <c r="I260" s="8">
        <v>43224</v>
      </c>
      <c r="J260" s="4">
        <v>59888</v>
      </c>
      <c r="K260" s="1">
        <v>0</v>
      </c>
      <c r="L260" t="s">
        <v>29</v>
      </c>
      <c r="M260" t="s">
        <v>114</v>
      </c>
      <c r="O260" s="5">
        <f t="shared" si="4"/>
        <v>0</v>
      </c>
      <c r="P260" s="6">
        <f>Table1[[#This Row],[Annual Salary]]+Table1[[#This Row],[Bonus Amount]]</f>
        <v>59888</v>
      </c>
      <c r="Q260" t="str">
        <f>IF(Table1[[#This Row],[Exit Date]]="", "Active","Exited")</f>
        <v>Active</v>
      </c>
      <c r="R260" s="2">
        <f ca="1">IFERROR(DATEDIF(Table1[[#This Row],[Hire Date]],IF(Table1[[#This Row],[Exit Date]]="",TODAY(),Table1[[#This Row],[Exit Date]]),"Y"),"")</f>
        <v>7</v>
      </c>
      <c r="S260" t="str" cm="1">
        <f t="array" ref="S260">_xlfn.IFS(Table1[[#This Row],[Age]]&lt;30,"Under 30",Table1[[#This Row],[Age]]&lt;=40,"30-40",Table1[[#This Row],[Age]]&lt;50,"41-50",TRUE,"50+")</f>
        <v>41-50</v>
      </c>
    </row>
    <row r="261" spans="1:19" x14ac:dyDescent="0.35">
      <c r="A261" t="s">
        <v>592</v>
      </c>
      <c r="B261" t="s">
        <v>593</v>
      </c>
      <c r="C261" t="s">
        <v>223</v>
      </c>
      <c r="D261" t="s">
        <v>69</v>
      </c>
      <c r="E261" t="s">
        <v>49</v>
      </c>
      <c r="F261" t="s">
        <v>27</v>
      </c>
      <c r="G261" t="s">
        <v>36</v>
      </c>
      <c r="H261" s="3">
        <v>50</v>
      </c>
      <c r="I261" s="8">
        <v>43447</v>
      </c>
      <c r="J261" s="4">
        <v>63098</v>
      </c>
      <c r="K261" s="1">
        <v>0</v>
      </c>
      <c r="L261" t="s">
        <v>21</v>
      </c>
      <c r="M261" t="s">
        <v>88</v>
      </c>
      <c r="O261" s="5">
        <f t="shared" si="4"/>
        <v>0</v>
      </c>
      <c r="P261" s="6">
        <f>Table1[[#This Row],[Annual Salary]]+Table1[[#This Row],[Bonus Amount]]</f>
        <v>63098</v>
      </c>
      <c r="Q261" t="str">
        <f>IF(Table1[[#This Row],[Exit Date]]="", "Active","Exited")</f>
        <v>Active</v>
      </c>
      <c r="R261" s="2">
        <f ca="1">IFERROR(DATEDIF(Table1[[#This Row],[Hire Date]],IF(Table1[[#This Row],[Exit Date]]="",TODAY(),Table1[[#This Row],[Exit Date]]),"Y"),"")</f>
        <v>7</v>
      </c>
      <c r="S261" t="str" cm="1">
        <f t="array" ref="S261">_xlfn.IFS(Table1[[#This Row],[Age]]&lt;30,"Under 30",Table1[[#This Row],[Age]]&lt;=40,"30-40",Table1[[#This Row],[Age]]&lt;50,"41-50",TRUE,"50+")</f>
        <v>50+</v>
      </c>
    </row>
    <row r="262" spans="1:19" x14ac:dyDescent="0.35">
      <c r="A262" t="s">
        <v>594</v>
      </c>
      <c r="B262" t="s">
        <v>595</v>
      </c>
      <c r="C262" t="s">
        <v>79</v>
      </c>
      <c r="D262" t="s">
        <v>34</v>
      </c>
      <c r="E262" t="s">
        <v>49</v>
      </c>
      <c r="F262" t="s">
        <v>19</v>
      </c>
      <c r="G262" t="s">
        <v>85</v>
      </c>
      <c r="H262" s="3">
        <v>27</v>
      </c>
      <c r="I262" s="8">
        <v>44545</v>
      </c>
      <c r="J262" s="4">
        <v>255369</v>
      </c>
      <c r="K262" s="1">
        <v>0.33</v>
      </c>
      <c r="L262" t="s">
        <v>93</v>
      </c>
      <c r="M262" t="s">
        <v>218</v>
      </c>
      <c r="O262" s="5">
        <f t="shared" si="4"/>
        <v>84271.77</v>
      </c>
      <c r="P262" s="6">
        <f>Table1[[#This Row],[Annual Salary]]+Table1[[#This Row],[Bonus Amount]]</f>
        <v>339640.77</v>
      </c>
      <c r="Q262" t="str">
        <f>IF(Table1[[#This Row],[Exit Date]]="", "Active","Exited")</f>
        <v>Active</v>
      </c>
      <c r="R262" s="2">
        <f ca="1">IFERROR(DATEDIF(Table1[[#This Row],[Hire Date]],IF(Table1[[#This Row],[Exit Date]]="",TODAY(),Table1[[#This Row],[Exit Date]]),"Y"),"")</f>
        <v>4</v>
      </c>
      <c r="S262" t="str" cm="1">
        <f t="array" ref="S262">_xlfn.IFS(Table1[[#This Row],[Age]]&lt;30,"Under 30",Table1[[#This Row],[Age]]&lt;=40,"30-40",Table1[[#This Row],[Age]]&lt;50,"41-50",TRUE,"50+")</f>
        <v>Under 30</v>
      </c>
    </row>
    <row r="263" spans="1:19" x14ac:dyDescent="0.35">
      <c r="A263" t="s">
        <v>596</v>
      </c>
      <c r="B263" t="s">
        <v>597</v>
      </c>
      <c r="C263" t="s">
        <v>16</v>
      </c>
      <c r="D263" t="s">
        <v>65</v>
      </c>
      <c r="E263" t="s">
        <v>26</v>
      </c>
      <c r="F263" t="s">
        <v>19</v>
      </c>
      <c r="G263" t="s">
        <v>20</v>
      </c>
      <c r="H263" s="3">
        <v>55</v>
      </c>
      <c r="I263" s="8">
        <v>38301</v>
      </c>
      <c r="J263" s="4">
        <v>142318</v>
      </c>
      <c r="K263" s="1">
        <v>0.14000000000000001</v>
      </c>
      <c r="L263" t="s">
        <v>21</v>
      </c>
      <c r="M263" t="s">
        <v>37</v>
      </c>
      <c r="O263" s="5">
        <f t="shared" si="4"/>
        <v>19924.52</v>
      </c>
      <c r="P263" s="6">
        <f>Table1[[#This Row],[Annual Salary]]+Table1[[#This Row],[Bonus Amount]]</f>
        <v>162242.51999999999</v>
      </c>
      <c r="Q263" t="str">
        <f>IF(Table1[[#This Row],[Exit Date]]="", "Active","Exited")</f>
        <v>Active</v>
      </c>
      <c r="R263" s="2">
        <f ca="1">IFERROR(DATEDIF(Table1[[#This Row],[Hire Date]],IF(Table1[[#This Row],[Exit Date]]="",TODAY(),Table1[[#This Row],[Exit Date]]),"Y"),"")</f>
        <v>21</v>
      </c>
      <c r="S263" t="str" cm="1">
        <f t="array" ref="S263">_xlfn.IFS(Table1[[#This Row],[Age]]&lt;30,"Under 30",Table1[[#This Row],[Age]]&lt;=40,"30-40",Table1[[#This Row],[Age]]&lt;50,"41-50",TRUE,"50+")</f>
        <v>50+</v>
      </c>
    </row>
    <row r="264" spans="1:19" x14ac:dyDescent="0.35">
      <c r="A264" t="s">
        <v>598</v>
      </c>
      <c r="B264" t="s">
        <v>599</v>
      </c>
      <c r="C264" t="s">
        <v>184</v>
      </c>
      <c r="D264" t="s">
        <v>65</v>
      </c>
      <c r="E264" t="s">
        <v>26</v>
      </c>
      <c r="F264" t="s">
        <v>27</v>
      </c>
      <c r="G264" t="s">
        <v>20</v>
      </c>
      <c r="H264" s="3">
        <v>41</v>
      </c>
      <c r="I264" s="8">
        <v>38219</v>
      </c>
      <c r="J264" s="4">
        <v>49186</v>
      </c>
      <c r="K264" s="1">
        <v>0</v>
      </c>
      <c r="L264" t="s">
        <v>21</v>
      </c>
      <c r="M264" t="s">
        <v>60</v>
      </c>
      <c r="N264" s="7">
        <v>39616</v>
      </c>
      <c r="O264" s="5">
        <f t="shared" si="4"/>
        <v>0</v>
      </c>
      <c r="P264" s="6">
        <f>Table1[[#This Row],[Annual Salary]]+Table1[[#This Row],[Bonus Amount]]</f>
        <v>49186</v>
      </c>
      <c r="Q264" t="str">
        <f>IF(Table1[[#This Row],[Exit Date]]="", "Active","Exited")</f>
        <v>Exited</v>
      </c>
      <c r="R264" s="2">
        <f ca="1">IFERROR(DATEDIF(Table1[[#This Row],[Hire Date]],IF(Table1[[#This Row],[Exit Date]]="",TODAY(),Table1[[#This Row],[Exit Date]]),"Y"),"")</f>
        <v>3</v>
      </c>
      <c r="S264" t="str" cm="1">
        <f t="array" ref="S264">_xlfn.IFS(Table1[[#This Row],[Age]]&lt;30,"Under 30",Table1[[#This Row],[Age]]&lt;=40,"30-40",Table1[[#This Row],[Age]]&lt;50,"41-50",TRUE,"50+")</f>
        <v>41-50</v>
      </c>
    </row>
    <row r="265" spans="1:19" x14ac:dyDescent="0.35">
      <c r="A265" t="s">
        <v>600</v>
      </c>
      <c r="B265" t="s">
        <v>601</v>
      </c>
      <c r="C265" t="s">
        <v>79</v>
      </c>
      <c r="D265" t="s">
        <v>65</v>
      </c>
      <c r="E265" t="s">
        <v>18</v>
      </c>
      <c r="F265" t="s">
        <v>19</v>
      </c>
      <c r="G265" t="s">
        <v>20</v>
      </c>
      <c r="H265" s="3">
        <v>34</v>
      </c>
      <c r="I265" s="8">
        <v>43673</v>
      </c>
      <c r="J265" s="4">
        <v>220937</v>
      </c>
      <c r="K265" s="1">
        <v>0.38</v>
      </c>
      <c r="L265" t="s">
        <v>21</v>
      </c>
      <c r="M265" t="s">
        <v>60</v>
      </c>
      <c r="O265" s="5">
        <f t="shared" si="4"/>
        <v>83956.06</v>
      </c>
      <c r="P265" s="6">
        <f>Table1[[#This Row],[Annual Salary]]+Table1[[#This Row],[Bonus Amount]]</f>
        <v>304893.06</v>
      </c>
      <c r="Q265" t="str">
        <f>IF(Table1[[#This Row],[Exit Date]]="", "Active","Exited")</f>
        <v>Active</v>
      </c>
      <c r="R265" s="2">
        <f ca="1">IFERROR(DATEDIF(Table1[[#This Row],[Hire Date]],IF(Table1[[#This Row],[Exit Date]]="",TODAY(),Table1[[#This Row],[Exit Date]]),"Y"),"")</f>
        <v>6</v>
      </c>
      <c r="S265" t="str" cm="1">
        <f t="array" ref="S265">_xlfn.IFS(Table1[[#This Row],[Age]]&lt;30,"Under 30",Table1[[#This Row],[Age]]&lt;=40,"30-40",Table1[[#This Row],[Age]]&lt;50,"41-50",TRUE,"50+")</f>
        <v>30-40</v>
      </c>
    </row>
    <row r="266" spans="1:19" x14ac:dyDescent="0.35">
      <c r="A266" t="s">
        <v>602</v>
      </c>
      <c r="B266" t="s">
        <v>603</v>
      </c>
      <c r="C266" t="s">
        <v>33</v>
      </c>
      <c r="D266" t="s">
        <v>17</v>
      </c>
      <c r="E266" t="s">
        <v>35</v>
      </c>
      <c r="F266" t="s">
        <v>19</v>
      </c>
      <c r="G266" t="s">
        <v>28</v>
      </c>
      <c r="H266" s="3">
        <v>47</v>
      </c>
      <c r="I266" s="8">
        <v>41208</v>
      </c>
      <c r="J266" s="4">
        <v>183156</v>
      </c>
      <c r="K266" s="1">
        <v>0.3</v>
      </c>
      <c r="L266" t="s">
        <v>21</v>
      </c>
      <c r="M266" t="s">
        <v>22</v>
      </c>
      <c r="O266" s="5">
        <f t="shared" si="4"/>
        <v>54946.799999999996</v>
      </c>
      <c r="P266" s="6">
        <f>Table1[[#This Row],[Annual Salary]]+Table1[[#This Row],[Bonus Amount]]</f>
        <v>238102.8</v>
      </c>
      <c r="Q266" t="str">
        <f>IF(Table1[[#This Row],[Exit Date]]="", "Active","Exited")</f>
        <v>Active</v>
      </c>
      <c r="R266" s="2">
        <f ca="1">IFERROR(DATEDIF(Table1[[#This Row],[Hire Date]],IF(Table1[[#This Row],[Exit Date]]="",TODAY(),Table1[[#This Row],[Exit Date]]),"Y"),"")</f>
        <v>13</v>
      </c>
      <c r="S266" t="str" cm="1">
        <f t="array" ref="S266">_xlfn.IFS(Table1[[#This Row],[Age]]&lt;30,"Under 30",Table1[[#This Row],[Age]]&lt;=40,"30-40",Table1[[#This Row],[Age]]&lt;50,"41-50",TRUE,"50+")</f>
        <v>41-50</v>
      </c>
    </row>
    <row r="267" spans="1:19" x14ac:dyDescent="0.35">
      <c r="A267" t="s">
        <v>604</v>
      </c>
      <c r="B267" t="s">
        <v>605</v>
      </c>
      <c r="C267" t="s">
        <v>79</v>
      </c>
      <c r="D267" t="s">
        <v>17</v>
      </c>
      <c r="E267" t="s">
        <v>35</v>
      </c>
      <c r="F267" t="s">
        <v>19</v>
      </c>
      <c r="G267" t="s">
        <v>85</v>
      </c>
      <c r="H267" s="3">
        <v>32</v>
      </c>
      <c r="I267" s="8">
        <v>44034</v>
      </c>
      <c r="J267" s="4">
        <v>192749</v>
      </c>
      <c r="K267" s="1">
        <v>0.31</v>
      </c>
      <c r="L267" t="s">
        <v>21</v>
      </c>
      <c r="M267" t="s">
        <v>37</v>
      </c>
      <c r="O267" s="5">
        <f t="shared" si="4"/>
        <v>59752.19</v>
      </c>
      <c r="P267" s="6">
        <f>Table1[[#This Row],[Annual Salary]]+Table1[[#This Row],[Bonus Amount]]</f>
        <v>252501.19</v>
      </c>
      <c r="Q267" t="str">
        <f>IF(Table1[[#This Row],[Exit Date]]="", "Active","Exited")</f>
        <v>Active</v>
      </c>
      <c r="R267" s="2">
        <f ca="1">IFERROR(DATEDIF(Table1[[#This Row],[Hire Date]],IF(Table1[[#This Row],[Exit Date]]="",TODAY(),Table1[[#This Row],[Exit Date]]),"Y"),"")</f>
        <v>5</v>
      </c>
      <c r="S267" t="str" cm="1">
        <f t="array" ref="S267">_xlfn.IFS(Table1[[#This Row],[Age]]&lt;30,"Under 30",Table1[[#This Row],[Age]]&lt;=40,"30-40",Table1[[#This Row],[Age]]&lt;50,"41-50",TRUE,"50+")</f>
        <v>30-40</v>
      </c>
    </row>
    <row r="268" spans="1:19" x14ac:dyDescent="0.35">
      <c r="A268" t="s">
        <v>606</v>
      </c>
      <c r="B268" t="s">
        <v>607</v>
      </c>
      <c r="C268" t="s">
        <v>16</v>
      </c>
      <c r="D268" t="s">
        <v>17</v>
      </c>
      <c r="E268" t="s">
        <v>26</v>
      </c>
      <c r="F268" t="s">
        <v>19</v>
      </c>
      <c r="G268" t="s">
        <v>28</v>
      </c>
      <c r="H268" s="3">
        <v>39</v>
      </c>
      <c r="I268" s="8">
        <v>42819</v>
      </c>
      <c r="J268" s="4">
        <v>135325</v>
      </c>
      <c r="K268" s="1">
        <v>0.14000000000000001</v>
      </c>
      <c r="L268" t="s">
        <v>21</v>
      </c>
      <c r="M268" t="s">
        <v>44</v>
      </c>
      <c r="O268" s="5">
        <f t="shared" si="4"/>
        <v>18945.5</v>
      </c>
      <c r="P268" s="6">
        <f>Table1[[#This Row],[Annual Salary]]+Table1[[#This Row],[Bonus Amount]]</f>
        <v>154270.5</v>
      </c>
      <c r="Q268" t="str">
        <f>IF(Table1[[#This Row],[Exit Date]]="", "Active","Exited")</f>
        <v>Active</v>
      </c>
      <c r="R268" s="2">
        <f ca="1">IFERROR(DATEDIF(Table1[[#This Row],[Hire Date]],IF(Table1[[#This Row],[Exit Date]]="",TODAY(),Table1[[#This Row],[Exit Date]]),"Y"),"")</f>
        <v>8</v>
      </c>
      <c r="S268" t="str" cm="1">
        <f t="array" ref="S268">_xlfn.IFS(Table1[[#This Row],[Age]]&lt;30,"Under 30",Table1[[#This Row],[Age]]&lt;=40,"30-40",Table1[[#This Row],[Age]]&lt;50,"41-50",TRUE,"50+")</f>
        <v>30-40</v>
      </c>
    </row>
    <row r="269" spans="1:19" x14ac:dyDescent="0.35">
      <c r="A269" t="s">
        <v>608</v>
      </c>
      <c r="B269" t="s">
        <v>609</v>
      </c>
      <c r="C269" t="s">
        <v>43</v>
      </c>
      <c r="D269" t="s">
        <v>48</v>
      </c>
      <c r="E269" t="s">
        <v>35</v>
      </c>
      <c r="F269" t="s">
        <v>19</v>
      </c>
      <c r="G269" t="s">
        <v>36</v>
      </c>
      <c r="H269" s="3">
        <v>26</v>
      </c>
      <c r="I269" s="8">
        <v>43752</v>
      </c>
      <c r="J269" s="4">
        <v>79356</v>
      </c>
      <c r="K269" s="1">
        <v>0</v>
      </c>
      <c r="L269" t="s">
        <v>21</v>
      </c>
      <c r="M269" t="s">
        <v>44</v>
      </c>
      <c r="O269" s="5">
        <f t="shared" si="4"/>
        <v>0</v>
      </c>
      <c r="P269" s="6">
        <f>Table1[[#This Row],[Annual Salary]]+Table1[[#This Row],[Bonus Amount]]</f>
        <v>79356</v>
      </c>
      <c r="Q269" t="str">
        <f>IF(Table1[[#This Row],[Exit Date]]="", "Active","Exited")</f>
        <v>Active</v>
      </c>
      <c r="R269" s="2">
        <f ca="1">IFERROR(DATEDIF(Table1[[#This Row],[Hire Date]],IF(Table1[[#This Row],[Exit Date]]="",TODAY(),Table1[[#This Row],[Exit Date]]),"Y"),"")</f>
        <v>6</v>
      </c>
      <c r="S269" t="str" cm="1">
        <f t="array" ref="S269">_xlfn.IFS(Table1[[#This Row],[Age]]&lt;30,"Under 30",Table1[[#This Row],[Age]]&lt;=40,"30-40",Table1[[#This Row],[Age]]&lt;50,"41-50",TRUE,"50+")</f>
        <v>Under 30</v>
      </c>
    </row>
    <row r="270" spans="1:19" x14ac:dyDescent="0.35">
      <c r="A270" t="s">
        <v>610</v>
      </c>
      <c r="B270" t="s">
        <v>611</v>
      </c>
      <c r="C270" t="s">
        <v>277</v>
      </c>
      <c r="D270" t="s">
        <v>69</v>
      </c>
      <c r="E270" t="s">
        <v>26</v>
      </c>
      <c r="F270" t="s">
        <v>27</v>
      </c>
      <c r="G270" t="s">
        <v>20</v>
      </c>
      <c r="H270" s="3">
        <v>40</v>
      </c>
      <c r="I270" s="8">
        <v>38540</v>
      </c>
      <c r="J270" s="4">
        <v>74412</v>
      </c>
      <c r="K270" s="1">
        <v>0</v>
      </c>
      <c r="L270" t="s">
        <v>21</v>
      </c>
      <c r="M270" t="s">
        <v>22</v>
      </c>
      <c r="O270" s="5">
        <f t="shared" si="4"/>
        <v>0</v>
      </c>
      <c r="P270" s="6">
        <f>Table1[[#This Row],[Annual Salary]]+Table1[[#This Row],[Bonus Amount]]</f>
        <v>74412</v>
      </c>
      <c r="Q270" t="str">
        <f>IF(Table1[[#This Row],[Exit Date]]="", "Active","Exited")</f>
        <v>Active</v>
      </c>
      <c r="R270" s="2">
        <f ca="1">IFERROR(DATEDIF(Table1[[#This Row],[Hire Date]],IF(Table1[[#This Row],[Exit Date]]="",TODAY(),Table1[[#This Row],[Exit Date]]),"Y"),"")</f>
        <v>20</v>
      </c>
      <c r="S270" t="str" cm="1">
        <f t="array" ref="S270">_xlfn.IFS(Table1[[#This Row],[Age]]&lt;30,"Under 30",Table1[[#This Row],[Age]]&lt;=40,"30-40",Table1[[#This Row],[Age]]&lt;50,"41-50",TRUE,"50+")</f>
        <v>30-40</v>
      </c>
    </row>
    <row r="271" spans="1:19" x14ac:dyDescent="0.35">
      <c r="A271" t="s">
        <v>232</v>
      </c>
      <c r="B271" t="s">
        <v>612</v>
      </c>
      <c r="C271" t="s">
        <v>40</v>
      </c>
      <c r="D271" t="s">
        <v>17</v>
      </c>
      <c r="E271" t="s">
        <v>26</v>
      </c>
      <c r="F271" t="s">
        <v>19</v>
      </c>
      <c r="G271" t="s">
        <v>85</v>
      </c>
      <c r="H271" s="3">
        <v>32</v>
      </c>
      <c r="I271" s="8">
        <v>43010</v>
      </c>
      <c r="J271" s="4">
        <v>61886</v>
      </c>
      <c r="K271" s="1">
        <v>0.09</v>
      </c>
      <c r="L271" t="s">
        <v>93</v>
      </c>
      <c r="M271" t="s">
        <v>99</v>
      </c>
      <c r="O271" s="5">
        <f t="shared" si="4"/>
        <v>5569.74</v>
      </c>
      <c r="P271" s="6">
        <f>Table1[[#This Row],[Annual Salary]]+Table1[[#This Row],[Bonus Amount]]</f>
        <v>67455.740000000005</v>
      </c>
      <c r="Q271" t="str">
        <f>IF(Table1[[#This Row],[Exit Date]]="", "Active","Exited")</f>
        <v>Active</v>
      </c>
      <c r="R271" s="2">
        <f ca="1">IFERROR(DATEDIF(Table1[[#This Row],[Hire Date]],IF(Table1[[#This Row],[Exit Date]]="",TODAY(),Table1[[#This Row],[Exit Date]]),"Y"),"")</f>
        <v>8</v>
      </c>
      <c r="S271" t="str" cm="1">
        <f t="array" ref="S271">_xlfn.IFS(Table1[[#This Row],[Age]]&lt;30,"Under 30",Table1[[#This Row],[Age]]&lt;=40,"30-40",Table1[[#This Row],[Age]]&lt;50,"41-50",TRUE,"50+")</f>
        <v>30-40</v>
      </c>
    </row>
    <row r="272" spans="1:19" x14ac:dyDescent="0.35">
      <c r="A272" t="s">
        <v>613</v>
      </c>
      <c r="B272" t="s">
        <v>614</v>
      </c>
      <c r="C272" t="s">
        <v>33</v>
      </c>
      <c r="D272" t="s">
        <v>59</v>
      </c>
      <c r="E272" t="s">
        <v>18</v>
      </c>
      <c r="F272" t="s">
        <v>19</v>
      </c>
      <c r="G272" t="s">
        <v>28</v>
      </c>
      <c r="H272" s="3">
        <v>58</v>
      </c>
      <c r="I272" s="8">
        <v>37755</v>
      </c>
      <c r="J272" s="4">
        <v>173071</v>
      </c>
      <c r="K272" s="1">
        <v>0.28999999999999998</v>
      </c>
      <c r="L272" t="s">
        <v>21</v>
      </c>
      <c r="M272" t="s">
        <v>88</v>
      </c>
      <c r="O272" s="5">
        <f t="shared" si="4"/>
        <v>50190.59</v>
      </c>
      <c r="P272" s="6">
        <f>Table1[[#This Row],[Annual Salary]]+Table1[[#This Row],[Bonus Amount]]</f>
        <v>223261.59</v>
      </c>
      <c r="Q272" t="str">
        <f>IF(Table1[[#This Row],[Exit Date]]="", "Active","Exited")</f>
        <v>Active</v>
      </c>
      <c r="R272" s="2">
        <f ca="1">IFERROR(DATEDIF(Table1[[#This Row],[Hire Date]],IF(Table1[[#This Row],[Exit Date]]="",TODAY(),Table1[[#This Row],[Exit Date]]),"Y"),"")</f>
        <v>22</v>
      </c>
      <c r="S272" t="str" cm="1">
        <f t="array" ref="S272">_xlfn.IFS(Table1[[#This Row],[Age]]&lt;30,"Under 30",Table1[[#This Row],[Age]]&lt;=40,"30-40",Table1[[#This Row],[Age]]&lt;50,"41-50",TRUE,"50+")</f>
        <v>50+</v>
      </c>
    </row>
    <row r="273" spans="1:19" x14ac:dyDescent="0.35">
      <c r="A273" t="s">
        <v>615</v>
      </c>
      <c r="B273" t="s">
        <v>616</v>
      </c>
      <c r="C273" t="s">
        <v>175</v>
      </c>
      <c r="D273" t="s">
        <v>69</v>
      </c>
      <c r="E273" t="s">
        <v>18</v>
      </c>
      <c r="F273" t="s">
        <v>19</v>
      </c>
      <c r="G273" t="s">
        <v>36</v>
      </c>
      <c r="H273" s="3">
        <v>58</v>
      </c>
      <c r="I273" s="8">
        <v>34999</v>
      </c>
      <c r="J273" s="4">
        <v>70189</v>
      </c>
      <c r="K273" s="1">
        <v>0</v>
      </c>
      <c r="L273" t="s">
        <v>21</v>
      </c>
      <c r="M273" t="s">
        <v>88</v>
      </c>
      <c r="O273" s="5">
        <f t="shared" si="4"/>
        <v>0</v>
      </c>
      <c r="P273" s="6">
        <f>Table1[[#This Row],[Annual Salary]]+Table1[[#This Row],[Bonus Amount]]</f>
        <v>70189</v>
      </c>
      <c r="Q273" t="str">
        <f>IF(Table1[[#This Row],[Exit Date]]="", "Active","Exited")</f>
        <v>Active</v>
      </c>
      <c r="R273" s="2">
        <f ca="1">IFERROR(DATEDIF(Table1[[#This Row],[Hire Date]],IF(Table1[[#This Row],[Exit Date]]="",TODAY(),Table1[[#This Row],[Exit Date]]),"Y"),"")</f>
        <v>30</v>
      </c>
      <c r="S273" t="str" cm="1">
        <f t="array" ref="S273">_xlfn.IFS(Table1[[#This Row],[Age]]&lt;30,"Under 30",Table1[[#This Row],[Age]]&lt;=40,"30-40",Table1[[#This Row],[Age]]&lt;50,"41-50",TRUE,"50+")</f>
        <v>50+</v>
      </c>
    </row>
    <row r="274" spans="1:19" x14ac:dyDescent="0.35">
      <c r="A274" t="s">
        <v>617</v>
      </c>
      <c r="B274" t="s">
        <v>618</v>
      </c>
      <c r="C274" t="s">
        <v>79</v>
      </c>
      <c r="D274" t="s">
        <v>48</v>
      </c>
      <c r="E274" t="s">
        <v>18</v>
      </c>
      <c r="F274" t="s">
        <v>19</v>
      </c>
      <c r="G274" t="s">
        <v>85</v>
      </c>
      <c r="H274" s="3">
        <v>42</v>
      </c>
      <c r="I274" s="8">
        <v>41528</v>
      </c>
      <c r="J274" s="4">
        <v>181452</v>
      </c>
      <c r="K274" s="1">
        <v>0.3</v>
      </c>
      <c r="L274" t="s">
        <v>21</v>
      </c>
      <c r="M274" t="s">
        <v>88</v>
      </c>
      <c r="O274" s="5">
        <f t="shared" si="4"/>
        <v>54435.6</v>
      </c>
      <c r="P274" s="6">
        <f>Table1[[#This Row],[Annual Salary]]+Table1[[#This Row],[Bonus Amount]]</f>
        <v>235887.6</v>
      </c>
      <c r="Q274" t="str">
        <f>IF(Table1[[#This Row],[Exit Date]]="", "Active","Exited")</f>
        <v>Active</v>
      </c>
      <c r="R274" s="2">
        <f ca="1">IFERROR(DATEDIF(Table1[[#This Row],[Hire Date]],IF(Table1[[#This Row],[Exit Date]]="",TODAY(),Table1[[#This Row],[Exit Date]]),"Y"),"")</f>
        <v>12</v>
      </c>
      <c r="S274" t="str" cm="1">
        <f t="array" ref="S274">_xlfn.IFS(Table1[[#This Row],[Age]]&lt;30,"Under 30",Table1[[#This Row],[Age]]&lt;=40,"30-40",Table1[[#This Row],[Age]]&lt;50,"41-50",TRUE,"50+")</f>
        <v>41-50</v>
      </c>
    </row>
    <row r="275" spans="1:19" x14ac:dyDescent="0.35">
      <c r="A275" t="s">
        <v>619</v>
      </c>
      <c r="B275" t="s">
        <v>620</v>
      </c>
      <c r="C275" t="s">
        <v>164</v>
      </c>
      <c r="D275" t="s">
        <v>65</v>
      </c>
      <c r="E275" t="s">
        <v>35</v>
      </c>
      <c r="F275" t="s">
        <v>27</v>
      </c>
      <c r="G275" t="s">
        <v>36</v>
      </c>
      <c r="H275" s="3">
        <v>26</v>
      </c>
      <c r="I275" s="8">
        <v>44267</v>
      </c>
      <c r="J275" s="4">
        <v>70369</v>
      </c>
      <c r="K275" s="1">
        <v>0</v>
      </c>
      <c r="L275" t="s">
        <v>21</v>
      </c>
      <c r="M275" t="s">
        <v>22</v>
      </c>
      <c r="O275" s="5">
        <f t="shared" si="4"/>
        <v>0</v>
      </c>
      <c r="P275" s="6">
        <f>Table1[[#This Row],[Annual Salary]]+Table1[[#This Row],[Bonus Amount]]</f>
        <v>70369</v>
      </c>
      <c r="Q275" t="str">
        <f>IF(Table1[[#This Row],[Exit Date]]="", "Active","Exited")</f>
        <v>Active</v>
      </c>
      <c r="R275" s="2">
        <f ca="1">IFERROR(DATEDIF(Table1[[#This Row],[Hire Date]],IF(Table1[[#This Row],[Exit Date]]="",TODAY(),Table1[[#This Row],[Exit Date]]),"Y"),"")</f>
        <v>5</v>
      </c>
      <c r="S275" t="str" cm="1">
        <f t="array" ref="S275">_xlfn.IFS(Table1[[#This Row],[Age]]&lt;30,"Under 30",Table1[[#This Row],[Age]]&lt;=40,"30-40",Table1[[#This Row],[Age]]&lt;50,"41-50",TRUE,"50+")</f>
        <v>Under 30</v>
      </c>
    </row>
    <row r="276" spans="1:19" x14ac:dyDescent="0.35">
      <c r="A276" t="s">
        <v>621</v>
      </c>
      <c r="B276" t="s">
        <v>622</v>
      </c>
      <c r="C276" t="s">
        <v>43</v>
      </c>
      <c r="D276" t="s">
        <v>59</v>
      </c>
      <c r="E276" t="s">
        <v>26</v>
      </c>
      <c r="F276" t="s">
        <v>27</v>
      </c>
      <c r="G276" t="s">
        <v>85</v>
      </c>
      <c r="H276" s="3">
        <v>38</v>
      </c>
      <c r="I276" s="8">
        <v>39634</v>
      </c>
      <c r="J276" s="4">
        <v>78056</v>
      </c>
      <c r="K276" s="1">
        <v>0</v>
      </c>
      <c r="L276" t="s">
        <v>93</v>
      </c>
      <c r="M276" t="s">
        <v>218</v>
      </c>
      <c r="O276" s="5">
        <f t="shared" si="4"/>
        <v>0</v>
      </c>
      <c r="P276" s="6">
        <f>Table1[[#This Row],[Annual Salary]]+Table1[[#This Row],[Bonus Amount]]</f>
        <v>78056</v>
      </c>
      <c r="Q276" t="str">
        <f>IF(Table1[[#This Row],[Exit Date]]="", "Active","Exited")</f>
        <v>Active</v>
      </c>
      <c r="R276" s="2">
        <f ca="1">IFERROR(DATEDIF(Table1[[#This Row],[Hire Date]],IF(Table1[[#This Row],[Exit Date]]="",TODAY(),Table1[[#This Row],[Exit Date]]),"Y"),"")</f>
        <v>17</v>
      </c>
      <c r="S276" t="str" cm="1">
        <f t="array" ref="S276">_xlfn.IFS(Table1[[#This Row],[Age]]&lt;30,"Under 30",Table1[[#This Row],[Age]]&lt;=40,"30-40",Table1[[#This Row],[Age]]&lt;50,"41-50",TRUE,"50+")</f>
        <v>30-40</v>
      </c>
    </row>
    <row r="277" spans="1:19" x14ac:dyDescent="0.35">
      <c r="A277" t="s">
        <v>623</v>
      </c>
      <c r="B277" t="s">
        <v>624</v>
      </c>
      <c r="C277" t="s">
        <v>33</v>
      </c>
      <c r="D277" t="s">
        <v>34</v>
      </c>
      <c r="E277" t="s">
        <v>18</v>
      </c>
      <c r="F277" t="s">
        <v>27</v>
      </c>
      <c r="G277" t="s">
        <v>28</v>
      </c>
      <c r="H277" s="3">
        <v>64</v>
      </c>
      <c r="I277" s="8">
        <v>35187</v>
      </c>
      <c r="J277" s="4">
        <v>189933</v>
      </c>
      <c r="K277" s="1">
        <v>0.23</v>
      </c>
      <c r="L277" t="s">
        <v>21</v>
      </c>
      <c r="M277" t="s">
        <v>56</v>
      </c>
      <c r="O277" s="5">
        <f t="shared" si="4"/>
        <v>43684.590000000004</v>
      </c>
      <c r="P277" s="6">
        <f>Table1[[#This Row],[Annual Salary]]+Table1[[#This Row],[Bonus Amount]]</f>
        <v>233617.59</v>
      </c>
      <c r="Q277" t="str">
        <f>IF(Table1[[#This Row],[Exit Date]]="", "Active","Exited")</f>
        <v>Active</v>
      </c>
      <c r="R277" s="2">
        <f ca="1">IFERROR(DATEDIF(Table1[[#This Row],[Hire Date]],IF(Table1[[#This Row],[Exit Date]]="",TODAY(),Table1[[#This Row],[Exit Date]]),"Y"),"")</f>
        <v>29</v>
      </c>
      <c r="S277" t="str" cm="1">
        <f t="array" ref="S277">_xlfn.IFS(Table1[[#This Row],[Age]]&lt;30,"Under 30",Table1[[#This Row],[Age]]&lt;=40,"30-40",Table1[[#This Row],[Age]]&lt;50,"41-50",TRUE,"50+")</f>
        <v>50+</v>
      </c>
    </row>
    <row r="278" spans="1:19" x14ac:dyDescent="0.35">
      <c r="A278" t="s">
        <v>53</v>
      </c>
      <c r="B278" t="s">
        <v>625</v>
      </c>
      <c r="C278" t="s">
        <v>178</v>
      </c>
      <c r="D278" t="s">
        <v>69</v>
      </c>
      <c r="E278" t="s">
        <v>35</v>
      </c>
      <c r="F278" t="s">
        <v>27</v>
      </c>
      <c r="G278" t="s">
        <v>36</v>
      </c>
      <c r="H278" s="3">
        <v>38</v>
      </c>
      <c r="I278" s="8">
        <v>40360</v>
      </c>
      <c r="J278" s="4">
        <v>78237</v>
      </c>
      <c r="K278" s="1">
        <v>0</v>
      </c>
      <c r="L278" t="s">
        <v>21</v>
      </c>
      <c r="M278" t="s">
        <v>44</v>
      </c>
      <c r="O278" s="5">
        <f t="shared" si="4"/>
        <v>0</v>
      </c>
      <c r="P278" s="6">
        <f>Table1[[#This Row],[Annual Salary]]+Table1[[#This Row],[Bonus Amount]]</f>
        <v>78237</v>
      </c>
      <c r="Q278" t="str">
        <f>IF(Table1[[#This Row],[Exit Date]]="", "Active","Exited")</f>
        <v>Active</v>
      </c>
      <c r="R278" s="2">
        <f ca="1">IFERROR(DATEDIF(Table1[[#This Row],[Hire Date]],IF(Table1[[#This Row],[Exit Date]]="",TODAY(),Table1[[#This Row],[Exit Date]]),"Y"),"")</f>
        <v>15</v>
      </c>
      <c r="S278" t="str" cm="1">
        <f t="array" ref="S278">_xlfn.IFS(Table1[[#This Row],[Age]]&lt;30,"Under 30",Table1[[#This Row],[Age]]&lt;=40,"30-40",Table1[[#This Row],[Age]]&lt;50,"41-50",TRUE,"50+")</f>
        <v>30-40</v>
      </c>
    </row>
    <row r="279" spans="1:19" x14ac:dyDescent="0.35">
      <c r="A279" t="s">
        <v>626</v>
      </c>
      <c r="B279" t="s">
        <v>627</v>
      </c>
      <c r="C279" t="s">
        <v>55</v>
      </c>
      <c r="D279" t="s">
        <v>59</v>
      </c>
      <c r="E279" t="s">
        <v>18</v>
      </c>
      <c r="F279" t="s">
        <v>19</v>
      </c>
      <c r="G279" t="s">
        <v>85</v>
      </c>
      <c r="H279" s="3">
        <v>55</v>
      </c>
      <c r="I279" s="8">
        <v>35242</v>
      </c>
      <c r="J279" s="4">
        <v>48687</v>
      </c>
      <c r="K279" s="1">
        <v>0</v>
      </c>
      <c r="L279" t="s">
        <v>93</v>
      </c>
      <c r="M279" t="s">
        <v>99</v>
      </c>
      <c r="O279" s="5">
        <f t="shared" si="4"/>
        <v>0</v>
      </c>
      <c r="P279" s="6">
        <f>Table1[[#This Row],[Annual Salary]]+Table1[[#This Row],[Bonus Amount]]</f>
        <v>48687</v>
      </c>
      <c r="Q279" t="str">
        <f>IF(Table1[[#This Row],[Exit Date]]="", "Active","Exited")</f>
        <v>Active</v>
      </c>
      <c r="R279" s="2">
        <f ca="1">IFERROR(DATEDIF(Table1[[#This Row],[Hire Date]],IF(Table1[[#This Row],[Exit Date]]="",TODAY(),Table1[[#This Row],[Exit Date]]),"Y"),"")</f>
        <v>29</v>
      </c>
      <c r="S279" t="str" cm="1">
        <f t="array" ref="S279">_xlfn.IFS(Table1[[#This Row],[Age]]&lt;30,"Under 30",Table1[[#This Row],[Age]]&lt;=40,"30-40",Table1[[#This Row],[Age]]&lt;50,"41-50",TRUE,"50+")</f>
        <v>50+</v>
      </c>
    </row>
    <row r="280" spans="1:19" x14ac:dyDescent="0.35">
      <c r="A280" t="s">
        <v>628</v>
      </c>
      <c r="B280" t="s">
        <v>629</v>
      </c>
      <c r="C280" t="s">
        <v>16</v>
      </c>
      <c r="D280" t="s">
        <v>80</v>
      </c>
      <c r="E280" t="s">
        <v>26</v>
      </c>
      <c r="F280" t="s">
        <v>19</v>
      </c>
      <c r="G280" t="s">
        <v>85</v>
      </c>
      <c r="H280" s="3">
        <v>45</v>
      </c>
      <c r="I280" s="8">
        <v>38218</v>
      </c>
      <c r="J280" s="4">
        <v>121065</v>
      </c>
      <c r="K280" s="1">
        <v>0.15</v>
      </c>
      <c r="L280" t="s">
        <v>93</v>
      </c>
      <c r="M280" t="s">
        <v>99</v>
      </c>
      <c r="O280" s="5">
        <f t="shared" si="4"/>
        <v>18159.75</v>
      </c>
      <c r="P280" s="6">
        <f>Table1[[#This Row],[Annual Salary]]+Table1[[#This Row],[Bonus Amount]]</f>
        <v>139224.75</v>
      </c>
      <c r="Q280" t="str">
        <f>IF(Table1[[#This Row],[Exit Date]]="", "Active","Exited")</f>
        <v>Active</v>
      </c>
      <c r="R280" s="2">
        <f ca="1">IFERROR(DATEDIF(Table1[[#This Row],[Hire Date]],IF(Table1[[#This Row],[Exit Date]]="",TODAY(),Table1[[#This Row],[Exit Date]]),"Y"),"")</f>
        <v>21</v>
      </c>
      <c r="S280" t="str" cm="1">
        <f t="array" ref="S280">_xlfn.IFS(Table1[[#This Row],[Age]]&lt;30,"Under 30",Table1[[#This Row],[Age]]&lt;=40,"30-40",Table1[[#This Row],[Age]]&lt;50,"41-50",TRUE,"50+")</f>
        <v>41-50</v>
      </c>
    </row>
    <row r="281" spans="1:19" x14ac:dyDescent="0.35">
      <c r="A281" t="s">
        <v>630</v>
      </c>
      <c r="B281" t="s">
        <v>631</v>
      </c>
      <c r="C281" t="s">
        <v>43</v>
      </c>
      <c r="D281" t="s">
        <v>48</v>
      </c>
      <c r="E281" t="s">
        <v>49</v>
      </c>
      <c r="F281" t="s">
        <v>27</v>
      </c>
      <c r="G281" t="s">
        <v>20</v>
      </c>
      <c r="H281" s="3">
        <v>43</v>
      </c>
      <c r="I281" s="8">
        <v>38093</v>
      </c>
      <c r="J281" s="4">
        <v>94246</v>
      </c>
      <c r="K281" s="1">
        <v>0</v>
      </c>
      <c r="L281" t="s">
        <v>21</v>
      </c>
      <c r="M281" t="s">
        <v>60</v>
      </c>
      <c r="O281" s="5">
        <f t="shared" si="4"/>
        <v>0</v>
      </c>
      <c r="P281" s="6">
        <f>Table1[[#This Row],[Annual Salary]]+Table1[[#This Row],[Bonus Amount]]</f>
        <v>94246</v>
      </c>
      <c r="Q281" t="str">
        <f>IF(Table1[[#This Row],[Exit Date]]="", "Active","Exited")</f>
        <v>Active</v>
      </c>
      <c r="R281" s="2">
        <f ca="1">IFERROR(DATEDIF(Table1[[#This Row],[Hire Date]],IF(Table1[[#This Row],[Exit Date]]="",TODAY(),Table1[[#This Row],[Exit Date]]),"Y"),"")</f>
        <v>21</v>
      </c>
      <c r="S281" t="str" cm="1">
        <f t="array" ref="S281">_xlfn.IFS(Table1[[#This Row],[Age]]&lt;30,"Under 30",Table1[[#This Row],[Age]]&lt;=40,"30-40",Table1[[#This Row],[Age]]&lt;50,"41-50",TRUE,"50+")</f>
        <v>41-50</v>
      </c>
    </row>
    <row r="282" spans="1:19" x14ac:dyDescent="0.35">
      <c r="A282" t="s">
        <v>290</v>
      </c>
      <c r="B282" t="s">
        <v>632</v>
      </c>
      <c r="C282" t="s">
        <v>330</v>
      </c>
      <c r="D282" t="s">
        <v>17</v>
      </c>
      <c r="E282" t="s">
        <v>26</v>
      </c>
      <c r="F282" t="s">
        <v>19</v>
      </c>
      <c r="G282" t="s">
        <v>28</v>
      </c>
      <c r="H282" s="3">
        <v>34</v>
      </c>
      <c r="I282" s="8">
        <v>42512</v>
      </c>
      <c r="J282" s="4">
        <v>44614</v>
      </c>
      <c r="K282" s="1">
        <v>0</v>
      </c>
      <c r="L282" t="s">
        <v>21</v>
      </c>
      <c r="M282" t="s">
        <v>56</v>
      </c>
      <c r="O282" s="5">
        <f t="shared" si="4"/>
        <v>0</v>
      </c>
      <c r="P282" s="6">
        <f>Table1[[#This Row],[Annual Salary]]+Table1[[#This Row],[Bonus Amount]]</f>
        <v>44614</v>
      </c>
      <c r="Q282" t="str">
        <f>IF(Table1[[#This Row],[Exit Date]]="", "Active","Exited")</f>
        <v>Active</v>
      </c>
      <c r="R282" s="2">
        <f ca="1">IFERROR(DATEDIF(Table1[[#This Row],[Hire Date]],IF(Table1[[#This Row],[Exit Date]]="",TODAY(),Table1[[#This Row],[Exit Date]]),"Y"),"")</f>
        <v>9</v>
      </c>
      <c r="S282" t="str" cm="1">
        <f t="array" ref="S282">_xlfn.IFS(Table1[[#This Row],[Age]]&lt;30,"Under 30",Table1[[#This Row],[Age]]&lt;=40,"30-40",Table1[[#This Row],[Age]]&lt;50,"41-50",TRUE,"50+")</f>
        <v>30-40</v>
      </c>
    </row>
    <row r="283" spans="1:19" x14ac:dyDescent="0.35">
      <c r="A283" t="s">
        <v>633</v>
      </c>
      <c r="B283" t="s">
        <v>634</v>
      </c>
      <c r="C283" t="s">
        <v>79</v>
      </c>
      <c r="D283" t="s">
        <v>17</v>
      </c>
      <c r="E283" t="s">
        <v>18</v>
      </c>
      <c r="F283" t="s">
        <v>27</v>
      </c>
      <c r="G283" t="s">
        <v>28</v>
      </c>
      <c r="H283" s="3">
        <v>40</v>
      </c>
      <c r="I283" s="8">
        <v>44143</v>
      </c>
      <c r="J283" s="4">
        <v>234469</v>
      </c>
      <c r="K283" s="1">
        <v>0.31</v>
      </c>
      <c r="L283" t="s">
        <v>29</v>
      </c>
      <c r="M283" t="s">
        <v>134</v>
      </c>
      <c r="O283" s="5">
        <f t="shared" si="4"/>
        <v>72685.39</v>
      </c>
      <c r="P283" s="6">
        <f>Table1[[#This Row],[Annual Salary]]+Table1[[#This Row],[Bonus Amount]]</f>
        <v>307154.39</v>
      </c>
      <c r="Q283" t="str">
        <f>IF(Table1[[#This Row],[Exit Date]]="", "Active","Exited")</f>
        <v>Active</v>
      </c>
      <c r="R283" s="2">
        <f ca="1">IFERROR(DATEDIF(Table1[[#This Row],[Hire Date]],IF(Table1[[#This Row],[Exit Date]]="",TODAY(),Table1[[#This Row],[Exit Date]]),"Y"),"")</f>
        <v>5</v>
      </c>
      <c r="S283" t="str" cm="1">
        <f t="array" ref="S283">_xlfn.IFS(Table1[[#This Row],[Age]]&lt;30,"Under 30",Table1[[#This Row],[Age]]&lt;=40,"30-40",Table1[[#This Row],[Age]]&lt;50,"41-50",TRUE,"50+")</f>
        <v>30-40</v>
      </c>
    </row>
    <row r="284" spans="1:19" x14ac:dyDescent="0.35">
      <c r="A284" t="s">
        <v>635</v>
      </c>
      <c r="B284" t="s">
        <v>636</v>
      </c>
      <c r="C284" t="s">
        <v>178</v>
      </c>
      <c r="D284" t="s">
        <v>69</v>
      </c>
      <c r="E284" t="s">
        <v>18</v>
      </c>
      <c r="F284" t="s">
        <v>27</v>
      </c>
      <c r="G284" t="s">
        <v>85</v>
      </c>
      <c r="H284" s="3">
        <v>52</v>
      </c>
      <c r="I284" s="8">
        <v>44022</v>
      </c>
      <c r="J284" s="4">
        <v>88272</v>
      </c>
      <c r="K284" s="1">
        <v>0</v>
      </c>
      <c r="L284" t="s">
        <v>93</v>
      </c>
      <c r="M284" t="s">
        <v>218</v>
      </c>
      <c r="O284" s="5">
        <f t="shared" si="4"/>
        <v>0</v>
      </c>
      <c r="P284" s="6">
        <f>Table1[[#This Row],[Annual Salary]]+Table1[[#This Row],[Bonus Amount]]</f>
        <v>88272</v>
      </c>
      <c r="Q284" t="str">
        <f>IF(Table1[[#This Row],[Exit Date]]="", "Active","Exited")</f>
        <v>Active</v>
      </c>
      <c r="R284" s="2">
        <f ca="1">IFERROR(DATEDIF(Table1[[#This Row],[Hire Date]],IF(Table1[[#This Row],[Exit Date]]="",TODAY(),Table1[[#This Row],[Exit Date]]),"Y"),"")</f>
        <v>5</v>
      </c>
      <c r="S284" t="str" cm="1">
        <f t="array" ref="S284">_xlfn.IFS(Table1[[#This Row],[Age]]&lt;30,"Under 30",Table1[[#This Row],[Age]]&lt;=40,"30-40",Table1[[#This Row],[Age]]&lt;50,"41-50",TRUE,"50+")</f>
        <v>50+</v>
      </c>
    </row>
    <row r="285" spans="1:19" x14ac:dyDescent="0.35">
      <c r="A285" t="s">
        <v>637</v>
      </c>
      <c r="B285" t="s">
        <v>638</v>
      </c>
      <c r="C285" t="s">
        <v>124</v>
      </c>
      <c r="D285" t="s">
        <v>34</v>
      </c>
      <c r="E285" t="s">
        <v>49</v>
      </c>
      <c r="F285" t="s">
        <v>27</v>
      </c>
      <c r="G285" t="s">
        <v>28</v>
      </c>
      <c r="H285" s="3">
        <v>52</v>
      </c>
      <c r="I285" s="8">
        <v>42992</v>
      </c>
      <c r="J285" s="4">
        <v>74449</v>
      </c>
      <c r="K285" s="1">
        <v>0</v>
      </c>
      <c r="L285" t="s">
        <v>29</v>
      </c>
      <c r="M285" t="s">
        <v>114</v>
      </c>
      <c r="O285" s="5">
        <f t="shared" si="4"/>
        <v>0</v>
      </c>
      <c r="P285" s="6">
        <f>Table1[[#This Row],[Annual Salary]]+Table1[[#This Row],[Bonus Amount]]</f>
        <v>74449</v>
      </c>
      <c r="Q285" t="str">
        <f>IF(Table1[[#This Row],[Exit Date]]="", "Active","Exited")</f>
        <v>Active</v>
      </c>
      <c r="R285" s="2">
        <f ca="1">IFERROR(DATEDIF(Table1[[#This Row],[Hire Date]],IF(Table1[[#This Row],[Exit Date]]="",TODAY(),Table1[[#This Row],[Exit Date]]),"Y"),"")</f>
        <v>8</v>
      </c>
      <c r="S285" t="str" cm="1">
        <f t="array" ref="S285">_xlfn.IFS(Table1[[#This Row],[Age]]&lt;30,"Under 30",Table1[[#This Row],[Age]]&lt;=40,"30-40",Table1[[#This Row],[Age]]&lt;50,"41-50",TRUE,"50+")</f>
        <v>50+</v>
      </c>
    </row>
    <row r="286" spans="1:19" x14ac:dyDescent="0.35">
      <c r="A286" t="s">
        <v>639</v>
      </c>
      <c r="B286" t="s">
        <v>640</v>
      </c>
      <c r="C286" t="s">
        <v>79</v>
      </c>
      <c r="D286" t="s">
        <v>69</v>
      </c>
      <c r="E286" t="s">
        <v>35</v>
      </c>
      <c r="F286" t="s">
        <v>27</v>
      </c>
      <c r="G286" t="s">
        <v>28</v>
      </c>
      <c r="H286" s="3">
        <v>47</v>
      </c>
      <c r="I286" s="8">
        <v>41071</v>
      </c>
      <c r="J286" s="4">
        <v>222941</v>
      </c>
      <c r="K286" s="1">
        <v>0.39</v>
      </c>
      <c r="L286" t="s">
        <v>29</v>
      </c>
      <c r="M286" t="s">
        <v>114</v>
      </c>
      <c r="O286" s="5">
        <f t="shared" si="4"/>
        <v>86946.99</v>
      </c>
      <c r="P286" s="6">
        <f>Table1[[#This Row],[Annual Salary]]+Table1[[#This Row],[Bonus Amount]]</f>
        <v>309887.99</v>
      </c>
      <c r="Q286" t="str">
        <f>IF(Table1[[#This Row],[Exit Date]]="", "Active","Exited")</f>
        <v>Active</v>
      </c>
      <c r="R286" s="2">
        <f ca="1">IFERROR(DATEDIF(Table1[[#This Row],[Hire Date]],IF(Table1[[#This Row],[Exit Date]]="",TODAY(),Table1[[#This Row],[Exit Date]]),"Y"),"")</f>
        <v>13</v>
      </c>
      <c r="S286" t="str" cm="1">
        <f t="array" ref="S286">_xlfn.IFS(Table1[[#This Row],[Age]]&lt;30,"Under 30",Table1[[#This Row],[Age]]&lt;=40,"30-40",Table1[[#This Row],[Age]]&lt;50,"41-50",TRUE,"50+")</f>
        <v>41-50</v>
      </c>
    </row>
    <row r="287" spans="1:19" x14ac:dyDescent="0.35">
      <c r="A287" t="s">
        <v>641</v>
      </c>
      <c r="B287" t="s">
        <v>642</v>
      </c>
      <c r="C287" t="s">
        <v>55</v>
      </c>
      <c r="D287" t="s">
        <v>80</v>
      </c>
      <c r="E287" t="s">
        <v>26</v>
      </c>
      <c r="F287" t="s">
        <v>19</v>
      </c>
      <c r="G287" t="s">
        <v>28</v>
      </c>
      <c r="H287" s="3">
        <v>65</v>
      </c>
      <c r="I287" s="8">
        <v>41543</v>
      </c>
      <c r="J287" s="4">
        <v>50341</v>
      </c>
      <c r="K287" s="1">
        <v>0</v>
      </c>
      <c r="L287" t="s">
        <v>29</v>
      </c>
      <c r="M287" t="s">
        <v>114</v>
      </c>
      <c r="O287" s="5">
        <f t="shared" si="4"/>
        <v>0</v>
      </c>
      <c r="P287" s="6">
        <f>Table1[[#This Row],[Annual Salary]]+Table1[[#This Row],[Bonus Amount]]</f>
        <v>50341</v>
      </c>
      <c r="Q287" t="str">
        <f>IF(Table1[[#This Row],[Exit Date]]="", "Active","Exited")</f>
        <v>Active</v>
      </c>
      <c r="R287" s="2">
        <f ca="1">IFERROR(DATEDIF(Table1[[#This Row],[Hire Date]],IF(Table1[[#This Row],[Exit Date]]="",TODAY(),Table1[[#This Row],[Exit Date]]),"Y"),"")</f>
        <v>12</v>
      </c>
      <c r="S287" t="str" cm="1">
        <f t="array" ref="S287">_xlfn.IFS(Table1[[#This Row],[Age]]&lt;30,"Under 30",Table1[[#This Row],[Age]]&lt;=40,"30-40",Table1[[#This Row],[Age]]&lt;50,"41-50",TRUE,"50+")</f>
        <v>50+</v>
      </c>
    </row>
    <row r="288" spans="1:19" x14ac:dyDescent="0.35">
      <c r="A288" t="s">
        <v>643</v>
      </c>
      <c r="B288" t="s">
        <v>644</v>
      </c>
      <c r="C288" t="s">
        <v>164</v>
      </c>
      <c r="D288" t="s">
        <v>65</v>
      </c>
      <c r="E288" t="s">
        <v>49</v>
      </c>
      <c r="F288" t="s">
        <v>19</v>
      </c>
      <c r="G288" t="s">
        <v>85</v>
      </c>
      <c r="H288" s="3">
        <v>31</v>
      </c>
      <c r="I288" s="8">
        <v>44297</v>
      </c>
      <c r="J288" s="4">
        <v>72235</v>
      </c>
      <c r="K288" s="1">
        <v>0</v>
      </c>
      <c r="L288" t="s">
        <v>93</v>
      </c>
      <c r="M288" t="s">
        <v>94</v>
      </c>
      <c r="O288" s="5">
        <f t="shared" si="4"/>
        <v>0</v>
      </c>
      <c r="P288" s="6">
        <f>Table1[[#This Row],[Annual Salary]]+Table1[[#This Row],[Bonus Amount]]</f>
        <v>72235</v>
      </c>
      <c r="Q288" t="str">
        <f>IF(Table1[[#This Row],[Exit Date]]="", "Active","Exited")</f>
        <v>Active</v>
      </c>
      <c r="R288" s="2">
        <f ca="1">IFERROR(DATEDIF(Table1[[#This Row],[Hire Date]],IF(Table1[[#This Row],[Exit Date]]="",TODAY(),Table1[[#This Row],[Exit Date]]),"Y"),"")</f>
        <v>4</v>
      </c>
      <c r="S288" t="str" cm="1">
        <f t="array" ref="S288">_xlfn.IFS(Table1[[#This Row],[Age]]&lt;30,"Under 30",Table1[[#This Row],[Age]]&lt;=40,"30-40",Table1[[#This Row],[Age]]&lt;50,"41-50",TRUE,"50+")</f>
        <v>30-40</v>
      </c>
    </row>
    <row r="289" spans="1:19" x14ac:dyDescent="0.35">
      <c r="A289" t="s">
        <v>645</v>
      </c>
      <c r="B289" t="s">
        <v>646</v>
      </c>
      <c r="C289" t="s">
        <v>43</v>
      </c>
      <c r="D289" t="s">
        <v>59</v>
      </c>
      <c r="E289" t="s">
        <v>49</v>
      </c>
      <c r="F289" t="s">
        <v>19</v>
      </c>
      <c r="G289" t="s">
        <v>85</v>
      </c>
      <c r="H289" s="3">
        <v>41</v>
      </c>
      <c r="I289" s="8">
        <v>42533</v>
      </c>
      <c r="J289" s="4">
        <v>70165</v>
      </c>
      <c r="K289" s="1">
        <v>0</v>
      </c>
      <c r="L289" t="s">
        <v>21</v>
      </c>
      <c r="M289" t="s">
        <v>88</v>
      </c>
      <c r="O289" s="5">
        <f t="shared" si="4"/>
        <v>0</v>
      </c>
      <c r="P289" s="6">
        <f>Table1[[#This Row],[Annual Salary]]+Table1[[#This Row],[Bonus Amount]]</f>
        <v>70165</v>
      </c>
      <c r="Q289" t="str">
        <f>IF(Table1[[#This Row],[Exit Date]]="", "Active","Exited")</f>
        <v>Active</v>
      </c>
      <c r="R289" s="2">
        <f ca="1">IFERROR(DATEDIF(Table1[[#This Row],[Hire Date]],IF(Table1[[#This Row],[Exit Date]]="",TODAY(),Table1[[#This Row],[Exit Date]]),"Y"),"")</f>
        <v>9</v>
      </c>
      <c r="S289" t="str" cm="1">
        <f t="array" ref="S289">_xlfn.IFS(Table1[[#This Row],[Age]]&lt;30,"Under 30",Table1[[#This Row],[Age]]&lt;=40,"30-40",Table1[[#This Row],[Age]]&lt;50,"41-50",TRUE,"50+")</f>
        <v>41-50</v>
      </c>
    </row>
    <row r="290" spans="1:19" x14ac:dyDescent="0.35">
      <c r="A290" t="s">
        <v>647</v>
      </c>
      <c r="B290" t="s">
        <v>648</v>
      </c>
      <c r="C290" t="s">
        <v>16</v>
      </c>
      <c r="D290" t="s">
        <v>80</v>
      </c>
      <c r="E290" t="s">
        <v>35</v>
      </c>
      <c r="F290" t="s">
        <v>27</v>
      </c>
      <c r="G290" t="s">
        <v>36</v>
      </c>
      <c r="H290" s="3">
        <v>30</v>
      </c>
      <c r="I290" s="8">
        <v>44030</v>
      </c>
      <c r="J290" s="4">
        <v>148485</v>
      </c>
      <c r="K290" s="1">
        <v>0.15</v>
      </c>
      <c r="L290" t="s">
        <v>21</v>
      </c>
      <c r="M290" t="s">
        <v>56</v>
      </c>
      <c r="O290" s="5">
        <f t="shared" si="4"/>
        <v>22272.75</v>
      </c>
      <c r="P290" s="6">
        <f>Table1[[#This Row],[Annual Salary]]+Table1[[#This Row],[Bonus Amount]]</f>
        <v>170757.75</v>
      </c>
      <c r="Q290" t="str">
        <f>IF(Table1[[#This Row],[Exit Date]]="", "Active","Exited")</f>
        <v>Active</v>
      </c>
      <c r="R290" s="2">
        <f ca="1">IFERROR(DATEDIF(Table1[[#This Row],[Hire Date]],IF(Table1[[#This Row],[Exit Date]]="",TODAY(),Table1[[#This Row],[Exit Date]]),"Y"),"")</f>
        <v>5</v>
      </c>
      <c r="S290" t="str" cm="1">
        <f t="array" ref="S290">_xlfn.IFS(Table1[[#This Row],[Age]]&lt;30,"Under 30",Table1[[#This Row],[Age]]&lt;=40,"30-40",Table1[[#This Row],[Age]]&lt;50,"41-50",TRUE,"50+")</f>
        <v>30-40</v>
      </c>
    </row>
    <row r="291" spans="1:19" x14ac:dyDescent="0.35">
      <c r="A291" t="s">
        <v>649</v>
      </c>
      <c r="B291" t="s">
        <v>650</v>
      </c>
      <c r="C291" t="s">
        <v>25</v>
      </c>
      <c r="D291" t="s">
        <v>17</v>
      </c>
      <c r="E291" t="s">
        <v>26</v>
      </c>
      <c r="F291" t="s">
        <v>19</v>
      </c>
      <c r="G291" t="s">
        <v>28</v>
      </c>
      <c r="H291" s="3">
        <v>58</v>
      </c>
      <c r="I291" s="8">
        <v>38521</v>
      </c>
      <c r="J291" s="4">
        <v>86089</v>
      </c>
      <c r="K291" s="1">
        <v>0</v>
      </c>
      <c r="L291" t="s">
        <v>21</v>
      </c>
      <c r="M291" t="s">
        <v>37</v>
      </c>
      <c r="O291" s="5">
        <f t="shared" si="4"/>
        <v>0</v>
      </c>
      <c r="P291" s="6">
        <f>Table1[[#This Row],[Annual Salary]]+Table1[[#This Row],[Bonus Amount]]</f>
        <v>86089</v>
      </c>
      <c r="Q291" t="str">
        <f>IF(Table1[[#This Row],[Exit Date]]="", "Active","Exited")</f>
        <v>Active</v>
      </c>
      <c r="R291" s="2">
        <f ca="1">IFERROR(DATEDIF(Table1[[#This Row],[Hire Date]],IF(Table1[[#This Row],[Exit Date]]="",TODAY(),Table1[[#This Row],[Exit Date]]),"Y"),"")</f>
        <v>20</v>
      </c>
      <c r="S291" t="str" cm="1">
        <f t="array" ref="S291">_xlfn.IFS(Table1[[#This Row],[Age]]&lt;30,"Under 30",Table1[[#This Row],[Age]]&lt;=40,"30-40",Table1[[#This Row],[Age]]&lt;50,"41-50",TRUE,"50+")</f>
        <v>50+</v>
      </c>
    </row>
    <row r="292" spans="1:19" x14ac:dyDescent="0.35">
      <c r="A292" t="s">
        <v>651</v>
      </c>
      <c r="B292" t="s">
        <v>652</v>
      </c>
      <c r="C292" t="s">
        <v>113</v>
      </c>
      <c r="D292" t="s">
        <v>69</v>
      </c>
      <c r="E292" t="s">
        <v>18</v>
      </c>
      <c r="F292" t="s">
        <v>27</v>
      </c>
      <c r="G292" t="s">
        <v>85</v>
      </c>
      <c r="H292" s="3">
        <v>54</v>
      </c>
      <c r="I292" s="8">
        <v>39382</v>
      </c>
      <c r="J292" s="4">
        <v>106313</v>
      </c>
      <c r="K292" s="1">
        <v>0.15</v>
      </c>
      <c r="L292" t="s">
        <v>21</v>
      </c>
      <c r="M292" t="s">
        <v>37</v>
      </c>
      <c r="O292" s="5">
        <f t="shared" si="4"/>
        <v>15946.949999999999</v>
      </c>
      <c r="P292" s="6">
        <f>Table1[[#This Row],[Annual Salary]]+Table1[[#This Row],[Bonus Amount]]</f>
        <v>122259.95</v>
      </c>
      <c r="Q292" t="str">
        <f>IF(Table1[[#This Row],[Exit Date]]="", "Active","Exited")</f>
        <v>Active</v>
      </c>
      <c r="R292" s="2">
        <f ca="1">IFERROR(DATEDIF(Table1[[#This Row],[Hire Date]],IF(Table1[[#This Row],[Exit Date]]="",TODAY(),Table1[[#This Row],[Exit Date]]),"Y"),"")</f>
        <v>18</v>
      </c>
      <c r="S292" t="str" cm="1">
        <f t="array" ref="S292">_xlfn.IFS(Table1[[#This Row],[Age]]&lt;30,"Under 30",Table1[[#This Row],[Age]]&lt;=40,"30-40",Table1[[#This Row],[Age]]&lt;50,"41-50",TRUE,"50+")</f>
        <v>50+</v>
      </c>
    </row>
    <row r="293" spans="1:19" x14ac:dyDescent="0.35">
      <c r="A293" t="s">
        <v>653</v>
      </c>
      <c r="B293" t="s">
        <v>654</v>
      </c>
      <c r="C293" t="s">
        <v>55</v>
      </c>
      <c r="D293" t="s">
        <v>80</v>
      </c>
      <c r="E293" t="s">
        <v>18</v>
      </c>
      <c r="F293" t="s">
        <v>19</v>
      </c>
      <c r="G293" t="s">
        <v>28</v>
      </c>
      <c r="H293" s="3">
        <v>40</v>
      </c>
      <c r="I293" s="8">
        <v>44251</v>
      </c>
      <c r="J293" s="4">
        <v>46833</v>
      </c>
      <c r="K293" s="1">
        <v>0</v>
      </c>
      <c r="L293" t="s">
        <v>29</v>
      </c>
      <c r="M293" t="s">
        <v>134</v>
      </c>
      <c r="N293" s="7">
        <v>44510</v>
      </c>
      <c r="O293" s="5">
        <f t="shared" si="4"/>
        <v>0</v>
      </c>
      <c r="P293" s="6">
        <f>Table1[[#This Row],[Annual Salary]]+Table1[[#This Row],[Bonus Amount]]</f>
        <v>46833</v>
      </c>
      <c r="Q293" t="str">
        <f>IF(Table1[[#This Row],[Exit Date]]="", "Active","Exited")</f>
        <v>Exited</v>
      </c>
      <c r="R293" s="2">
        <f ca="1">IFERROR(DATEDIF(Table1[[#This Row],[Hire Date]],IF(Table1[[#This Row],[Exit Date]]="",TODAY(),Table1[[#This Row],[Exit Date]]),"Y"),"")</f>
        <v>0</v>
      </c>
      <c r="S293" t="str" cm="1">
        <f t="array" ref="S293">_xlfn.IFS(Table1[[#This Row],[Age]]&lt;30,"Under 30",Table1[[#This Row],[Age]]&lt;=40,"30-40",Table1[[#This Row],[Age]]&lt;50,"41-50",TRUE,"50+")</f>
        <v>30-40</v>
      </c>
    </row>
    <row r="294" spans="1:19" x14ac:dyDescent="0.35">
      <c r="A294" t="s">
        <v>655</v>
      </c>
      <c r="B294" t="s">
        <v>656</v>
      </c>
      <c r="C294" t="s">
        <v>33</v>
      </c>
      <c r="D294" t="s">
        <v>34</v>
      </c>
      <c r="E294" t="s">
        <v>18</v>
      </c>
      <c r="F294" t="s">
        <v>19</v>
      </c>
      <c r="G294" t="s">
        <v>28</v>
      </c>
      <c r="H294" s="3">
        <v>63</v>
      </c>
      <c r="I294" s="8">
        <v>36826</v>
      </c>
      <c r="J294" s="4">
        <v>155320</v>
      </c>
      <c r="K294" s="1">
        <v>0.17</v>
      </c>
      <c r="L294" t="s">
        <v>29</v>
      </c>
      <c r="M294" t="s">
        <v>30</v>
      </c>
      <c r="O294" s="5">
        <f t="shared" si="4"/>
        <v>26404.400000000001</v>
      </c>
      <c r="P294" s="6">
        <f>Table1[[#This Row],[Annual Salary]]+Table1[[#This Row],[Bonus Amount]]</f>
        <v>181724.4</v>
      </c>
      <c r="Q294" t="str">
        <f>IF(Table1[[#This Row],[Exit Date]]="", "Active","Exited")</f>
        <v>Active</v>
      </c>
      <c r="R294" s="2">
        <f ca="1">IFERROR(DATEDIF(Table1[[#This Row],[Hire Date]],IF(Table1[[#This Row],[Exit Date]]="",TODAY(),Table1[[#This Row],[Exit Date]]),"Y"),"")</f>
        <v>25</v>
      </c>
      <c r="S294" t="str" cm="1">
        <f t="array" ref="S294">_xlfn.IFS(Table1[[#This Row],[Age]]&lt;30,"Under 30",Table1[[#This Row],[Age]]&lt;=40,"30-40",Table1[[#This Row],[Age]]&lt;50,"41-50",TRUE,"50+")</f>
        <v>50+</v>
      </c>
    </row>
    <row r="295" spans="1:19" x14ac:dyDescent="0.35">
      <c r="A295" t="s">
        <v>657</v>
      </c>
      <c r="B295" t="s">
        <v>658</v>
      </c>
      <c r="C295" t="s">
        <v>43</v>
      </c>
      <c r="D295" t="s">
        <v>59</v>
      </c>
      <c r="E295" t="s">
        <v>26</v>
      </c>
      <c r="F295" t="s">
        <v>27</v>
      </c>
      <c r="G295" t="s">
        <v>28</v>
      </c>
      <c r="H295" s="3">
        <v>40</v>
      </c>
      <c r="I295" s="8">
        <v>42384</v>
      </c>
      <c r="J295" s="4">
        <v>89984</v>
      </c>
      <c r="K295" s="1">
        <v>0</v>
      </c>
      <c r="L295" t="s">
        <v>29</v>
      </c>
      <c r="M295" t="s">
        <v>134</v>
      </c>
      <c r="O295" s="5">
        <f t="shared" si="4"/>
        <v>0</v>
      </c>
      <c r="P295" s="6">
        <f>Table1[[#This Row],[Annual Salary]]+Table1[[#This Row],[Bonus Amount]]</f>
        <v>89984</v>
      </c>
      <c r="Q295" t="str">
        <f>IF(Table1[[#This Row],[Exit Date]]="", "Active","Exited")</f>
        <v>Active</v>
      </c>
      <c r="R295" s="2">
        <f ca="1">IFERROR(DATEDIF(Table1[[#This Row],[Hire Date]],IF(Table1[[#This Row],[Exit Date]]="",TODAY(),Table1[[#This Row],[Exit Date]]),"Y"),"")</f>
        <v>10</v>
      </c>
      <c r="S295" t="str" cm="1">
        <f t="array" ref="S295">_xlfn.IFS(Table1[[#This Row],[Age]]&lt;30,"Under 30",Table1[[#This Row],[Age]]&lt;=40,"30-40",Table1[[#This Row],[Age]]&lt;50,"41-50",TRUE,"50+")</f>
        <v>30-40</v>
      </c>
    </row>
    <row r="296" spans="1:19" x14ac:dyDescent="0.35">
      <c r="A296" t="s">
        <v>659</v>
      </c>
      <c r="B296" t="s">
        <v>660</v>
      </c>
      <c r="C296" t="s">
        <v>113</v>
      </c>
      <c r="D296" t="s">
        <v>69</v>
      </c>
      <c r="E296" t="s">
        <v>35</v>
      </c>
      <c r="F296" t="s">
        <v>19</v>
      </c>
      <c r="G296" t="s">
        <v>28</v>
      </c>
      <c r="H296" s="3">
        <v>65</v>
      </c>
      <c r="I296" s="8">
        <v>38792</v>
      </c>
      <c r="J296" s="4">
        <v>83756</v>
      </c>
      <c r="K296" s="1">
        <v>0.14000000000000001</v>
      </c>
      <c r="L296" t="s">
        <v>29</v>
      </c>
      <c r="M296" t="s">
        <v>74</v>
      </c>
      <c r="O296" s="5">
        <f t="shared" si="4"/>
        <v>11725.840000000002</v>
      </c>
      <c r="P296" s="6">
        <f>Table1[[#This Row],[Annual Salary]]+Table1[[#This Row],[Bonus Amount]]</f>
        <v>95481.84</v>
      </c>
      <c r="Q296" t="str">
        <f>IF(Table1[[#This Row],[Exit Date]]="", "Active","Exited")</f>
        <v>Active</v>
      </c>
      <c r="R296" s="2">
        <f ca="1">IFERROR(DATEDIF(Table1[[#This Row],[Hire Date]],IF(Table1[[#This Row],[Exit Date]]="",TODAY(),Table1[[#This Row],[Exit Date]]),"Y"),"")</f>
        <v>20</v>
      </c>
      <c r="S296" t="str" cm="1">
        <f t="array" ref="S296">_xlfn.IFS(Table1[[#This Row],[Age]]&lt;30,"Under 30",Table1[[#This Row],[Age]]&lt;=40,"30-40",Table1[[#This Row],[Age]]&lt;50,"41-50",TRUE,"50+")</f>
        <v>50+</v>
      </c>
    </row>
    <row r="297" spans="1:19" x14ac:dyDescent="0.35">
      <c r="A297" t="s">
        <v>661</v>
      </c>
      <c r="B297" t="s">
        <v>662</v>
      </c>
      <c r="C297" t="s">
        <v>33</v>
      </c>
      <c r="D297" t="s">
        <v>65</v>
      </c>
      <c r="E297" t="s">
        <v>49</v>
      </c>
      <c r="F297" t="s">
        <v>19</v>
      </c>
      <c r="G297" t="s">
        <v>28</v>
      </c>
      <c r="H297" s="3">
        <v>57</v>
      </c>
      <c r="I297" s="8">
        <v>42667</v>
      </c>
      <c r="J297" s="4">
        <v>176324</v>
      </c>
      <c r="K297" s="1">
        <v>0.23</v>
      </c>
      <c r="L297" t="s">
        <v>29</v>
      </c>
      <c r="M297" t="s">
        <v>74</v>
      </c>
      <c r="O297" s="5">
        <f t="shared" si="4"/>
        <v>40554.520000000004</v>
      </c>
      <c r="P297" s="6">
        <f>Table1[[#This Row],[Annual Salary]]+Table1[[#This Row],[Bonus Amount]]</f>
        <v>216878.52000000002</v>
      </c>
      <c r="Q297" t="str">
        <f>IF(Table1[[#This Row],[Exit Date]]="", "Active","Exited")</f>
        <v>Active</v>
      </c>
      <c r="R297" s="2">
        <f ca="1">IFERROR(DATEDIF(Table1[[#This Row],[Hire Date]],IF(Table1[[#This Row],[Exit Date]]="",TODAY(),Table1[[#This Row],[Exit Date]]),"Y"),"")</f>
        <v>9</v>
      </c>
      <c r="S297" t="str" cm="1">
        <f t="array" ref="S297">_xlfn.IFS(Table1[[#This Row],[Age]]&lt;30,"Under 30",Table1[[#This Row],[Age]]&lt;=40,"30-40",Table1[[#This Row],[Age]]&lt;50,"41-50",TRUE,"50+")</f>
        <v>50+</v>
      </c>
    </row>
    <row r="298" spans="1:19" x14ac:dyDescent="0.35">
      <c r="A298" t="s">
        <v>663</v>
      </c>
      <c r="B298" t="s">
        <v>664</v>
      </c>
      <c r="C298" t="s">
        <v>43</v>
      </c>
      <c r="D298" t="s">
        <v>59</v>
      </c>
      <c r="E298" t="s">
        <v>35</v>
      </c>
      <c r="F298" t="s">
        <v>27</v>
      </c>
      <c r="G298" t="s">
        <v>36</v>
      </c>
      <c r="H298" s="3">
        <v>27</v>
      </c>
      <c r="I298" s="8">
        <v>44482</v>
      </c>
      <c r="J298" s="4">
        <v>74077</v>
      </c>
      <c r="K298" s="1">
        <v>0</v>
      </c>
      <c r="L298" t="s">
        <v>21</v>
      </c>
      <c r="M298" t="s">
        <v>22</v>
      </c>
      <c r="O298" s="5">
        <f t="shared" si="4"/>
        <v>0</v>
      </c>
      <c r="P298" s="6">
        <f>Table1[[#This Row],[Annual Salary]]+Table1[[#This Row],[Bonus Amount]]</f>
        <v>74077</v>
      </c>
      <c r="Q298" t="str">
        <f>IF(Table1[[#This Row],[Exit Date]]="", "Active","Exited")</f>
        <v>Active</v>
      </c>
      <c r="R298" s="2">
        <f ca="1">IFERROR(DATEDIF(Table1[[#This Row],[Hire Date]],IF(Table1[[#This Row],[Exit Date]]="",TODAY(),Table1[[#This Row],[Exit Date]]),"Y"),"")</f>
        <v>4</v>
      </c>
      <c r="S298" t="str" cm="1">
        <f t="array" ref="S298">_xlfn.IFS(Table1[[#This Row],[Age]]&lt;30,"Under 30",Table1[[#This Row],[Age]]&lt;=40,"30-40",Table1[[#This Row],[Age]]&lt;50,"41-50",TRUE,"50+")</f>
        <v>Under 30</v>
      </c>
    </row>
    <row r="299" spans="1:19" x14ac:dyDescent="0.35">
      <c r="A299" t="s">
        <v>665</v>
      </c>
      <c r="B299" t="s">
        <v>666</v>
      </c>
      <c r="C299" t="s">
        <v>52</v>
      </c>
      <c r="D299" t="s">
        <v>65</v>
      </c>
      <c r="E299" t="s">
        <v>26</v>
      </c>
      <c r="F299" t="s">
        <v>19</v>
      </c>
      <c r="G299" t="s">
        <v>36</v>
      </c>
      <c r="H299" s="3">
        <v>31</v>
      </c>
      <c r="I299" s="8">
        <v>44214</v>
      </c>
      <c r="J299" s="4">
        <v>104162</v>
      </c>
      <c r="K299" s="1">
        <v>7.0000000000000007E-2</v>
      </c>
      <c r="L299" t="s">
        <v>21</v>
      </c>
      <c r="M299" t="s">
        <v>60</v>
      </c>
      <c r="O299" s="5">
        <f t="shared" si="4"/>
        <v>7291.3400000000011</v>
      </c>
      <c r="P299" s="6">
        <f>Table1[[#This Row],[Annual Salary]]+Table1[[#This Row],[Bonus Amount]]</f>
        <v>111453.34</v>
      </c>
      <c r="Q299" t="str">
        <f>IF(Table1[[#This Row],[Exit Date]]="", "Active","Exited")</f>
        <v>Active</v>
      </c>
      <c r="R299" s="2">
        <f ca="1">IFERROR(DATEDIF(Table1[[#This Row],[Hire Date]],IF(Table1[[#This Row],[Exit Date]]="",TODAY(),Table1[[#This Row],[Exit Date]]),"Y"),"")</f>
        <v>5</v>
      </c>
      <c r="S299" t="str" cm="1">
        <f t="array" ref="S299">_xlfn.IFS(Table1[[#This Row],[Age]]&lt;30,"Under 30",Table1[[#This Row],[Age]]&lt;=40,"30-40",Table1[[#This Row],[Age]]&lt;50,"41-50",TRUE,"50+")</f>
        <v>30-40</v>
      </c>
    </row>
    <row r="300" spans="1:19" x14ac:dyDescent="0.35">
      <c r="A300" t="s">
        <v>667</v>
      </c>
      <c r="B300" t="s">
        <v>668</v>
      </c>
      <c r="C300" t="s">
        <v>442</v>
      </c>
      <c r="D300" t="s">
        <v>17</v>
      </c>
      <c r="E300" t="s">
        <v>49</v>
      </c>
      <c r="F300" t="s">
        <v>19</v>
      </c>
      <c r="G300" t="s">
        <v>28</v>
      </c>
      <c r="H300" s="3">
        <v>45</v>
      </c>
      <c r="I300" s="8">
        <v>40418</v>
      </c>
      <c r="J300" s="4">
        <v>82162</v>
      </c>
      <c r="K300" s="1">
        <v>0</v>
      </c>
      <c r="L300" t="s">
        <v>29</v>
      </c>
      <c r="M300" t="s">
        <v>114</v>
      </c>
      <c r="N300" s="7">
        <v>44107</v>
      </c>
      <c r="O300" s="5">
        <f t="shared" si="4"/>
        <v>0</v>
      </c>
      <c r="P300" s="6">
        <f>Table1[[#This Row],[Annual Salary]]+Table1[[#This Row],[Bonus Amount]]</f>
        <v>82162</v>
      </c>
      <c r="Q300" t="str">
        <f>IF(Table1[[#This Row],[Exit Date]]="", "Active","Exited")</f>
        <v>Exited</v>
      </c>
      <c r="R300" s="2">
        <f ca="1">IFERROR(DATEDIF(Table1[[#This Row],[Hire Date]],IF(Table1[[#This Row],[Exit Date]]="",TODAY(),Table1[[#This Row],[Exit Date]]),"Y"),"")</f>
        <v>10</v>
      </c>
      <c r="S300" t="str" cm="1">
        <f t="array" ref="S300">_xlfn.IFS(Table1[[#This Row],[Age]]&lt;30,"Under 30",Table1[[#This Row],[Age]]&lt;=40,"30-40",Table1[[#This Row],[Age]]&lt;50,"41-50",TRUE,"50+")</f>
        <v>41-50</v>
      </c>
    </row>
    <row r="301" spans="1:19" x14ac:dyDescent="0.35">
      <c r="A301" t="s">
        <v>669</v>
      </c>
      <c r="B301" t="s">
        <v>670</v>
      </c>
      <c r="C301" t="s">
        <v>47</v>
      </c>
      <c r="D301" t="s">
        <v>48</v>
      </c>
      <c r="E301" t="s">
        <v>35</v>
      </c>
      <c r="F301" t="s">
        <v>19</v>
      </c>
      <c r="G301" t="s">
        <v>28</v>
      </c>
      <c r="H301" s="3">
        <v>47</v>
      </c>
      <c r="I301" s="8">
        <v>42195</v>
      </c>
      <c r="J301" s="4">
        <v>63880</v>
      </c>
      <c r="K301" s="1">
        <v>0</v>
      </c>
      <c r="L301" t="s">
        <v>29</v>
      </c>
      <c r="M301" t="s">
        <v>30</v>
      </c>
      <c r="O301" s="5">
        <f t="shared" si="4"/>
        <v>0</v>
      </c>
      <c r="P301" s="6">
        <f>Table1[[#This Row],[Annual Salary]]+Table1[[#This Row],[Bonus Amount]]</f>
        <v>63880</v>
      </c>
      <c r="Q301" t="str">
        <f>IF(Table1[[#This Row],[Exit Date]]="", "Active","Exited")</f>
        <v>Active</v>
      </c>
      <c r="R301" s="2">
        <f ca="1">IFERROR(DATEDIF(Table1[[#This Row],[Hire Date]],IF(Table1[[#This Row],[Exit Date]]="",TODAY(),Table1[[#This Row],[Exit Date]]),"Y"),"")</f>
        <v>10</v>
      </c>
      <c r="S301" t="str" cm="1">
        <f t="array" ref="S301">_xlfn.IFS(Table1[[#This Row],[Age]]&lt;30,"Under 30",Table1[[#This Row],[Age]]&lt;=40,"30-40",Table1[[#This Row],[Age]]&lt;50,"41-50",TRUE,"50+")</f>
        <v>41-50</v>
      </c>
    </row>
    <row r="302" spans="1:19" x14ac:dyDescent="0.35">
      <c r="A302" t="s">
        <v>671</v>
      </c>
      <c r="B302" t="s">
        <v>672</v>
      </c>
      <c r="C302" t="s">
        <v>223</v>
      </c>
      <c r="D302" t="s">
        <v>69</v>
      </c>
      <c r="E302" t="s">
        <v>18</v>
      </c>
      <c r="F302" t="s">
        <v>19</v>
      </c>
      <c r="G302" t="s">
        <v>28</v>
      </c>
      <c r="H302" s="3">
        <v>55</v>
      </c>
      <c r="I302" s="8">
        <v>41525</v>
      </c>
      <c r="J302" s="4">
        <v>73248</v>
      </c>
      <c r="K302" s="1">
        <v>0</v>
      </c>
      <c r="L302" t="s">
        <v>21</v>
      </c>
      <c r="M302" t="s">
        <v>88</v>
      </c>
      <c r="O302" s="5">
        <f t="shared" si="4"/>
        <v>0</v>
      </c>
      <c r="P302" s="6">
        <f>Table1[[#This Row],[Annual Salary]]+Table1[[#This Row],[Bonus Amount]]</f>
        <v>73248</v>
      </c>
      <c r="Q302" t="str">
        <f>IF(Table1[[#This Row],[Exit Date]]="", "Active","Exited")</f>
        <v>Active</v>
      </c>
      <c r="R302" s="2">
        <f ca="1">IFERROR(DATEDIF(Table1[[#This Row],[Hire Date]],IF(Table1[[#This Row],[Exit Date]]="",TODAY(),Table1[[#This Row],[Exit Date]]),"Y"),"")</f>
        <v>12</v>
      </c>
      <c r="S302" t="str" cm="1">
        <f t="array" ref="S302">_xlfn.IFS(Table1[[#This Row],[Age]]&lt;30,"Under 30",Table1[[#This Row],[Age]]&lt;=40,"30-40",Table1[[#This Row],[Age]]&lt;50,"41-50",TRUE,"50+")</f>
        <v>50+</v>
      </c>
    </row>
    <row r="303" spans="1:19" x14ac:dyDescent="0.35">
      <c r="A303" t="s">
        <v>673</v>
      </c>
      <c r="B303" t="s">
        <v>674</v>
      </c>
      <c r="C303" t="s">
        <v>43</v>
      </c>
      <c r="D303" t="s">
        <v>59</v>
      </c>
      <c r="E303" t="s">
        <v>26</v>
      </c>
      <c r="F303" t="s">
        <v>27</v>
      </c>
      <c r="G303" t="s">
        <v>20</v>
      </c>
      <c r="H303" s="3">
        <v>51</v>
      </c>
      <c r="I303" s="8">
        <v>44113</v>
      </c>
      <c r="J303" s="4">
        <v>91853</v>
      </c>
      <c r="K303" s="1">
        <v>0</v>
      </c>
      <c r="L303" t="s">
        <v>21</v>
      </c>
      <c r="M303" t="s">
        <v>37</v>
      </c>
      <c r="O303" s="5">
        <f t="shared" si="4"/>
        <v>0</v>
      </c>
      <c r="P303" s="6">
        <f>Table1[[#This Row],[Annual Salary]]+Table1[[#This Row],[Bonus Amount]]</f>
        <v>91853</v>
      </c>
      <c r="Q303" t="str">
        <f>IF(Table1[[#This Row],[Exit Date]]="", "Active","Exited")</f>
        <v>Active</v>
      </c>
      <c r="R303" s="2">
        <f ca="1">IFERROR(DATEDIF(Table1[[#This Row],[Hire Date]],IF(Table1[[#This Row],[Exit Date]]="",TODAY(),Table1[[#This Row],[Exit Date]]),"Y"),"")</f>
        <v>5</v>
      </c>
      <c r="S303" t="str" cm="1">
        <f t="array" ref="S303">_xlfn.IFS(Table1[[#This Row],[Age]]&lt;30,"Under 30",Table1[[#This Row],[Age]]&lt;=40,"30-40",Table1[[#This Row],[Age]]&lt;50,"41-50",TRUE,"50+")</f>
        <v>50+</v>
      </c>
    </row>
    <row r="304" spans="1:19" x14ac:dyDescent="0.35">
      <c r="A304" t="s">
        <v>675</v>
      </c>
      <c r="B304" t="s">
        <v>676</v>
      </c>
      <c r="C304" t="s">
        <v>33</v>
      </c>
      <c r="D304" t="s">
        <v>34</v>
      </c>
      <c r="E304" t="s">
        <v>35</v>
      </c>
      <c r="F304" t="s">
        <v>27</v>
      </c>
      <c r="G304" t="s">
        <v>36</v>
      </c>
      <c r="H304" s="3">
        <v>25</v>
      </c>
      <c r="I304" s="8">
        <v>43844</v>
      </c>
      <c r="J304" s="4">
        <v>168014</v>
      </c>
      <c r="K304" s="1">
        <v>0.27</v>
      </c>
      <c r="L304" t="s">
        <v>21</v>
      </c>
      <c r="M304" t="s">
        <v>37</v>
      </c>
      <c r="N304" s="7">
        <v>44404</v>
      </c>
      <c r="O304" s="5">
        <f t="shared" si="4"/>
        <v>45363.780000000006</v>
      </c>
      <c r="P304" s="6">
        <f>Table1[[#This Row],[Annual Salary]]+Table1[[#This Row],[Bonus Amount]]</f>
        <v>213377.78</v>
      </c>
      <c r="Q304" t="str">
        <f>IF(Table1[[#This Row],[Exit Date]]="", "Active","Exited")</f>
        <v>Exited</v>
      </c>
      <c r="R304" s="2">
        <f ca="1">IFERROR(DATEDIF(Table1[[#This Row],[Hire Date]],IF(Table1[[#This Row],[Exit Date]]="",TODAY(),Table1[[#This Row],[Exit Date]]),"Y"),"")</f>
        <v>1</v>
      </c>
      <c r="S304" t="str" cm="1">
        <f t="array" ref="S304">_xlfn.IFS(Table1[[#This Row],[Age]]&lt;30,"Under 30",Table1[[#This Row],[Age]]&lt;=40,"30-40",Table1[[#This Row],[Age]]&lt;50,"41-50",TRUE,"50+")</f>
        <v>Under 30</v>
      </c>
    </row>
    <row r="305" spans="1:19" x14ac:dyDescent="0.35">
      <c r="A305" t="s">
        <v>677</v>
      </c>
      <c r="B305" t="s">
        <v>678</v>
      </c>
      <c r="C305" t="s">
        <v>277</v>
      </c>
      <c r="D305" t="s">
        <v>69</v>
      </c>
      <c r="E305" t="s">
        <v>49</v>
      </c>
      <c r="F305" t="s">
        <v>19</v>
      </c>
      <c r="G305" t="s">
        <v>36</v>
      </c>
      <c r="H305" s="3">
        <v>37</v>
      </c>
      <c r="I305" s="8">
        <v>42995</v>
      </c>
      <c r="J305" s="4">
        <v>70770</v>
      </c>
      <c r="K305" s="1">
        <v>0</v>
      </c>
      <c r="L305" t="s">
        <v>21</v>
      </c>
      <c r="M305" t="s">
        <v>56</v>
      </c>
      <c r="O305" s="5">
        <f t="shared" si="4"/>
        <v>0</v>
      </c>
      <c r="P305" s="6">
        <f>Table1[[#This Row],[Annual Salary]]+Table1[[#This Row],[Bonus Amount]]</f>
        <v>70770</v>
      </c>
      <c r="Q305" t="str">
        <f>IF(Table1[[#This Row],[Exit Date]]="", "Active","Exited")</f>
        <v>Active</v>
      </c>
      <c r="R305" s="2">
        <f ca="1">IFERROR(DATEDIF(Table1[[#This Row],[Hire Date]],IF(Table1[[#This Row],[Exit Date]]="",TODAY(),Table1[[#This Row],[Exit Date]]),"Y"),"")</f>
        <v>8</v>
      </c>
      <c r="S305" t="str" cm="1">
        <f t="array" ref="S305">_xlfn.IFS(Table1[[#This Row],[Age]]&lt;30,"Under 30",Table1[[#This Row],[Age]]&lt;=40,"30-40",Table1[[#This Row],[Age]]&lt;50,"41-50",TRUE,"50+")</f>
        <v>30-40</v>
      </c>
    </row>
    <row r="306" spans="1:19" x14ac:dyDescent="0.35">
      <c r="A306" t="s">
        <v>679</v>
      </c>
      <c r="B306" t="s">
        <v>680</v>
      </c>
      <c r="C306" t="s">
        <v>164</v>
      </c>
      <c r="D306" t="s">
        <v>65</v>
      </c>
      <c r="E306" t="s">
        <v>49</v>
      </c>
      <c r="F306" t="s">
        <v>27</v>
      </c>
      <c r="G306" t="s">
        <v>36</v>
      </c>
      <c r="H306" s="3">
        <v>62</v>
      </c>
      <c r="I306" s="8">
        <v>38271</v>
      </c>
      <c r="J306" s="4">
        <v>50825</v>
      </c>
      <c r="K306" s="1">
        <v>0</v>
      </c>
      <c r="L306" t="s">
        <v>21</v>
      </c>
      <c r="M306" t="s">
        <v>22</v>
      </c>
      <c r="O306" s="5">
        <f t="shared" si="4"/>
        <v>0</v>
      </c>
      <c r="P306" s="6">
        <f>Table1[[#This Row],[Annual Salary]]+Table1[[#This Row],[Bonus Amount]]</f>
        <v>50825</v>
      </c>
      <c r="Q306" t="str">
        <f>IF(Table1[[#This Row],[Exit Date]]="", "Active","Exited")</f>
        <v>Active</v>
      </c>
      <c r="R306" s="2">
        <f ca="1">IFERROR(DATEDIF(Table1[[#This Row],[Hire Date]],IF(Table1[[#This Row],[Exit Date]]="",TODAY(),Table1[[#This Row],[Exit Date]]),"Y"),"")</f>
        <v>21</v>
      </c>
      <c r="S306" t="str" cm="1">
        <f t="array" ref="S306">_xlfn.IFS(Table1[[#This Row],[Age]]&lt;30,"Under 30",Table1[[#This Row],[Age]]&lt;=40,"30-40",Table1[[#This Row],[Age]]&lt;50,"41-50",TRUE,"50+")</f>
        <v>50+</v>
      </c>
    </row>
    <row r="307" spans="1:19" x14ac:dyDescent="0.35">
      <c r="A307" t="s">
        <v>681</v>
      </c>
      <c r="B307" t="s">
        <v>682</v>
      </c>
      <c r="C307" t="s">
        <v>16</v>
      </c>
      <c r="D307" t="s">
        <v>34</v>
      </c>
      <c r="E307" t="s">
        <v>18</v>
      </c>
      <c r="F307" t="s">
        <v>27</v>
      </c>
      <c r="G307" t="s">
        <v>85</v>
      </c>
      <c r="H307" s="3">
        <v>31</v>
      </c>
      <c r="I307" s="8">
        <v>42266</v>
      </c>
      <c r="J307" s="4">
        <v>145846</v>
      </c>
      <c r="K307" s="1">
        <v>0.15</v>
      </c>
      <c r="L307" t="s">
        <v>93</v>
      </c>
      <c r="M307" t="s">
        <v>94</v>
      </c>
      <c r="O307" s="5">
        <f t="shared" si="4"/>
        <v>21876.899999999998</v>
      </c>
      <c r="P307" s="6">
        <f>Table1[[#This Row],[Annual Salary]]+Table1[[#This Row],[Bonus Amount]]</f>
        <v>167722.9</v>
      </c>
      <c r="Q307" t="str">
        <f>IF(Table1[[#This Row],[Exit Date]]="", "Active","Exited")</f>
        <v>Active</v>
      </c>
      <c r="R307" s="2">
        <f ca="1">IFERROR(DATEDIF(Table1[[#This Row],[Hire Date]],IF(Table1[[#This Row],[Exit Date]]="",TODAY(),Table1[[#This Row],[Exit Date]]),"Y"),"")</f>
        <v>10</v>
      </c>
      <c r="S307" t="str" cm="1">
        <f t="array" ref="S307">_xlfn.IFS(Table1[[#This Row],[Age]]&lt;30,"Under 30",Table1[[#This Row],[Age]]&lt;=40,"30-40",Table1[[#This Row],[Age]]&lt;50,"41-50",TRUE,"50+")</f>
        <v>30-40</v>
      </c>
    </row>
    <row r="308" spans="1:19" x14ac:dyDescent="0.35">
      <c r="A308" t="s">
        <v>683</v>
      </c>
      <c r="B308" t="s">
        <v>684</v>
      </c>
      <c r="C308" t="s">
        <v>16</v>
      </c>
      <c r="D308" t="s">
        <v>65</v>
      </c>
      <c r="E308" t="s">
        <v>18</v>
      </c>
      <c r="F308" t="s">
        <v>19</v>
      </c>
      <c r="G308" t="s">
        <v>28</v>
      </c>
      <c r="H308" s="3">
        <v>64</v>
      </c>
      <c r="I308" s="8">
        <v>37962</v>
      </c>
      <c r="J308" s="4">
        <v>125807</v>
      </c>
      <c r="K308" s="1">
        <v>0.15</v>
      </c>
      <c r="L308" t="s">
        <v>21</v>
      </c>
      <c r="M308" t="s">
        <v>37</v>
      </c>
      <c r="O308" s="5">
        <f t="shared" si="4"/>
        <v>18871.05</v>
      </c>
      <c r="P308" s="6">
        <f>Table1[[#This Row],[Annual Salary]]+Table1[[#This Row],[Bonus Amount]]</f>
        <v>144678.04999999999</v>
      </c>
      <c r="Q308" t="str">
        <f>IF(Table1[[#This Row],[Exit Date]]="", "Active","Exited")</f>
        <v>Active</v>
      </c>
      <c r="R308" s="2">
        <f ca="1">IFERROR(DATEDIF(Table1[[#This Row],[Hire Date]],IF(Table1[[#This Row],[Exit Date]]="",TODAY(),Table1[[#This Row],[Exit Date]]),"Y"),"")</f>
        <v>22</v>
      </c>
      <c r="S308" t="str" cm="1">
        <f t="array" ref="S308">_xlfn.IFS(Table1[[#This Row],[Age]]&lt;30,"Under 30",Table1[[#This Row],[Age]]&lt;=40,"30-40",Table1[[#This Row],[Age]]&lt;50,"41-50",TRUE,"50+")</f>
        <v>50+</v>
      </c>
    </row>
    <row r="309" spans="1:19" x14ac:dyDescent="0.35">
      <c r="A309" t="s">
        <v>685</v>
      </c>
      <c r="B309" t="s">
        <v>686</v>
      </c>
      <c r="C309" t="s">
        <v>55</v>
      </c>
      <c r="D309" t="s">
        <v>48</v>
      </c>
      <c r="E309" t="s">
        <v>35</v>
      </c>
      <c r="F309" t="s">
        <v>27</v>
      </c>
      <c r="G309" t="s">
        <v>28</v>
      </c>
      <c r="H309" s="3">
        <v>25</v>
      </c>
      <c r="I309" s="8">
        <v>44405</v>
      </c>
      <c r="J309" s="4">
        <v>46845</v>
      </c>
      <c r="K309" s="1">
        <v>0</v>
      </c>
      <c r="L309" t="s">
        <v>21</v>
      </c>
      <c r="M309" t="s">
        <v>56</v>
      </c>
      <c r="O309" s="5">
        <f t="shared" si="4"/>
        <v>0</v>
      </c>
      <c r="P309" s="6">
        <f>Table1[[#This Row],[Annual Salary]]+Table1[[#This Row],[Bonus Amount]]</f>
        <v>46845</v>
      </c>
      <c r="Q309" t="str">
        <f>IF(Table1[[#This Row],[Exit Date]]="", "Active","Exited")</f>
        <v>Active</v>
      </c>
      <c r="R309" s="2">
        <f ca="1">IFERROR(DATEDIF(Table1[[#This Row],[Hire Date]],IF(Table1[[#This Row],[Exit Date]]="",TODAY(),Table1[[#This Row],[Exit Date]]),"Y"),"")</f>
        <v>4</v>
      </c>
      <c r="S309" t="str" cm="1">
        <f t="array" ref="S309">_xlfn.IFS(Table1[[#This Row],[Age]]&lt;30,"Under 30",Table1[[#This Row],[Age]]&lt;=40,"30-40",Table1[[#This Row],[Age]]&lt;50,"41-50",TRUE,"50+")</f>
        <v>Under 30</v>
      </c>
    </row>
    <row r="310" spans="1:19" x14ac:dyDescent="0.35">
      <c r="A310" t="s">
        <v>687</v>
      </c>
      <c r="B310" t="s">
        <v>688</v>
      </c>
      <c r="C310" t="s">
        <v>16</v>
      </c>
      <c r="D310" t="s">
        <v>80</v>
      </c>
      <c r="E310" t="s">
        <v>49</v>
      </c>
      <c r="F310" t="s">
        <v>19</v>
      </c>
      <c r="G310" t="s">
        <v>28</v>
      </c>
      <c r="H310" s="3">
        <v>59</v>
      </c>
      <c r="I310" s="8">
        <v>39689</v>
      </c>
      <c r="J310" s="4">
        <v>157969</v>
      </c>
      <c r="K310" s="1">
        <v>0.1</v>
      </c>
      <c r="L310" t="s">
        <v>29</v>
      </c>
      <c r="M310" t="s">
        <v>30</v>
      </c>
      <c r="O310" s="5">
        <f t="shared" si="4"/>
        <v>15796.900000000001</v>
      </c>
      <c r="P310" s="6">
        <f>Table1[[#This Row],[Annual Salary]]+Table1[[#This Row],[Bonus Amount]]</f>
        <v>173765.9</v>
      </c>
      <c r="Q310" t="str">
        <f>IF(Table1[[#This Row],[Exit Date]]="", "Active","Exited")</f>
        <v>Active</v>
      </c>
      <c r="R310" s="2">
        <f ca="1">IFERROR(DATEDIF(Table1[[#This Row],[Hire Date]],IF(Table1[[#This Row],[Exit Date]]="",TODAY(),Table1[[#This Row],[Exit Date]]),"Y"),"")</f>
        <v>17</v>
      </c>
      <c r="S310" t="str" cm="1">
        <f t="array" ref="S310">_xlfn.IFS(Table1[[#This Row],[Age]]&lt;30,"Under 30",Table1[[#This Row],[Age]]&lt;=40,"30-40",Table1[[#This Row],[Age]]&lt;50,"41-50",TRUE,"50+")</f>
        <v>50+</v>
      </c>
    </row>
    <row r="311" spans="1:19" x14ac:dyDescent="0.35">
      <c r="A311" t="s">
        <v>689</v>
      </c>
      <c r="B311" t="s">
        <v>690</v>
      </c>
      <c r="C311" t="s">
        <v>372</v>
      </c>
      <c r="D311" t="s">
        <v>17</v>
      </c>
      <c r="E311" t="s">
        <v>49</v>
      </c>
      <c r="F311" t="s">
        <v>19</v>
      </c>
      <c r="G311" t="s">
        <v>36</v>
      </c>
      <c r="H311" s="3">
        <v>40</v>
      </c>
      <c r="I311" s="8">
        <v>40522</v>
      </c>
      <c r="J311" s="4">
        <v>97807</v>
      </c>
      <c r="K311" s="1">
        <v>0</v>
      </c>
      <c r="L311" t="s">
        <v>21</v>
      </c>
      <c r="M311" t="s">
        <v>37</v>
      </c>
      <c r="O311" s="5">
        <f t="shared" si="4"/>
        <v>0</v>
      </c>
      <c r="P311" s="6">
        <f>Table1[[#This Row],[Annual Salary]]+Table1[[#This Row],[Bonus Amount]]</f>
        <v>97807</v>
      </c>
      <c r="Q311" t="str">
        <f>IF(Table1[[#This Row],[Exit Date]]="", "Active","Exited")</f>
        <v>Active</v>
      </c>
      <c r="R311" s="2">
        <f ca="1">IFERROR(DATEDIF(Table1[[#This Row],[Hire Date]],IF(Table1[[#This Row],[Exit Date]]="",TODAY(),Table1[[#This Row],[Exit Date]]),"Y"),"")</f>
        <v>15</v>
      </c>
      <c r="S311" t="str" cm="1">
        <f t="array" ref="S311">_xlfn.IFS(Table1[[#This Row],[Age]]&lt;30,"Under 30",Table1[[#This Row],[Age]]&lt;=40,"30-40",Table1[[#This Row],[Age]]&lt;50,"41-50",TRUE,"50+")</f>
        <v>30-40</v>
      </c>
    </row>
    <row r="312" spans="1:19" x14ac:dyDescent="0.35">
      <c r="A312" t="s">
        <v>691</v>
      </c>
      <c r="B312" t="s">
        <v>692</v>
      </c>
      <c r="C312" t="s">
        <v>164</v>
      </c>
      <c r="D312" t="s">
        <v>65</v>
      </c>
      <c r="E312" t="s">
        <v>26</v>
      </c>
      <c r="F312" t="s">
        <v>27</v>
      </c>
      <c r="G312" t="s">
        <v>85</v>
      </c>
      <c r="H312" s="3">
        <v>31</v>
      </c>
      <c r="I312" s="8">
        <v>42347</v>
      </c>
      <c r="J312" s="4">
        <v>73854</v>
      </c>
      <c r="K312" s="1">
        <v>0</v>
      </c>
      <c r="L312" t="s">
        <v>21</v>
      </c>
      <c r="M312" t="s">
        <v>22</v>
      </c>
      <c r="O312" s="5">
        <f t="shared" si="4"/>
        <v>0</v>
      </c>
      <c r="P312" s="6">
        <f>Table1[[#This Row],[Annual Salary]]+Table1[[#This Row],[Bonus Amount]]</f>
        <v>73854</v>
      </c>
      <c r="Q312" t="str">
        <f>IF(Table1[[#This Row],[Exit Date]]="", "Active","Exited")</f>
        <v>Active</v>
      </c>
      <c r="R312" s="2">
        <f ca="1">IFERROR(DATEDIF(Table1[[#This Row],[Hire Date]],IF(Table1[[#This Row],[Exit Date]]="",TODAY(),Table1[[#This Row],[Exit Date]]),"Y"),"")</f>
        <v>10</v>
      </c>
      <c r="S312" t="str" cm="1">
        <f t="array" ref="S312">_xlfn.IFS(Table1[[#This Row],[Age]]&lt;30,"Under 30",Table1[[#This Row],[Age]]&lt;=40,"30-40",Table1[[#This Row],[Age]]&lt;50,"41-50",TRUE,"50+")</f>
        <v>30-40</v>
      </c>
    </row>
    <row r="313" spans="1:19" x14ac:dyDescent="0.35">
      <c r="A313" t="s">
        <v>693</v>
      </c>
      <c r="B313" t="s">
        <v>694</v>
      </c>
      <c r="C313" t="s">
        <v>16</v>
      </c>
      <c r="D313" t="s">
        <v>59</v>
      </c>
      <c r="E313" t="s">
        <v>26</v>
      </c>
      <c r="F313" t="s">
        <v>27</v>
      </c>
      <c r="G313" t="s">
        <v>28</v>
      </c>
      <c r="H313" s="3">
        <v>45</v>
      </c>
      <c r="I313" s="8">
        <v>39063</v>
      </c>
      <c r="J313" s="4">
        <v>149537</v>
      </c>
      <c r="K313" s="1">
        <v>0.14000000000000001</v>
      </c>
      <c r="L313" t="s">
        <v>21</v>
      </c>
      <c r="M313" t="s">
        <v>22</v>
      </c>
      <c r="O313" s="5">
        <f t="shared" si="4"/>
        <v>20935.18</v>
      </c>
      <c r="P313" s="6">
        <f>Table1[[#This Row],[Annual Salary]]+Table1[[#This Row],[Bonus Amount]]</f>
        <v>170472.18</v>
      </c>
      <c r="Q313" t="str">
        <f>IF(Table1[[#This Row],[Exit Date]]="", "Active","Exited")</f>
        <v>Active</v>
      </c>
      <c r="R313" s="2">
        <f ca="1">IFERROR(DATEDIF(Table1[[#This Row],[Hire Date]],IF(Table1[[#This Row],[Exit Date]]="",TODAY(),Table1[[#This Row],[Exit Date]]),"Y"),"")</f>
        <v>19</v>
      </c>
      <c r="S313" t="str" cm="1">
        <f t="array" ref="S313">_xlfn.IFS(Table1[[#This Row],[Age]]&lt;30,"Under 30",Table1[[#This Row],[Age]]&lt;=40,"30-40",Table1[[#This Row],[Age]]&lt;50,"41-50",TRUE,"50+")</f>
        <v>41-50</v>
      </c>
    </row>
    <row r="314" spans="1:19" x14ac:dyDescent="0.35">
      <c r="A314" t="s">
        <v>695</v>
      </c>
      <c r="B314" t="s">
        <v>696</v>
      </c>
      <c r="C314" t="s">
        <v>16</v>
      </c>
      <c r="D314" t="s">
        <v>48</v>
      </c>
      <c r="E314" t="s">
        <v>26</v>
      </c>
      <c r="F314" t="s">
        <v>19</v>
      </c>
      <c r="G314" t="s">
        <v>36</v>
      </c>
      <c r="H314" s="3">
        <v>49</v>
      </c>
      <c r="I314" s="8">
        <v>41379</v>
      </c>
      <c r="J314" s="4">
        <v>128303</v>
      </c>
      <c r="K314" s="1">
        <v>0.15</v>
      </c>
      <c r="L314" t="s">
        <v>21</v>
      </c>
      <c r="M314" t="s">
        <v>44</v>
      </c>
      <c r="O314" s="5">
        <f t="shared" si="4"/>
        <v>19245.45</v>
      </c>
      <c r="P314" s="6">
        <f>Table1[[#This Row],[Annual Salary]]+Table1[[#This Row],[Bonus Amount]]</f>
        <v>147548.45000000001</v>
      </c>
      <c r="Q314" t="str">
        <f>IF(Table1[[#This Row],[Exit Date]]="", "Active","Exited")</f>
        <v>Active</v>
      </c>
      <c r="R314" s="2">
        <f ca="1">IFERROR(DATEDIF(Table1[[#This Row],[Hire Date]],IF(Table1[[#This Row],[Exit Date]]="",TODAY(),Table1[[#This Row],[Exit Date]]),"Y"),"")</f>
        <v>12</v>
      </c>
      <c r="S314" t="str" cm="1">
        <f t="array" ref="S314">_xlfn.IFS(Table1[[#This Row],[Age]]&lt;30,"Under 30",Table1[[#This Row],[Age]]&lt;=40,"30-40",Table1[[#This Row],[Age]]&lt;50,"41-50",TRUE,"50+")</f>
        <v>41-50</v>
      </c>
    </row>
    <row r="315" spans="1:19" x14ac:dyDescent="0.35">
      <c r="A315" t="s">
        <v>697</v>
      </c>
      <c r="B315" t="s">
        <v>698</v>
      </c>
      <c r="C315" t="s">
        <v>248</v>
      </c>
      <c r="D315" t="s">
        <v>17</v>
      </c>
      <c r="E315" t="s">
        <v>35</v>
      </c>
      <c r="F315" t="s">
        <v>27</v>
      </c>
      <c r="G315" t="s">
        <v>20</v>
      </c>
      <c r="H315" s="3">
        <v>46</v>
      </c>
      <c r="I315" s="8">
        <v>38513</v>
      </c>
      <c r="J315" s="4">
        <v>67374</v>
      </c>
      <c r="K315" s="1">
        <v>0</v>
      </c>
      <c r="L315" t="s">
        <v>21</v>
      </c>
      <c r="M315" t="s">
        <v>60</v>
      </c>
      <c r="O315" s="5">
        <f t="shared" si="4"/>
        <v>0</v>
      </c>
      <c r="P315" s="6">
        <f>Table1[[#This Row],[Annual Salary]]+Table1[[#This Row],[Bonus Amount]]</f>
        <v>67374</v>
      </c>
      <c r="Q315" t="str">
        <f>IF(Table1[[#This Row],[Exit Date]]="", "Active","Exited")</f>
        <v>Active</v>
      </c>
      <c r="R315" s="2">
        <f ca="1">IFERROR(DATEDIF(Table1[[#This Row],[Hire Date]],IF(Table1[[#This Row],[Exit Date]]="",TODAY(),Table1[[#This Row],[Exit Date]]),"Y"),"")</f>
        <v>20</v>
      </c>
      <c r="S315" t="str" cm="1">
        <f t="array" ref="S315">_xlfn.IFS(Table1[[#This Row],[Age]]&lt;30,"Under 30",Table1[[#This Row],[Age]]&lt;=40,"30-40",Table1[[#This Row],[Age]]&lt;50,"41-50",TRUE,"50+")</f>
        <v>41-50</v>
      </c>
    </row>
    <row r="316" spans="1:19" x14ac:dyDescent="0.35">
      <c r="A316" t="s">
        <v>699</v>
      </c>
      <c r="B316" t="s">
        <v>700</v>
      </c>
      <c r="C316" t="s">
        <v>52</v>
      </c>
      <c r="D316" t="s">
        <v>65</v>
      </c>
      <c r="E316" t="s">
        <v>49</v>
      </c>
      <c r="F316" t="s">
        <v>27</v>
      </c>
      <c r="G316" t="s">
        <v>85</v>
      </c>
      <c r="H316" s="3">
        <v>46</v>
      </c>
      <c r="I316" s="8">
        <v>40810</v>
      </c>
      <c r="J316" s="4">
        <v>102167</v>
      </c>
      <c r="K316" s="1">
        <v>0.06</v>
      </c>
      <c r="L316" t="s">
        <v>93</v>
      </c>
      <c r="M316" t="s">
        <v>99</v>
      </c>
      <c r="O316" s="5">
        <f t="shared" si="4"/>
        <v>6130.0199999999995</v>
      </c>
      <c r="P316" s="6">
        <f>Table1[[#This Row],[Annual Salary]]+Table1[[#This Row],[Bonus Amount]]</f>
        <v>108297.02</v>
      </c>
      <c r="Q316" t="str">
        <f>IF(Table1[[#This Row],[Exit Date]]="", "Active","Exited")</f>
        <v>Active</v>
      </c>
      <c r="R316" s="2">
        <f ca="1">IFERROR(DATEDIF(Table1[[#This Row],[Hire Date]],IF(Table1[[#This Row],[Exit Date]]="",TODAY(),Table1[[#This Row],[Exit Date]]),"Y"),"")</f>
        <v>14</v>
      </c>
      <c r="S316" t="str" cm="1">
        <f t="array" ref="S316">_xlfn.IFS(Table1[[#This Row],[Age]]&lt;30,"Under 30",Table1[[#This Row],[Age]]&lt;=40,"30-40",Table1[[#This Row],[Age]]&lt;50,"41-50",TRUE,"50+")</f>
        <v>41-50</v>
      </c>
    </row>
    <row r="317" spans="1:19" x14ac:dyDescent="0.35">
      <c r="A317" t="s">
        <v>701</v>
      </c>
      <c r="B317" t="s">
        <v>702</v>
      </c>
      <c r="C317" t="s">
        <v>16</v>
      </c>
      <c r="D317" t="s">
        <v>48</v>
      </c>
      <c r="E317" t="s">
        <v>26</v>
      </c>
      <c r="F317" t="s">
        <v>27</v>
      </c>
      <c r="G317" t="s">
        <v>28</v>
      </c>
      <c r="H317" s="3">
        <v>45</v>
      </c>
      <c r="I317" s="8">
        <v>39332</v>
      </c>
      <c r="J317" s="4">
        <v>151027</v>
      </c>
      <c r="K317" s="1">
        <v>0.1</v>
      </c>
      <c r="L317" t="s">
        <v>29</v>
      </c>
      <c r="M317" t="s">
        <v>74</v>
      </c>
      <c r="O317" s="5">
        <f t="shared" si="4"/>
        <v>15102.7</v>
      </c>
      <c r="P317" s="6">
        <f>Table1[[#This Row],[Annual Salary]]+Table1[[#This Row],[Bonus Amount]]</f>
        <v>166129.70000000001</v>
      </c>
      <c r="Q317" t="str">
        <f>IF(Table1[[#This Row],[Exit Date]]="", "Active","Exited")</f>
        <v>Active</v>
      </c>
      <c r="R317" s="2">
        <f ca="1">IFERROR(DATEDIF(Table1[[#This Row],[Hire Date]],IF(Table1[[#This Row],[Exit Date]]="",TODAY(),Table1[[#This Row],[Exit Date]]),"Y"),"")</f>
        <v>18</v>
      </c>
      <c r="S317" t="str" cm="1">
        <f t="array" ref="S317">_xlfn.IFS(Table1[[#This Row],[Age]]&lt;30,"Under 30",Table1[[#This Row],[Age]]&lt;=40,"30-40",Table1[[#This Row],[Age]]&lt;50,"41-50",TRUE,"50+")</f>
        <v>41-50</v>
      </c>
    </row>
    <row r="318" spans="1:19" x14ac:dyDescent="0.35">
      <c r="A318" t="s">
        <v>703</v>
      </c>
      <c r="B318" t="s">
        <v>704</v>
      </c>
      <c r="C318" t="s">
        <v>52</v>
      </c>
      <c r="D318" t="s">
        <v>59</v>
      </c>
      <c r="E318" t="s">
        <v>35</v>
      </c>
      <c r="F318" t="s">
        <v>27</v>
      </c>
      <c r="G318" t="s">
        <v>28</v>
      </c>
      <c r="H318" s="3">
        <v>40</v>
      </c>
      <c r="I318" s="8">
        <v>43147</v>
      </c>
      <c r="J318" s="4">
        <v>120905</v>
      </c>
      <c r="K318" s="1">
        <v>0.05</v>
      </c>
      <c r="L318" t="s">
        <v>21</v>
      </c>
      <c r="M318" t="s">
        <v>22</v>
      </c>
      <c r="O318" s="5">
        <f t="shared" si="4"/>
        <v>6045.25</v>
      </c>
      <c r="P318" s="6">
        <f>Table1[[#This Row],[Annual Salary]]+Table1[[#This Row],[Bonus Amount]]</f>
        <v>126950.25</v>
      </c>
      <c r="Q318" t="str">
        <f>IF(Table1[[#This Row],[Exit Date]]="", "Active","Exited")</f>
        <v>Active</v>
      </c>
      <c r="R318" s="2">
        <f ca="1">IFERROR(DATEDIF(Table1[[#This Row],[Hire Date]],IF(Table1[[#This Row],[Exit Date]]="",TODAY(),Table1[[#This Row],[Exit Date]]),"Y"),"")</f>
        <v>8</v>
      </c>
      <c r="S318" t="str" cm="1">
        <f t="array" ref="S318">_xlfn.IFS(Table1[[#This Row],[Age]]&lt;30,"Under 30",Table1[[#This Row],[Age]]&lt;=40,"30-40",Table1[[#This Row],[Age]]&lt;50,"41-50",TRUE,"50+")</f>
        <v>30-40</v>
      </c>
    </row>
    <row r="319" spans="1:19" x14ac:dyDescent="0.35">
      <c r="A319" t="s">
        <v>705</v>
      </c>
      <c r="B319" t="s">
        <v>706</v>
      </c>
      <c r="C319" t="s">
        <v>79</v>
      </c>
      <c r="D319" t="s">
        <v>34</v>
      </c>
      <c r="E319" t="s">
        <v>26</v>
      </c>
      <c r="F319" t="s">
        <v>19</v>
      </c>
      <c r="G319" t="s">
        <v>36</v>
      </c>
      <c r="H319" s="3">
        <v>48</v>
      </c>
      <c r="I319" s="8">
        <v>43253</v>
      </c>
      <c r="J319" s="4">
        <v>231567</v>
      </c>
      <c r="K319" s="1">
        <v>0.36</v>
      </c>
      <c r="L319" t="s">
        <v>21</v>
      </c>
      <c r="M319" t="s">
        <v>22</v>
      </c>
      <c r="O319" s="5">
        <f t="shared" si="4"/>
        <v>83364.12</v>
      </c>
      <c r="P319" s="6">
        <f>Table1[[#This Row],[Annual Salary]]+Table1[[#This Row],[Bonus Amount]]</f>
        <v>314931.12</v>
      </c>
      <c r="Q319" t="str">
        <f>IF(Table1[[#This Row],[Exit Date]]="", "Active","Exited")</f>
        <v>Active</v>
      </c>
      <c r="R319" s="2">
        <f ca="1">IFERROR(DATEDIF(Table1[[#This Row],[Hire Date]],IF(Table1[[#This Row],[Exit Date]]="",TODAY(),Table1[[#This Row],[Exit Date]]),"Y"),"")</f>
        <v>7</v>
      </c>
      <c r="S319" t="str" cm="1">
        <f t="array" ref="S319">_xlfn.IFS(Table1[[#This Row],[Age]]&lt;30,"Under 30",Table1[[#This Row],[Age]]&lt;=40,"30-40",Table1[[#This Row],[Age]]&lt;50,"41-50",TRUE,"50+")</f>
        <v>41-50</v>
      </c>
    </row>
    <row r="320" spans="1:19" x14ac:dyDescent="0.35">
      <c r="A320" t="s">
        <v>412</v>
      </c>
      <c r="B320" t="s">
        <v>707</v>
      </c>
      <c r="C320" t="s">
        <v>79</v>
      </c>
      <c r="D320" t="s">
        <v>17</v>
      </c>
      <c r="E320" t="s">
        <v>18</v>
      </c>
      <c r="F320" t="s">
        <v>27</v>
      </c>
      <c r="G320" t="s">
        <v>28</v>
      </c>
      <c r="H320" s="3">
        <v>31</v>
      </c>
      <c r="I320" s="8">
        <v>42197</v>
      </c>
      <c r="J320" s="4">
        <v>215388</v>
      </c>
      <c r="K320" s="1">
        <v>0.33</v>
      </c>
      <c r="L320" t="s">
        <v>21</v>
      </c>
      <c r="M320" t="s">
        <v>56</v>
      </c>
      <c r="O320" s="5">
        <f t="shared" si="4"/>
        <v>71078.040000000008</v>
      </c>
      <c r="P320" s="6">
        <f>Table1[[#This Row],[Annual Salary]]+Table1[[#This Row],[Bonus Amount]]</f>
        <v>286466.04000000004</v>
      </c>
      <c r="Q320" t="str">
        <f>IF(Table1[[#This Row],[Exit Date]]="", "Active","Exited")</f>
        <v>Active</v>
      </c>
      <c r="R320" s="2">
        <f ca="1">IFERROR(DATEDIF(Table1[[#This Row],[Hire Date]],IF(Table1[[#This Row],[Exit Date]]="",TODAY(),Table1[[#This Row],[Exit Date]]),"Y"),"")</f>
        <v>10</v>
      </c>
      <c r="S320" t="str" cm="1">
        <f t="array" ref="S320">_xlfn.IFS(Table1[[#This Row],[Age]]&lt;30,"Under 30",Table1[[#This Row],[Age]]&lt;=40,"30-40",Table1[[#This Row],[Age]]&lt;50,"41-50",TRUE,"50+")</f>
        <v>30-40</v>
      </c>
    </row>
    <row r="321" spans="1:19" x14ac:dyDescent="0.35">
      <c r="A321" t="s">
        <v>708</v>
      </c>
      <c r="B321" t="s">
        <v>709</v>
      </c>
      <c r="C321" t="s">
        <v>16</v>
      </c>
      <c r="D321" t="s">
        <v>48</v>
      </c>
      <c r="E321" t="s">
        <v>35</v>
      </c>
      <c r="F321" t="s">
        <v>19</v>
      </c>
      <c r="G321" t="s">
        <v>28</v>
      </c>
      <c r="H321" s="3">
        <v>30</v>
      </c>
      <c r="I321" s="8">
        <v>42168</v>
      </c>
      <c r="J321" s="4">
        <v>127972</v>
      </c>
      <c r="K321" s="1">
        <v>0.11</v>
      </c>
      <c r="L321" t="s">
        <v>21</v>
      </c>
      <c r="M321" t="s">
        <v>22</v>
      </c>
      <c r="O321" s="5">
        <f t="shared" si="4"/>
        <v>14076.92</v>
      </c>
      <c r="P321" s="6">
        <f>Table1[[#This Row],[Annual Salary]]+Table1[[#This Row],[Bonus Amount]]</f>
        <v>142048.92000000001</v>
      </c>
      <c r="Q321" t="str">
        <f>IF(Table1[[#This Row],[Exit Date]]="", "Active","Exited")</f>
        <v>Active</v>
      </c>
      <c r="R321" s="2">
        <f ca="1">IFERROR(DATEDIF(Table1[[#This Row],[Hire Date]],IF(Table1[[#This Row],[Exit Date]]="",TODAY(),Table1[[#This Row],[Exit Date]]),"Y"),"")</f>
        <v>10</v>
      </c>
      <c r="S321" t="str" cm="1">
        <f t="array" ref="S321">_xlfn.IFS(Table1[[#This Row],[Age]]&lt;30,"Under 30",Table1[[#This Row],[Age]]&lt;=40,"30-40",Table1[[#This Row],[Age]]&lt;50,"41-50",TRUE,"50+")</f>
        <v>30-40</v>
      </c>
    </row>
    <row r="322" spans="1:19" x14ac:dyDescent="0.35">
      <c r="A322" t="s">
        <v>710</v>
      </c>
      <c r="B322" t="s">
        <v>711</v>
      </c>
      <c r="C322" t="s">
        <v>181</v>
      </c>
      <c r="D322" t="s">
        <v>69</v>
      </c>
      <c r="E322" t="s">
        <v>49</v>
      </c>
      <c r="F322" t="s">
        <v>19</v>
      </c>
      <c r="G322" t="s">
        <v>28</v>
      </c>
      <c r="H322" s="3">
        <v>55</v>
      </c>
      <c r="I322" s="8">
        <v>34915</v>
      </c>
      <c r="J322" s="4">
        <v>80701</v>
      </c>
      <c r="K322" s="1">
        <v>0</v>
      </c>
      <c r="L322" t="s">
        <v>21</v>
      </c>
      <c r="M322" t="s">
        <v>37</v>
      </c>
      <c r="N322" s="7">
        <v>38456</v>
      </c>
      <c r="O322" s="5">
        <f t="shared" si="4"/>
        <v>0</v>
      </c>
      <c r="P322" s="6">
        <f>Table1[[#This Row],[Annual Salary]]+Table1[[#This Row],[Bonus Amount]]</f>
        <v>80701</v>
      </c>
      <c r="Q322" t="str">
        <f>IF(Table1[[#This Row],[Exit Date]]="", "Active","Exited")</f>
        <v>Exited</v>
      </c>
      <c r="R322" s="2">
        <f ca="1">IFERROR(DATEDIF(Table1[[#This Row],[Hire Date]],IF(Table1[[#This Row],[Exit Date]]="",TODAY(),Table1[[#This Row],[Exit Date]]),"Y"),"")</f>
        <v>9</v>
      </c>
      <c r="S322" t="str" cm="1">
        <f t="array" ref="S322">_xlfn.IFS(Table1[[#This Row],[Age]]&lt;30,"Under 30",Table1[[#This Row],[Age]]&lt;=40,"30-40",Table1[[#This Row],[Age]]&lt;50,"41-50",TRUE,"50+")</f>
        <v>50+</v>
      </c>
    </row>
    <row r="323" spans="1:19" x14ac:dyDescent="0.35">
      <c r="A323" t="s">
        <v>712</v>
      </c>
      <c r="B323" t="s">
        <v>713</v>
      </c>
      <c r="C323" t="s">
        <v>52</v>
      </c>
      <c r="D323" t="s">
        <v>80</v>
      </c>
      <c r="E323" t="s">
        <v>49</v>
      </c>
      <c r="F323" t="s">
        <v>27</v>
      </c>
      <c r="G323" t="s">
        <v>28</v>
      </c>
      <c r="H323" s="3">
        <v>28</v>
      </c>
      <c r="I323" s="8">
        <v>43863</v>
      </c>
      <c r="J323" s="4">
        <v>115417</v>
      </c>
      <c r="K323" s="1">
        <v>0.06</v>
      </c>
      <c r="L323" t="s">
        <v>29</v>
      </c>
      <c r="M323" t="s">
        <v>74</v>
      </c>
      <c r="O323" s="5">
        <f t="shared" ref="O323:O386" si="5">J323*K323</f>
        <v>6925.0199999999995</v>
      </c>
      <c r="P323" s="6">
        <f>Table1[[#This Row],[Annual Salary]]+Table1[[#This Row],[Bonus Amount]]</f>
        <v>122342.02</v>
      </c>
      <c r="Q323" t="str">
        <f>IF(Table1[[#This Row],[Exit Date]]="", "Active","Exited")</f>
        <v>Active</v>
      </c>
      <c r="R323" s="2">
        <f ca="1">IFERROR(DATEDIF(Table1[[#This Row],[Hire Date]],IF(Table1[[#This Row],[Exit Date]]="",TODAY(),Table1[[#This Row],[Exit Date]]),"Y"),"")</f>
        <v>6</v>
      </c>
      <c r="S323" t="str" cm="1">
        <f t="array" ref="S323">_xlfn.IFS(Table1[[#This Row],[Age]]&lt;30,"Under 30",Table1[[#This Row],[Age]]&lt;=40,"30-40",Table1[[#This Row],[Age]]&lt;50,"41-50",TRUE,"50+")</f>
        <v>Under 30</v>
      </c>
    </row>
    <row r="324" spans="1:19" x14ac:dyDescent="0.35">
      <c r="A324" t="s">
        <v>345</v>
      </c>
      <c r="B324" t="s">
        <v>714</v>
      </c>
      <c r="C324" t="s">
        <v>108</v>
      </c>
      <c r="D324" t="s">
        <v>69</v>
      </c>
      <c r="E324" t="s">
        <v>49</v>
      </c>
      <c r="F324" t="s">
        <v>19</v>
      </c>
      <c r="G324" t="s">
        <v>36</v>
      </c>
      <c r="H324" s="3">
        <v>45</v>
      </c>
      <c r="I324" s="8">
        <v>43635</v>
      </c>
      <c r="J324" s="4">
        <v>88045</v>
      </c>
      <c r="K324" s="1">
        <v>0</v>
      </c>
      <c r="L324" t="s">
        <v>21</v>
      </c>
      <c r="M324" t="s">
        <v>37</v>
      </c>
      <c r="O324" s="5">
        <f t="shared" si="5"/>
        <v>0</v>
      </c>
      <c r="P324" s="6">
        <f>Table1[[#This Row],[Annual Salary]]+Table1[[#This Row],[Bonus Amount]]</f>
        <v>88045</v>
      </c>
      <c r="Q324" t="str">
        <f>IF(Table1[[#This Row],[Exit Date]]="", "Active","Exited")</f>
        <v>Active</v>
      </c>
      <c r="R324" s="2">
        <f ca="1">IFERROR(DATEDIF(Table1[[#This Row],[Hire Date]],IF(Table1[[#This Row],[Exit Date]]="",TODAY(),Table1[[#This Row],[Exit Date]]),"Y"),"")</f>
        <v>6</v>
      </c>
      <c r="S324" t="str" cm="1">
        <f t="array" ref="S324">_xlfn.IFS(Table1[[#This Row],[Age]]&lt;30,"Under 30",Table1[[#This Row],[Age]]&lt;=40,"30-40",Table1[[#This Row],[Age]]&lt;50,"41-50",TRUE,"50+")</f>
        <v>41-50</v>
      </c>
    </row>
    <row r="325" spans="1:19" x14ac:dyDescent="0.35">
      <c r="A325" t="s">
        <v>715</v>
      </c>
      <c r="B325" t="s">
        <v>716</v>
      </c>
      <c r="C325" t="s">
        <v>40</v>
      </c>
      <c r="D325" t="s">
        <v>17</v>
      </c>
      <c r="E325" t="s">
        <v>35</v>
      </c>
      <c r="F325" t="s">
        <v>19</v>
      </c>
      <c r="G325" t="s">
        <v>20</v>
      </c>
      <c r="H325" s="3">
        <v>45</v>
      </c>
      <c r="I325" s="8">
        <v>43185</v>
      </c>
      <c r="J325" s="4">
        <v>86478</v>
      </c>
      <c r="K325" s="1">
        <v>0.06</v>
      </c>
      <c r="L325" t="s">
        <v>21</v>
      </c>
      <c r="M325" t="s">
        <v>60</v>
      </c>
      <c r="O325" s="5">
        <f t="shared" si="5"/>
        <v>5188.6799999999994</v>
      </c>
      <c r="P325" s="6">
        <f>Table1[[#This Row],[Annual Salary]]+Table1[[#This Row],[Bonus Amount]]</f>
        <v>91666.68</v>
      </c>
      <c r="Q325" t="str">
        <f>IF(Table1[[#This Row],[Exit Date]]="", "Active","Exited")</f>
        <v>Active</v>
      </c>
      <c r="R325" s="2">
        <f ca="1">IFERROR(DATEDIF(Table1[[#This Row],[Hire Date]],IF(Table1[[#This Row],[Exit Date]]="",TODAY(),Table1[[#This Row],[Exit Date]]),"Y"),"")</f>
        <v>7</v>
      </c>
      <c r="S325" t="str" cm="1">
        <f t="array" ref="S325">_xlfn.IFS(Table1[[#This Row],[Age]]&lt;30,"Under 30",Table1[[#This Row],[Age]]&lt;=40,"30-40",Table1[[#This Row],[Age]]&lt;50,"41-50",TRUE,"50+")</f>
        <v>41-50</v>
      </c>
    </row>
    <row r="326" spans="1:19" x14ac:dyDescent="0.35">
      <c r="A326" t="s">
        <v>717</v>
      </c>
      <c r="B326" t="s">
        <v>718</v>
      </c>
      <c r="C326" t="s">
        <v>79</v>
      </c>
      <c r="D326" t="s">
        <v>69</v>
      </c>
      <c r="E326" t="s">
        <v>26</v>
      </c>
      <c r="F326" t="s">
        <v>27</v>
      </c>
      <c r="G326" t="s">
        <v>36</v>
      </c>
      <c r="H326" s="3">
        <v>63</v>
      </c>
      <c r="I326" s="8">
        <v>42387</v>
      </c>
      <c r="J326" s="4">
        <v>180994</v>
      </c>
      <c r="K326" s="1">
        <v>0.39</v>
      </c>
      <c r="L326" t="s">
        <v>21</v>
      </c>
      <c r="M326" t="s">
        <v>22</v>
      </c>
      <c r="O326" s="5">
        <f t="shared" si="5"/>
        <v>70587.66</v>
      </c>
      <c r="P326" s="6">
        <f>Table1[[#This Row],[Annual Salary]]+Table1[[#This Row],[Bonus Amount]]</f>
        <v>251581.66</v>
      </c>
      <c r="Q326" t="str">
        <f>IF(Table1[[#This Row],[Exit Date]]="", "Active","Exited")</f>
        <v>Active</v>
      </c>
      <c r="R326" s="2">
        <f ca="1">IFERROR(DATEDIF(Table1[[#This Row],[Hire Date]],IF(Table1[[#This Row],[Exit Date]]="",TODAY(),Table1[[#This Row],[Exit Date]]),"Y"),"")</f>
        <v>10</v>
      </c>
      <c r="S326" t="str" cm="1">
        <f t="array" ref="S326">_xlfn.IFS(Table1[[#This Row],[Age]]&lt;30,"Under 30",Table1[[#This Row],[Age]]&lt;=40,"30-40",Table1[[#This Row],[Age]]&lt;50,"41-50",TRUE,"50+")</f>
        <v>50+</v>
      </c>
    </row>
    <row r="327" spans="1:19" x14ac:dyDescent="0.35">
      <c r="A327" t="s">
        <v>719</v>
      </c>
      <c r="B327" t="s">
        <v>720</v>
      </c>
      <c r="C327" t="s">
        <v>124</v>
      </c>
      <c r="D327" t="s">
        <v>34</v>
      </c>
      <c r="E327" t="s">
        <v>18</v>
      </c>
      <c r="F327" t="s">
        <v>19</v>
      </c>
      <c r="G327" t="s">
        <v>28</v>
      </c>
      <c r="H327" s="3">
        <v>55</v>
      </c>
      <c r="I327" s="8">
        <v>39418</v>
      </c>
      <c r="J327" s="4">
        <v>64494</v>
      </c>
      <c r="K327" s="1">
        <v>0</v>
      </c>
      <c r="L327" t="s">
        <v>21</v>
      </c>
      <c r="M327" t="s">
        <v>88</v>
      </c>
      <c r="O327" s="5">
        <f t="shared" si="5"/>
        <v>0</v>
      </c>
      <c r="P327" s="6">
        <f>Table1[[#This Row],[Annual Salary]]+Table1[[#This Row],[Bonus Amount]]</f>
        <v>64494</v>
      </c>
      <c r="Q327" t="str">
        <f>IF(Table1[[#This Row],[Exit Date]]="", "Active","Exited")</f>
        <v>Active</v>
      </c>
      <c r="R327" s="2">
        <f ca="1">IFERROR(DATEDIF(Table1[[#This Row],[Hire Date]],IF(Table1[[#This Row],[Exit Date]]="",TODAY(),Table1[[#This Row],[Exit Date]]),"Y"),"")</f>
        <v>18</v>
      </c>
      <c r="S327" t="str" cm="1">
        <f t="array" ref="S327">_xlfn.IFS(Table1[[#This Row],[Age]]&lt;30,"Under 30",Table1[[#This Row],[Age]]&lt;=40,"30-40",Table1[[#This Row],[Age]]&lt;50,"41-50",TRUE,"50+")</f>
        <v>50+</v>
      </c>
    </row>
    <row r="328" spans="1:19" x14ac:dyDescent="0.35">
      <c r="A328" t="s">
        <v>721</v>
      </c>
      <c r="B328" t="s">
        <v>722</v>
      </c>
      <c r="C328" t="s">
        <v>47</v>
      </c>
      <c r="D328" t="s">
        <v>48</v>
      </c>
      <c r="E328" t="s">
        <v>26</v>
      </c>
      <c r="F328" t="s">
        <v>27</v>
      </c>
      <c r="G328" t="s">
        <v>20</v>
      </c>
      <c r="H328" s="3">
        <v>47</v>
      </c>
      <c r="I328" s="8">
        <v>37550</v>
      </c>
      <c r="J328" s="4">
        <v>70122</v>
      </c>
      <c r="K328" s="1">
        <v>0</v>
      </c>
      <c r="L328" t="s">
        <v>21</v>
      </c>
      <c r="M328" t="s">
        <v>88</v>
      </c>
      <c r="O328" s="5">
        <f t="shared" si="5"/>
        <v>0</v>
      </c>
      <c r="P328" s="6">
        <f>Table1[[#This Row],[Annual Salary]]+Table1[[#This Row],[Bonus Amount]]</f>
        <v>70122</v>
      </c>
      <c r="Q328" t="str">
        <f>IF(Table1[[#This Row],[Exit Date]]="", "Active","Exited")</f>
        <v>Active</v>
      </c>
      <c r="R328" s="2">
        <f ca="1">IFERROR(DATEDIF(Table1[[#This Row],[Hire Date]],IF(Table1[[#This Row],[Exit Date]]="",TODAY(),Table1[[#This Row],[Exit Date]]),"Y"),"")</f>
        <v>23</v>
      </c>
      <c r="S328" t="str" cm="1">
        <f t="array" ref="S328">_xlfn.IFS(Table1[[#This Row],[Age]]&lt;30,"Under 30",Table1[[#This Row],[Age]]&lt;=40,"30-40",Table1[[#This Row],[Age]]&lt;50,"41-50",TRUE,"50+")</f>
        <v>41-50</v>
      </c>
    </row>
    <row r="329" spans="1:19" x14ac:dyDescent="0.35">
      <c r="A329" t="s">
        <v>723</v>
      </c>
      <c r="B329" t="s">
        <v>724</v>
      </c>
      <c r="C329" t="s">
        <v>33</v>
      </c>
      <c r="D329" t="s">
        <v>59</v>
      </c>
      <c r="E329" t="s">
        <v>26</v>
      </c>
      <c r="F329" t="s">
        <v>27</v>
      </c>
      <c r="G329" t="s">
        <v>36</v>
      </c>
      <c r="H329" s="3">
        <v>29</v>
      </c>
      <c r="I329" s="8">
        <v>42785</v>
      </c>
      <c r="J329" s="4">
        <v>181854</v>
      </c>
      <c r="K329" s="1">
        <v>0.28999999999999998</v>
      </c>
      <c r="L329" t="s">
        <v>21</v>
      </c>
      <c r="M329" t="s">
        <v>22</v>
      </c>
      <c r="N329" s="7">
        <v>43945</v>
      </c>
      <c r="O329" s="5">
        <f t="shared" si="5"/>
        <v>52737.659999999996</v>
      </c>
      <c r="P329" s="6">
        <f>Table1[[#This Row],[Annual Salary]]+Table1[[#This Row],[Bonus Amount]]</f>
        <v>234591.66</v>
      </c>
      <c r="Q329" t="str">
        <f>IF(Table1[[#This Row],[Exit Date]]="", "Active","Exited")</f>
        <v>Exited</v>
      </c>
      <c r="R329" s="2">
        <f ca="1">IFERROR(DATEDIF(Table1[[#This Row],[Hire Date]],IF(Table1[[#This Row],[Exit Date]]="",TODAY(),Table1[[#This Row],[Exit Date]]),"Y"),"")</f>
        <v>3</v>
      </c>
      <c r="S329" t="str" cm="1">
        <f t="array" ref="S329">_xlfn.IFS(Table1[[#This Row],[Age]]&lt;30,"Under 30",Table1[[#This Row],[Age]]&lt;=40,"30-40",Table1[[#This Row],[Age]]&lt;50,"41-50",TRUE,"50+")</f>
        <v>Under 30</v>
      </c>
    </row>
    <row r="330" spans="1:19" x14ac:dyDescent="0.35">
      <c r="A330" t="s">
        <v>725</v>
      </c>
      <c r="B330" t="s">
        <v>726</v>
      </c>
      <c r="C330" t="s">
        <v>184</v>
      </c>
      <c r="D330" t="s">
        <v>65</v>
      </c>
      <c r="E330" t="s">
        <v>35</v>
      </c>
      <c r="F330" t="s">
        <v>19</v>
      </c>
      <c r="G330" t="s">
        <v>85</v>
      </c>
      <c r="H330" s="3">
        <v>34</v>
      </c>
      <c r="I330" s="8">
        <v>42664</v>
      </c>
      <c r="J330" s="4">
        <v>52811</v>
      </c>
      <c r="K330" s="1">
        <v>0</v>
      </c>
      <c r="L330" t="s">
        <v>21</v>
      </c>
      <c r="M330" t="s">
        <v>56</v>
      </c>
      <c r="O330" s="5">
        <f t="shared" si="5"/>
        <v>0</v>
      </c>
      <c r="P330" s="6">
        <f>Table1[[#This Row],[Annual Salary]]+Table1[[#This Row],[Bonus Amount]]</f>
        <v>52811</v>
      </c>
      <c r="Q330" t="str">
        <f>IF(Table1[[#This Row],[Exit Date]]="", "Active","Exited")</f>
        <v>Active</v>
      </c>
      <c r="R330" s="2">
        <f ca="1">IFERROR(DATEDIF(Table1[[#This Row],[Hire Date]],IF(Table1[[#This Row],[Exit Date]]="",TODAY(),Table1[[#This Row],[Exit Date]]),"Y"),"")</f>
        <v>9</v>
      </c>
      <c r="S330" t="str" cm="1">
        <f t="array" ref="S330">_xlfn.IFS(Table1[[#This Row],[Age]]&lt;30,"Under 30",Table1[[#This Row],[Age]]&lt;=40,"30-40",Table1[[#This Row],[Age]]&lt;50,"41-50",TRUE,"50+")</f>
        <v>30-40</v>
      </c>
    </row>
    <row r="331" spans="1:19" x14ac:dyDescent="0.35">
      <c r="A331" t="s">
        <v>727</v>
      </c>
      <c r="B331" t="s">
        <v>728</v>
      </c>
      <c r="C331" t="s">
        <v>330</v>
      </c>
      <c r="D331" t="s">
        <v>17</v>
      </c>
      <c r="E331" t="s">
        <v>18</v>
      </c>
      <c r="F331" t="s">
        <v>19</v>
      </c>
      <c r="G331" t="s">
        <v>28</v>
      </c>
      <c r="H331" s="3">
        <v>28</v>
      </c>
      <c r="I331" s="8">
        <v>43763</v>
      </c>
      <c r="J331" s="4">
        <v>50111</v>
      </c>
      <c r="K331" s="1">
        <v>0</v>
      </c>
      <c r="L331" t="s">
        <v>29</v>
      </c>
      <c r="M331" t="s">
        <v>134</v>
      </c>
      <c r="O331" s="5">
        <f t="shared" si="5"/>
        <v>0</v>
      </c>
      <c r="P331" s="6">
        <f>Table1[[#This Row],[Annual Salary]]+Table1[[#This Row],[Bonus Amount]]</f>
        <v>50111</v>
      </c>
      <c r="Q331" t="str">
        <f>IF(Table1[[#This Row],[Exit Date]]="", "Active","Exited")</f>
        <v>Active</v>
      </c>
      <c r="R331" s="2">
        <f ca="1">IFERROR(DATEDIF(Table1[[#This Row],[Hire Date]],IF(Table1[[#This Row],[Exit Date]]="",TODAY(),Table1[[#This Row],[Exit Date]]),"Y"),"")</f>
        <v>6</v>
      </c>
      <c r="S331" t="str" cm="1">
        <f t="array" ref="S331">_xlfn.IFS(Table1[[#This Row],[Age]]&lt;30,"Under 30",Table1[[#This Row],[Age]]&lt;=40,"30-40",Table1[[#This Row],[Age]]&lt;50,"41-50",TRUE,"50+")</f>
        <v>Under 30</v>
      </c>
    </row>
    <row r="332" spans="1:19" x14ac:dyDescent="0.35">
      <c r="A332" t="s">
        <v>729</v>
      </c>
      <c r="B332" t="s">
        <v>625</v>
      </c>
      <c r="C332" t="s">
        <v>485</v>
      </c>
      <c r="D332" t="s">
        <v>17</v>
      </c>
      <c r="E332" t="s">
        <v>26</v>
      </c>
      <c r="F332" t="s">
        <v>27</v>
      </c>
      <c r="G332" t="s">
        <v>20</v>
      </c>
      <c r="H332" s="3">
        <v>31</v>
      </c>
      <c r="I332" s="8">
        <v>42497</v>
      </c>
      <c r="J332" s="4">
        <v>71192</v>
      </c>
      <c r="K332" s="1">
        <v>0</v>
      </c>
      <c r="L332" t="s">
        <v>21</v>
      </c>
      <c r="M332" t="s">
        <v>60</v>
      </c>
      <c r="O332" s="5">
        <f t="shared" si="5"/>
        <v>0</v>
      </c>
      <c r="P332" s="6">
        <f>Table1[[#This Row],[Annual Salary]]+Table1[[#This Row],[Bonus Amount]]</f>
        <v>71192</v>
      </c>
      <c r="Q332" t="str">
        <f>IF(Table1[[#This Row],[Exit Date]]="", "Active","Exited")</f>
        <v>Active</v>
      </c>
      <c r="R332" s="2">
        <f ca="1">IFERROR(DATEDIF(Table1[[#This Row],[Hire Date]],IF(Table1[[#This Row],[Exit Date]]="",TODAY(),Table1[[#This Row],[Exit Date]]),"Y"),"")</f>
        <v>9</v>
      </c>
      <c r="S332" t="str" cm="1">
        <f t="array" ref="S332">_xlfn.IFS(Table1[[#This Row],[Age]]&lt;30,"Under 30",Table1[[#This Row],[Age]]&lt;=40,"30-40",Table1[[#This Row],[Age]]&lt;50,"41-50",TRUE,"50+")</f>
        <v>30-40</v>
      </c>
    </row>
    <row r="333" spans="1:19" x14ac:dyDescent="0.35">
      <c r="A333" t="s">
        <v>730</v>
      </c>
      <c r="B333" t="s">
        <v>731</v>
      </c>
      <c r="C333" t="s">
        <v>33</v>
      </c>
      <c r="D333" t="s">
        <v>48</v>
      </c>
      <c r="E333" t="s">
        <v>26</v>
      </c>
      <c r="F333" t="s">
        <v>19</v>
      </c>
      <c r="G333" t="s">
        <v>85</v>
      </c>
      <c r="H333" s="3">
        <v>50</v>
      </c>
      <c r="I333" s="8">
        <v>43452</v>
      </c>
      <c r="J333" s="4">
        <v>155351</v>
      </c>
      <c r="K333" s="1">
        <v>0.2</v>
      </c>
      <c r="L333" t="s">
        <v>21</v>
      </c>
      <c r="M333" t="s">
        <v>22</v>
      </c>
      <c r="O333" s="5">
        <f t="shared" si="5"/>
        <v>31070.2</v>
      </c>
      <c r="P333" s="6">
        <f>Table1[[#This Row],[Annual Salary]]+Table1[[#This Row],[Bonus Amount]]</f>
        <v>186421.2</v>
      </c>
      <c r="Q333" t="str">
        <f>IF(Table1[[#This Row],[Exit Date]]="", "Active","Exited")</f>
        <v>Active</v>
      </c>
      <c r="R333" s="2">
        <f ca="1">IFERROR(DATEDIF(Table1[[#This Row],[Hire Date]],IF(Table1[[#This Row],[Exit Date]]="",TODAY(),Table1[[#This Row],[Exit Date]]),"Y"),"")</f>
        <v>7</v>
      </c>
      <c r="S333" t="str" cm="1">
        <f t="array" ref="S333">_xlfn.IFS(Table1[[#This Row],[Age]]&lt;30,"Under 30",Table1[[#This Row],[Age]]&lt;=40,"30-40",Table1[[#This Row],[Age]]&lt;50,"41-50",TRUE,"50+")</f>
        <v>50+</v>
      </c>
    </row>
    <row r="334" spans="1:19" x14ac:dyDescent="0.35">
      <c r="A334" t="s">
        <v>732</v>
      </c>
      <c r="B334" t="s">
        <v>733</v>
      </c>
      <c r="C334" t="s">
        <v>33</v>
      </c>
      <c r="D334" t="s">
        <v>65</v>
      </c>
      <c r="E334" t="s">
        <v>35</v>
      </c>
      <c r="F334" t="s">
        <v>27</v>
      </c>
      <c r="G334" t="s">
        <v>28</v>
      </c>
      <c r="H334" s="3">
        <v>39</v>
      </c>
      <c r="I334" s="8">
        <v>39049</v>
      </c>
      <c r="J334" s="4">
        <v>161690</v>
      </c>
      <c r="K334" s="1">
        <v>0.28999999999999998</v>
      </c>
      <c r="L334" t="s">
        <v>29</v>
      </c>
      <c r="M334" t="s">
        <v>114</v>
      </c>
      <c r="O334" s="5">
        <f t="shared" si="5"/>
        <v>46890.1</v>
      </c>
      <c r="P334" s="6">
        <f>Table1[[#This Row],[Annual Salary]]+Table1[[#This Row],[Bonus Amount]]</f>
        <v>208580.1</v>
      </c>
      <c r="Q334" t="str">
        <f>IF(Table1[[#This Row],[Exit Date]]="", "Active","Exited")</f>
        <v>Active</v>
      </c>
      <c r="R334" s="2">
        <f ca="1">IFERROR(DATEDIF(Table1[[#This Row],[Hire Date]],IF(Table1[[#This Row],[Exit Date]]="",TODAY(),Table1[[#This Row],[Exit Date]]),"Y"),"")</f>
        <v>19</v>
      </c>
      <c r="S334" t="str" cm="1">
        <f t="array" ref="S334">_xlfn.IFS(Table1[[#This Row],[Age]]&lt;30,"Under 30",Table1[[#This Row],[Age]]&lt;=40,"30-40",Table1[[#This Row],[Age]]&lt;50,"41-50",TRUE,"50+")</f>
        <v>30-40</v>
      </c>
    </row>
    <row r="335" spans="1:19" x14ac:dyDescent="0.35">
      <c r="A335" t="s">
        <v>734</v>
      </c>
      <c r="B335" t="s">
        <v>735</v>
      </c>
      <c r="C335" t="s">
        <v>277</v>
      </c>
      <c r="D335" t="s">
        <v>69</v>
      </c>
      <c r="E335" t="s">
        <v>35</v>
      </c>
      <c r="F335" t="s">
        <v>19</v>
      </c>
      <c r="G335" t="s">
        <v>28</v>
      </c>
      <c r="H335" s="3">
        <v>35</v>
      </c>
      <c r="I335" s="8">
        <v>42776</v>
      </c>
      <c r="J335" s="4">
        <v>60132</v>
      </c>
      <c r="K335" s="1">
        <v>0</v>
      </c>
      <c r="L335" t="s">
        <v>29</v>
      </c>
      <c r="M335" t="s">
        <v>30</v>
      </c>
      <c r="O335" s="5">
        <f t="shared" si="5"/>
        <v>0</v>
      </c>
      <c r="P335" s="6">
        <f>Table1[[#This Row],[Annual Salary]]+Table1[[#This Row],[Bonus Amount]]</f>
        <v>60132</v>
      </c>
      <c r="Q335" t="str">
        <f>IF(Table1[[#This Row],[Exit Date]]="", "Active","Exited")</f>
        <v>Active</v>
      </c>
      <c r="R335" s="2">
        <f ca="1">IFERROR(DATEDIF(Table1[[#This Row],[Hire Date]],IF(Table1[[#This Row],[Exit Date]]="",TODAY(),Table1[[#This Row],[Exit Date]]),"Y"),"")</f>
        <v>9</v>
      </c>
      <c r="S335" t="str" cm="1">
        <f t="array" ref="S335">_xlfn.IFS(Table1[[#This Row],[Age]]&lt;30,"Under 30",Table1[[#This Row],[Age]]&lt;=40,"30-40",Table1[[#This Row],[Age]]&lt;50,"41-50",TRUE,"50+")</f>
        <v>30-40</v>
      </c>
    </row>
    <row r="336" spans="1:19" x14ac:dyDescent="0.35">
      <c r="A336" t="s">
        <v>736</v>
      </c>
      <c r="B336" t="s">
        <v>737</v>
      </c>
      <c r="C336" t="s">
        <v>248</v>
      </c>
      <c r="D336" t="s">
        <v>17</v>
      </c>
      <c r="E336" t="s">
        <v>26</v>
      </c>
      <c r="F336" t="s">
        <v>27</v>
      </c>
      <c r="G336" t="s">
        <v>36</v>
      </c>
      <c r="H336" s="3">
        <v>54</v>
      </c>
      <c r="I336" s="8">
        <v>34631</v>
      </c>
      <c r="J336" s="4">
        <v>87216</v>
      </c>
      <c r="K336" s="1">
        <v>0</v>
      </c>
      <c r="L336" t="s">
        <v>21</v>
      </c>
      <c r="M336" t="s">
        <v>56</v>
      </c>
      <c r="O336" s="5">
        <f t="shared" si="5"/>
        <v>0</v>
      </c>
      <c r="P336" s="6">
        <f>Table1[[#This Row],[Annual Salary]]+Table1[[#This Row],[Bonus Amount]]</f>
        <v>87216</v>
      </c>
      <c r="Q336" t="str">
        <f>IF(Table1[[#This Row],[Exit Date]]="", "Active","Exited")</f>
        <v>Active</v>
      </c>
      <c r="R336" s="2">
        <f ca="1">IFERROR(DATEDIF(Table1[[#This Row],[Hire Date]],IF(Table1[[#This Row],[Exit Date]]="",TODAY(),Table1[[#This Row],[Exit Date]]),"Y"),"")</f>
        <v>31</v>
      </c>
      <c r="S336" t="str" cm="1">
        <f t="array" ref="S336">_xlfn.IFS(Table1[[#This Row],[Age]]&lt;30,"Under 30",Table1[[#This Row],[Age]]&lt;=40,"30-40",Table1[[#This Row],[Age]]&lt;50,"41-50",TRUE,"50+")</f>
        <v>50+</v>
      </c>
    </row>
    <row r="337" spans="1:19" x14ac:dyDescent="0.35">
      <c r="A337" t="s">
        <v>738</v>
      </c>
      <c r="B337" t="s">
        <v>739</v>
      </c>
      <c r="C337" t="s">
        <v>330</v>
      </c>
      <c r="D337" t="s">
        <v>17</v>
      </c>
      <c r="E337" t="s">
        <v>49</v>
      </c>
      <c r="F337" t="s">
        <v>27</v>
      </c>
      <c r="G337" t="s">
        <v>36</v>
      </c>
      <c r="H337" s="3">
        <v>47</v>
      </c>
      <c r="I337" s="8">
        <v>43944</v>
      </c>
      <c r="J337" s="4">
        <v>50069</v>
      </c>
      <c r="K337" s="1">
        <v>0</v>
      </c>
      <c r="L337" t="s">
        <v>21</v>
      </c>
      <c r="M337" t="s">
        <v>22</v>
      </c>
      <c r="O337" s="5">
        <f t="shared" si="5"/>
        <v>0</v>
      </c>
      <c r="P337" s="6">
        <f>Table1[[#This Row],[Annual Salary]]+Table1[[#This Row],[Bonus Amount]]</f>
        <v>50069</v>
      </c>
      <c r="Q337" t="str">
        <f>IF(Table1[[#This Row],[Exit Date]]="", "Active","Exited")</f>
        <v>Active</v>
      </c>
      <c r="R337" s="2">
        <f ca="1">IFERROR(DATEDIF(Table1[[#This Row],[Hire Date]],IF(Table1[[#This Row],[Exit Date]]="",TODAY(),Table1[[#This Row],[Exit Date]]),"Y"),"")</f>
        <v>5</v>
      </c>
      <c r="S337" t="str" cm="1">
        <f t="array" ref="S337">_xlfn.IFS(Table1[[#This Row],[Age]]&lt;30,"Under 30",Table1[[#This Row],[Age]]&lt;=40,"30-40",Table1[[#This Row],[Age]]&lt;50,"41-50",TRUE,"50+")</f>
        <v>41-50</v>
      </c>
    </row>
    <row r="338" spans="1:19" x14ac:dyDescent="0.35">
      <c r="A338" t="s">
        <v>740</v>
      </c>
      <c r="B338" t="s">
        <v>741</v>
      </c>
      <c r="C338" t="s">
        <v>33</v>
      </c>
      <c r="D338" t="s">
        <v>17</v>
      </c>
      <c r="E338" t="s">
        <v>35</v>
      </c>
      <c r="F338" t="s">
        <v>19</v>
      </c>
      <c r="G338" t="s">
        <v>36</v>
      </c>
      <c r="H338" s="3">
        <v>26</v>
      </c>
      <c r="I338" s="8">
        <v>44403</v>
      </c>
      <c r="J338" s="4">
        <v>151108</v>
      </c>
      <c r="K338" s="1">
        <v>0.22</v>
      </c>
      <c r="L338" t="s">
        <v>21</v>
      </c>
      <c r="M338" t="s">
        <v>44</v>
      </c>
      <c r="O338" s="5">
        <f t="shared" si="5"/>
        <v>33243.760000000002</v>
      </c>
      <c r="P338" s="6">
        <f>Table1[[#This Row],[Annual Salary]]+Table1[[#This Row],[Bonus Amount]]</f>
        <v>184351.76</v>
      </c>
      <c r="Q338" t="str">
        <f>IF(Table1[[#This Row],[Exit Date]]="", "Active","Exited")</f>
        <v>Active</v>
      </c>
      <c r="R338" s="2">
        <f ca="1">IFERROR(DATEDIF(Table1[[#This Row],[Hire Date]],IF(Table1[[#This Row],[Exit Date]]="",TODAY(),Table1[[#This Row],[Exit Date]]),"Y"),"")</f>
        <v>4</v>
      </c>
      <c r="S338" t="str" cm="1">
        <f t="array" ref="S338">_xlfn.IFS(Table1[[#This Row],[Age]]&lt;30,"Under 30",Table1[[#This Row],[Age]]&lt;=40,"30-40",Table1[[#This Row],[Age]]&lt;50,"41-50",TRUE,"50+")</f>
        <v>Under 30</v>
      </c>
    </row>
    <row r="339" spans="1:19" x14ac:dyDescent="0.35">
      <c r="A339" t="s">
        <v>742</v>
      </c>
      <c r="B339" t="s">
        <v>743</v>
      </c>
      <c r="C339" t="s">
        <v>40</v>
      </c>
      <c r="D339" t="s">
        <v>17</v>
      </c>
      <c r="E339" t="s">
        <v>26</v>
      </c>
      <c r="F339" t="s">
        <v>19</v>
      </c>
      <c r="G339" t="s">
        <v>28</v>
      </c>
      <c r="H339" s="3">
        <v>42</v>
      </c>
      <c r="I339" s="8">
        <v>38640</v>
      </c>
      <c r="J339" s="4">
        <v>67398</v>
      </c>
      <c r="K339" s="1">
        <v>7.0000000000000007E-2</v>
      </c>
      <c r="L339" t="s">
        <v>21</v>
      </c>
      <c r="M339" t="s">
        <v>44</v>
      </c>
      <c r="O339" s="5">
        <f t="shared" si="5"/>
        <v>4717.8600000000006</v>
      </c>
      <c r="P339" s="6">
        <f>Table1[[#This Row],[Annual Salary]]+Table1[[#This Row],[Bonus Amount]]</f>
        <v>72115.86</v>
      </c>
      <c r="Q339" t="str">
        <f>IF(Table1[[#This Row],[Exit Date]]="", "Active","Exited")</f>
        <v>Active</v>
      </c>
      <c r="R339" s="2">
        <f ca="1">IFERROR(DATEDIF(Table1[[#This Row],[Hire Date]],IF(Table1[[#This Row],[Exit Date]]="",TODAY(),Table1[[#This Row],[Exit Date]]),"Y"),"")</f>
        <v>20</v>
      </c>
      <c r="S339" t="str" cm="1">
        <f t="array" ref="S339">_xlfn.IFS(Table1[[#This Row],[Age]]&lt;30,"Under 30",Table1[[#This Row],[Age]]&lt;=40,"30-40",Table1[[#This Row],[Age]]&lt;50,"41-50",TRUE,"50+")</f>
        <v>41-50</v>
      </c>
    </row>
    <row r="340" spans="1:19" x14ac:dyDescent="0.35">
      <c r="A340" t="s">
        <v>744</v>
      </c>
      <c r="B340" t="s">
        <v>745</v>
      </c>
      <c r="C340" t="s">
        <v>277</v>
      </c>
      <c r="D340" t="s">
        <v>69</v>
      </c>
      <c r="E340" t="s">
        <v>18</v>
      </c>
      <c r="F340" t="s">
        <v>19</v>
      </c>
      <c r="G340" t="s">
        <v>85</v>
      </c>
      <c r="H340" s="3">
        <v>47</v>
      </c>
      <c r="I340" s="8">
        <v>42245</v>
      </c>
      <c r="J340" s="4">
        <v>68488</v>
      </c>
      <c r="K340" s="1">
        <v>0</v>
      </c>
      <c r="L340" t="s">
        <v>21</v>
      </c>
      <c r="M340" t="s">
        <v>22</v>
      </c>
      <c r="O340" s="5">
        <f t="shared" si="5"/>
        <v>0</v>
      </c>
      <c r="P340" s="6">
        <f>Table1[[#This Row],[Annual Salary]]+Table1[[#This Row],[Bonus Amount]]</f>
        <v>68488</v>
      </c>
      <c r="Q340" t="str">
        <f>IF(Table1[[#This Row],[Exit Date]]="", "Active","Exited")</f>
        <v>Active</v>
      </c>
      <c r="R340" s="2">
        <f ca="1">IFERROR(DATEDIF(Table1[[#This Row],[Hire Date]],IF(Table1[[#This Row],[Exit Date]]="",TODAY(),Table1[[#This Row],[Exit Date]]),"Y"),"")</f>
        <v>10</v>
      </c>
      <c r="S340" t="str" cm="1">
        <f t="array" ref="S340">_xlfn.IFS(Table1[[#This Row],[Age]]&lt;30,"Under 30",Table1[[#This Row],[Age]]&lt;=40,"30-40",Table1[[#This Row],[Age]]&lt;50,"41-50",TRUE,"50+")</f>
        <v>41-50</v>
      </c>
    </row>
    <row r="341" spans="1:19" x14ac:dyDescent="0.35">
      <c r="A341" t="s">
        <v>746</v>
      </c>
      <c r="B341" t="s">
        <v>747</v>
      </c>
      <c r="C341" t="s">
        <v>108</v>
      </c>
      <c r="D341" t="s">
        <v>69</v>
      </c>
      <c r="E341" t="s">
        <v>26</v>
      </c>
      <c r="F341" t="s">
        <v>19</v>
      </c>
      <c r="G341" t="s">
        <v>85</v>
      </c>
      <c r="H341" s="3">
        <v>60</v>
      </c>
      <c r="I341" s="8">
        <v>35992</v>
      </c>
      <c r="J341" s="4">
        <v>92932</v>
      </c>
      <c r="K341" s="1">
        <v>0</v>
      </c>
      <c r="L341" t="s">
        <v>21</v>
      </c>
      <c r="M341" t="s">
        <v>88</v>
      </c>
      <c r="O341" s="5">
        <f t="shared" si="5"/>
        <v>0</v>
      </c>
      <c r="P341" s="6">
        <f>Table1[[#This Row],[Annual Salary]]+Table1[[#This Row],[Bonus Amount]]</f>
        <v>92932</v>
      </c>
      <c r="Q341" t="str">
        <f>IF(Table1[[#This Row],[Exit Date]]="", "Active","Exited")</f>
        <v>Active</v>
      </c>
      <c r="R341" s="2">
        <f ca="1">IFERROR(DATEDIF(Table1[[#This Row],[Hire Date]],IF(Table1[[#This Row],[Exit Date]]="",TODAY(),Table1[[#This Row],[Exit Date]]),"Y"),"")</f>
        <v>27</v>
      </c>
      <c r="S341" t="str" cm="1">
        <f t="array" ref="S341">_xlfn.IFS(Table1[[#This Row],[Age]]&lt;30,"Under 30",Table1[[#This Row],[Age]]&lt;=40,"30-40",Table1[[#This Row],[Age]]&lt;50,"41-50",TRUE,"50+")</f>
        <v>50+</v>
      </c>
    </row>
    <row r="342" spans="1:19" x14ac:dyDescent="0.35">
      <c r="A342" t="s">
        <v>748</v>
      </c>
      <c r="B342" t="s">
        <v>749</v>
      </c>
      <c r="C342" t="s">
        <v>55</v>
      </c>
      <c r="D342" t="s">
        <v>34</v>
      </c>
      <c r="E342" t="s">
        <v>49</v>
      </c>
      <c r="F342" t="s">
        <v>19</v>
      </c>
      <c r="G342" t="s">
        <v>85</v>
      </c>
      <c r="H342" s="3">
        <v>36</v>
      </c>
      <c r="I342" s="8">
        <v>39994</v>
      </c>
      <c r="J342" s="4">
        <v>43363</v>
      </c>
      <c r="K342" s="1">
        <v>0</v>
      </c>
      <c r="L342" t="s">
        <v>21</v>
      </c>
      <c r="M342" t="s">
        <v>60</v>
      </c>
      <c r="O342" s="5">
        <f t="shared" si="5"/>
        <v>0</v>
      </c>
      <c r="P342" s="6">
        <f>Table1[[#This Row],[Annual Salary]]+Table1[[#This Row],[Bonus Amount]]</f>
        <v>43363</v>
      </c>
      <c r="Q342" t="str">
        <f>IF(Table1[[#This Row],[Exit Date]]="", "Active","Exited")</f>
        <v>Active</v>
      </c>
      <c r="R342" s="2">
        <f ca="1">IFERROR(DATEDIF(Table1[[#This Row],[Hire Date]],IF(Table1[[#This Row],[Exit Date]]="",TODAY(),Table1[[#This Row],[Exit Date]]),"Y"),"")</f>
        <v>16</v>
      </c>
      <c r="S342" t="str" cm="1">
        <f t="array" ref="S342">_xlfn.IFS(Table1[[#This Row],[Age]]&lt;30,"Under 30",Table1[[#This Row],[Age]]&lt;=40,"30-40",Table1[[#This Row],[Age]]&lt;50,"41-50",TRUE,"50+")</f>
        <v>30-40</v>
      </c>
    </row>
    <row r="343" spans="1:19" x14ac:dyDescent="0.35">
      <c r="A343" t="s">
        <v>750</v>
      </c>
      <c r="B343" t="s">
        <v>751</v>
      </c>
      <c r="C343" t="s">
        <v>462</v>
      </c>
      <c r="D343" t="s">
        <v>17</v>
      </c>
      <c r="E343" t="s">
        <v>35</v>
      </c>
      <c r="F343" t="s">
        <v>27</v>
      </c>
      <c r="G343" t="s">
        <v>28</v>
      </c>
      <c r="H343" s="3">
        <v>31</v>
      </c>
      <c r="I343" s="8">
        <v>42780</v>
      </c>
      <c r="J343" s="4">
        <v>95963</v>
      </c>
      <c r="K343" s="1">
        <v>0</v>
      </c>
      <c r="L343" t="s">
        <v>29</v>
      </c>
      <c r="M343" t="s">
        <v>134</v>
      </c>
      <c r="O343" s="5">
        <f t="shared" si="5"/>
        <v>0</v>
      </c>
      <c r="P343" s="6">
        <f>Table1[[#This Row],[Annual Salary]]+Table1[[#This Row],[Bonus Amount]]</f>
        <v>95963</v>
      </c>
      <c r="Q343" t="str">
        <f>IF(Table1[[#This Row],[Exit Date]]="", "Active","Exited")</f>
        <v>Active</v>
      </c>
      <c r="R343" s="2">
        <f ca="1">IFERROR(DATEDIF(Table1[[#This Row],[Hire Date]],IF(Table1[[#This Row],[Exit Date]]="",TODAY(),Table1[[#This Row],[Exit Date]]),"Y"),"")</f>
        <v>9</v>
      </c>
      <c r="S343" t="str" cm="1">
        <f t="array" ref="S343">_xlfn.IFS(Table1[[#This Row],[Age]]&lt;30,"Under 30",Table1[[#This Row],[Age]]&lt;=40,"30-40",Table1[[#This Row],[Age]]&lt;50,"41-50",TRUE,"50+")</f>
        <v>30-40</v>
      </c>
    </row>
    <row r="344" spans="1:19" x14ac:dyDescent="0.35">
      <c r="A344" t="s">
        <v>752</v>
      </c>
      <c r="B344" t="s">
        <v>753</v>
      </c>
      <c r="C344" t="s">
        <v>52</v>
      </c>
      <c r="D344" t="s">
        <v>34</v>
      </c>
      <c r="E344" t="s">
        <v>35</v>
      </c>
      <c r="F344" t="s">
        <v>19</v>
      </c>
      <c r="G344" t="s">
        <v>85</v>
      </c>
      <c r="H344" s="3">
        <v>55</v>
      </c>
      <c r="I344" s="8">
        <v>40297</v>
      </c>
      <c r="J344" s="4">
        <v>111038</v>
      </c>
      <c r="K344" s="1">
        <v>0.05</v>
      </c>
      <c r="L344" t="s">
        <v>93</v>
      </c>
      <c r="M344" t="s">
        <v>218</v>
      </c>
      <c r="O344" s="5">
        <f t="shared" si="5"/>
        <v>5551.9000000000005</v>
      </c>
      <c r="P344" s="6">
        <f>Table1[[#This Row],[Annual Salary]]+Table1[[#This Row],[Bonus Amount]]</f>
        <v>116589.9</v>
      </c>
      <c r="Q344" t="str">
        <f>IF(Table1[[#This Row],[Exit Date]]="", "Active","Exited")</f>
        <v>Active</v>
      </c>
      <c r="R344" s="2">
        <f ca="1">IFERROR(DATEDIF(Table1[[#This Row],[Hire Date]],IF(Table1[[#This Row],[Exit Date]]="",TODAY(),Table1[[#This Row],[Exit Date]]),"Y"),"")</f>
        <v>15</v>
      </c>
      <c r="S344" t="str" cm="1">
        <f t="array" ref="S344">_xlfn.IFS(Table1[[#This Row],[Age]]&lt;30,"Under 30",Table1[[#This Row],[Age]]&lt;=40,"30-40",Table1[[#This Row],[Age]]&lt;50,"41-50",TRUE,"50+")</f>
        <v>50+</v>
      </c>
    </row>
    <row r="345" spans="1:19" x14ac:dyDescent="0.35">
      <c r="A345" t="s">
        <v>754</v>
      </c>
      <c r="B345" t="s">
        <v>755</v>
      </c>
      <c r="C345" t="s">
        <v>79</v>
      </c>
      <c r="D345" t="s">
        <v>69</v>
      </c>
      <c r="E345" t="s">
        <v>18</v>
      </c>
      <c r="F345" t="s">
        <v>19</v>
      </c>
      <c r="G345" t="s">
        <v>36</v>
      </c>
      <c r="H345" s="3">
        <v>51</v>
      </c>
      <c r="I345" s="8">
        <v>35230</v>
      </c>
      <c r="J345" s="4">
        <v>200246</v>
      </c>
      <c r="K345" s="1">
        <v>0.34</v>
      </c>
      <c r="L345" t="s">
        <v>21</v>
      </c>
      <c r="M345" t="s">
        <v>88</v>
      </c>
      <c r="O345" s="5">
        <f t="shared" si="5"/>
        <v>68083.64</v>
      </c>
      <c r="P345" s="6">
        <f>Table1[[#This Row],[Annual Salary]]+Table1[[#This Row],[Bonus Amount]]</f>
        <v>268329.64</v>
      </c>
      <c r="Q345" t="str">
        <f>IF(Table1[[#This Row],[Exit Date]]="", "Active","Exited")</f>
        <v>Active</v>
      </c>
      <c r="R345" s="2">
        <f ca="1">IFERROR(DATEDIF(Table1[[#This Row],[Hire Date]],IF(Table1[[#This Row],[Exit Date]]="",TODAY(),Table1[[#This Row],[Exit Date]]),"Y"),"")</f>
        <v>29</v>
      </c>
      <c r="S345" t="str" cm="1">
        <f t="array" ref="S345">_xlfn.IFS(Table1[[#This Row],[Age]]&lt;30,"Under 30",Table1[[#This Row],[Age]]&lt;=40,"30-40",Table1[[#This Row],[Age]]&lt;50,"41-50",TRUE,"50+")</f>
        <v>50+</v>
      </c>
    </row>
    <row r="346" spans="1:19" x14ac:dyDescent="0.35">
      <c r="A346" t="s">
        <v>544</v>
      </c>
      <c r="B346" t="s">
        <v>756</v>
      </c>
      <c r="C346" t="s">
        <v>79</v>
      </c>
      <c r="D346" t="s">
        <v>17</v>
      </c>
      <c r="E346" t="s">
        <v>49</v>
      </c>
      <c r="F346" t="s">
        <v>19</v>
      </c>
      <c r="G346" t="s">
        <v>36</v>
      </c>
      <c r="H346" s="3">
        <v>48</v>
      </c>
      <c r="I346" s="8">
        <v>42053</v>
      </c>
      <c r="J346" s="4">
        <v>194871</v>
      </c>
      <c r="K346" s="1">
        <v>0.35</v>
      </c>
      <c r="L346" t="s">
        <v>21</v>
      </c>
      <c r="M346" t="s">
        <v>88</v>
      </c>
      <c r="O346" s="5">
        <f t="shared" si="5"/>
        <v>68204.849999999991</v>
      </c>
      <c r="P346" s="6">
        <f>Table1[[#This Row],[Annual Salary]]+Table1[[#This Row],[Bonus Amount]]</f>
        <v>263075.84999999998</v>
      </c>
      <c r="Q346" t="str">
        <f>IF(Table1[[#This Row],[Exit Date]]="", "Active","Exited")</f>
        <v>Active</v>
      </c>
      <c r="R346" s="2">
        <f ca="1">IFERROR(DATEDIF(Table1[[#This Row],[Hire Date]],IF(Table1[[#This Row],[Exit Date]]="",TODAY(),Table1[[#This Row],[Exit Date]]),"Y"),"")</f>
        <v>11</v>
      </c>
      <c r="S346" t="str" cm="1">
        <f t="array" ref="S346">_xlfn.IFS(Table1[[#This Row],[Age]]&lt;30,"Under 30",Table1[[#This Row],[Age]]&lt;=40,"30-40",Table1[[#This Row],[Age]]&lt;50,"41-50",TRUE,"50+")</f>
        <v>41-50</v>
      </c>
    </row>
    <row r="347" spans="1:19" x14ac:dyDescent="0.35">
      <c r="A347" t="s">
        <v>757</v>
      </c>
      <c r="B347" t="s">
        <v>758</v>
      </c>
      <c r="C347" t="s">
        <v>43</v>
      </c>
      <c r="D347" t="s">
        <v>59</v>
      </c>
      <c r="E347" t="s">
        <v>18</v>
      </c>
      <c r="F347" t="s">
        <v>27</v>
      </c>
      <c r="G347" t="s">
        <v>85</v>
      </c>
      <c r="H347" s="3">
        <v>58</v>
      </c>
      <c r="I347" s="8">
        <v>34592</v>
      </c>
      <c r="J347" s="4">
        <v>98769</v>
      </c>
      <c r="K347" s="1">
        <v>0</v>
      </c>
      <c r="L347" t="s">
        <v>93</v>
      </c>
      <c r="M347" t="s">
        <v>99</v>
      </c>
      <c r="N347" s="7">
        <v>42646</v>
      </c>
      <c r="O347" s="5">
        <f t="shared" si="5"/>
        <v>0</v>
      </c>
      <c r="P347" s="6">
        <f>Table1[[#This Row],[Annual Salary]]+Table1[[#This Row],[Bonus Amount]]</f>
        <v>98769</v>
      </c>
      <c r="Q347" t="str">
        <f>IF(Table1[[#This Row],[Exit Date]]="", "Active","Exited")</f>
        <v>Exited</v>
      </c>
      <c r="R347" s="2">
        <f ca="1">IFERROR(DATEDIF(Table1[[#This Row],[Hire Date]],IF(Table1[[#This Row],[Exit Date]]="",TODAY(),Table1[[#This Row],[Exit Date]]),"Y"),"")</f>
        <v>22</v>
      </c>
      <c r="S347" t="str" cm="1">
        <f t="array" ref="S347">_xlfn.IFS(Table1[[#This Row],[Age]]&lt;30,"Under 30",Table1[[#This Row],[Age]]&lt;=40,"30-40",Table1[[#This Row],[Age]]&lt;50,"41-50",TRUE,"50+")</f>
        <v>50+</v>
      </c>
    </row>
    <row r="348" spans="1:19" x14ac:dyDescent="0.35">
      <c r="A348" t="s">
        <v>759</v>
      </c>
      <c r="B348" t="s">
        <v>760</v>
      </c>
      <c r="C348" t="s">
        <v>47</v>
      </c>
      <c r="D348" t="s">
        <v>48</v>
      </c>
      <c r="E348" t="s">
        <v>18</v>
      </c>
      <c r="F348" t="s">
        <v>19</v>
      </c>
      <c r="G348" t="s">
        <v>85</v>
      </c>
      <c r="H348" s="3">
        <v>29</v>
      </c>
      <c r="I348" s="8">
        <v>43239</v>
      </c>
      <c r="J348" s="4">
        <v>65334</v>
      </c>
      <c r="K348" s="1">
        <v>0</v>
      </c>
      <c r="L348" t="s">
        <v>93</v>
      </c>
      <c r="M348" t="s">
        <v>99</v>
      </c>
      <c r="O348" s="5">
        <f t="shared" si="5"/>
        <v>0</v>
      </c>
      <c r="P348" s="6">
        <f>Table1[[#This Row],[Annual Salary]]+Table1[[#This Row],[Bonus Amount]]</f>
        <v>65334</v>
      </c>
      <c r="Q348" t="str">
        <f>IF(Table1[[#This Row],[Exit Date]]="", "Active","Exited")</f>
        <v>Active</v>
      </c>
      <c r="R348" s="2">
        <f ca="1">IFERROR(DATEDIF(Table1[[#This Row],[Hire Date]],IF(Table1[[#This Row],[Exit Date]]="",TODAY(),Table1[[#This Row],[Exit Date]]),"Y"),"")</f>
        <v>7</v>
      </c>
      <c r="S348" t="str" cm="1">
        <f t="array" ref="S348">_xlfn.IFS(Table1[[#This Row],[Age]]&lt;30,"Under 30",Table1[[#This Row],[Age]]&lt;=40,"30-40",Table1[[#This Row],[Age]]&lt;50,"41-50",TRUE,"50+")</f>
        <v>Under 30</v>
      </c>
    </row>
    <row r="349" spans="1:19" x14ac:dyDescent="0.35">
      <c r="A349" t="s">
        <v>761</v>
      </c>
      <c r="B349" t="s">
        <v>762</v>
      </c>
      <c r="C349" t="s">
        <v>25</v>
      </c>
      <c r="D349" t="s">
        <v>17</v>
      </c>
      <c r="E349" t="s">
        <v>26</v>
      </c>
      <c r="F349" t="s">
        <v>19</v>
      </c>
      <c r="G349" t="s">
        <v>85</v>
      </c>
      <c r="H349" s="3">
        <v>25</v>
      </c>
      <c r="I349" s="8">
        <v>44327</v>
      </c>
      <c r="J349" s="4">
        <v>83934</v>
      </c>
      <c r="K349" s="1">
        <v>0</v>
      </c>
      <c r="L349" t="s">
        <v>21</v>
      </c>
      <c r="M349" t="s">
        <v>56</v>
      </c>
      <c r="O349" s="5">
        <f t="shared" si="5"/>
        <v>0</v>
      </c>
      <c r="P349" s="6">
        <f>Table1[[#This Row],[Annual Salary]]+Table1[[#This Row],[Bonus Amount]]</f>
        <v>83934</v>
      </c>
      <c r="Q349" t="str">
        <f>IF(Table1[[#This Row],[Exit Date]]="", "Active","Exited")</f>
        <v>Active</v>
      </c>
      <c r="R349" s="2">
        <f ca="1">IFERROR(DATEDIF(Table1[[#This Row],[Hire Date]],IF(Table1[[#This Row],[Exit Date]]="",TODAY(),Table1[[#This Row],[Exit Date]]),"Y"),"")</f>
        <v>4</v>
      </c>
      <c r="S349" t="str" cm="1">
        <f t="array" ref="S349">_xlfn.IFS(Table1[[#This Row],[Age]]&lt;30,"Under 30",Table1[[#This Row],[Age]]&lt;=40,"30-40",Table1[[#This Row],[Age]]&lt;50,"41-50",TRUE,"50+")</f>
        <v>Under 30</v>
      </c>
    </row>
    <row r="350" spans="1:19" x14ac:dyDescent="0.35">
      <c r="A350" t="s">
        <v>763</v>
      </c>
      <c r="B350" t="s">
        <v>764</v>
      </c>
      <c r="C350" t="s">
        <v>33</v>
      </c>
      <c r="D350" t="s">
        <v>59</v>
      </c>
      <c r="E350" t="s">
        <v>18</v>
      </c>
      <c r="F350" t="s">
        <v>27</v>
      </c>
      <c r="G350" t="s">
        <v>36</v>
      </c>
      <c r="H350" s="3">
        <v>36</v>
      </c>
      <c r="I350" s="8">
        <v>42616</v>
      </c>
      <c r="J350" s="4">
        <v>150399</v>
      </c>
      <c r="K350" s="1">
        <v>0.28000000000000003</v>
      </c>
      <c r="L350" t="s">
        <v>21</v>
      </c>
      <c r="M350" t="s">
        <v>37</v>
      </c>
      <c r="O350" s="5">
        <f t="shared" si="5"/>
        <v>42111.72</v>
      </c>
      <c r="P350" s="6">
        <f>Table1[[#This Row],[Annual Salary]]+Table1[[#This Row],[Bonus Amount]]</f>
        <v>192510.72</v>
      </c>
      <c r="Q350" t="str">
        <f>IF(Table1[[#This Row],[Exit Date]]="", "Active","Exited")</f>
        <v>Active</v>
      </c>
      <c r="R350" s="2">
        <f ca="1">IFERROR(DATEDIF(Table1[[#This Row],[Hire Date]],IF(Table1[[#This Row],[Exit Date]]="",TODAY(),Table1[[#This Row],[Exit Date]]),"Y"),"")</f>
        <v>9</v>
      </c>
      <c r="S350" t="str" cm="1">
        <f t="array" ref="S350">_xlfn.IFS(Table1[[#This Row],[Age]]&lt;30,"Under 30",Table1[[#This Row],[Age]]&lt;=40,"30-40",Table1[[#This Row],[Age]]&lt;50,"41-50",TRUE,"50+")</f>
        <v>30-40</v>
      </c>
    </row>
    <row r="351" spans="1:19" x14ac:dyDescent="0.35">
      <c r="A351" t="s">
        <v>765</v>
      </c>
      <c r="B351" t="s">
        <v>766</v>
      </c>
      <c r="C351" t="s">
        <v>33</v>
      </c>
      <c r="D351" t="s">
        <v>65</v>
      </c>
      <c r="E351" t="s">
        <v>18</v>
      </c>
      <c r="F351" t="s">
        <v>27</v>
      </c>
      <c r="G351" t="s">
        <v>28</v>
      </c>
      <c r="H351" s="3">
        <v>37</v>
      </c>
      <c r="I351" s="8">
        <v>41048</v>
      </c>
      <c r="J351" s="4">
        <v>160280</v>
      </c>
      <c r="K351" s="1">
        <v>0.19</v>
      </c>
      <c r="L351" t="s">
        <v>29</v>
      </c>
      <c r="M351" t="s">
        <v>114</v>
      </c>
      <c r="O351" s="5">
        <f t="shared" si="5"/>
        <v>30453.200000000001</v>
      </c>
      <c r="P351" s="6">
        <f>Table1[[#This Row],[Annual Salary]]+Table1[[#This Row],[Bonus Amount]]</f>
        <v>190733.2</v>
      </c>
      <c r="Q351" t="str">
        <f>IF(Table1[[#This Row],[Exit Date]]="", "Active","Exited")</f>
        <v>Active</v>
      </c>
      <c r="R351" s="2">
        <f ca="1">IFERROR(DATEDIF(Table1[[#This Row],[Hire Date]],IF(Table1[[#This Row],[Exit Date]]="",TODAY(),Table1[[#This Row],[Exit Date]]),"Y"),"")</f>
        <v>13</v>
      </c>
      <c r="S351" t="str" cm="1">
        <f t="array" ref="S351">_xlfn.IFS(Table1[[#This Row],[Age]]&lt;30,"Under 30",Table1[[#This Row],[Age]]&lt;=40,"30-40",Table1[[#This Row],[Age]]&lt;50,"41-50",TRUE,"50+")</f>
        <v>30-40</v>
      </c>
    </row>
    <row r="352" spans="1:19" x14ac:dyDescent="0.35">
      <c r="A352" t="s">
        <v>767</v>
      </c>
      <c r="B352" t="s">
        <v>768</v>
      </c>
      <c r="C352" t="s">
        <v>184</v>
      </c>
      <c r="D352" t="s">
        <v>65</v>
      </c>
      <c r="E352" t="s">
        <v>35</v>
      </c>
      <c r="F352" t="s">
        <v>27</v>
      </c>
      <c r="G352" t="s">
        <v>28</v>
      </c>
      <c r="H352" s="3">
        <v>57</v>
      </c>
      <c r="I352" s="8">
        <v>35548</v>
      </c>
      <c r="J352" s="4">
        <v>54051</v>
      </c>
      <c r="K352" s="1">
        <v>0</v>
      </c>
      <c r="L352" t="s">
        <v>21</v>
      </c>
      <c r="M352" t="s">
        <v>56</v>
      </c>
      <c r="N352" s="7">
        <v>36079</v>
      </c>
      <c r="O352" s="5">
        <f t="shared" si="5"/>
        <v>0</v>
      </c>
      <c r="P352" s="6">
        <f>Table1[[#This Row],[Annual Salary]]+Table1[[#This Row],[Bonus Amount]]</f>
        <v>54051</v>
      </c>
      <c r="Q352" t="str">
        <f>IF(Table1[[#This Row],[Exit Date]]="", "Active","Exited")</f>
        <v>Exited</v>
      </c>
      <c r="R352" s="2">
        <f ca="1">IFERROR(DATEDIF(Table1[[#This Row],[Hire Date]],IF(Table1[[#This Row],[Exit Date]]="",TODAY(),Table1[[#This Row],[Exit Date]]),"Y"),"")</f>
        <v>1</v>
      </c>
      <c r="S352" t="str" cm="1">
        <f t="array" ref="S352">_xlfn.IFS(Table1[[#This Row],[Age]]&lt;30,"Under 30",Table1[[#This Row],[Age]]&lt;=40,"30-40",Table1[[#This Row],[Age]]&lt;50,"41-50",TRUE,"50+")</f>
        <v>50+</v>
      </c>
    </row>
    <row r="353" spans="1:19" x14ac:dyDescent="0.35">
      <c r="A353" t="s">
        <v>769</v>
      </c>
      <c r="B353" t="s">
        <v>770</v>
      </c>
      <c r="C353" t="s">
        <v>33</v>
      </c>
      <c r="D353" t="s">
        <v>69</v>
      </c>
      <c r="E353" t="s">
        <v>18</v>
      </c>
      <c r="F353" t="s">
        <v>19</v>
      </c>
      <c r="G353" t="s">
        <v>85</v>
      </c>
      <c r="H353" s="3">
        <v>59</v>
      </c>
      <c r="I353" s="8">
        <v>37726</v>
      </c>
      <c r="J353" s="4">
        <v>150699</v>
      </c>
      <c r="K353" s="1">
        <v>0.28999999999999998</v>
      </c>
      <c r="L353" t="s">
        <v>93</v>
      </c>
      <c r="M353" t="s">
        <v>218</v>
      </c>
      <c r="O353" s="5">
        <f t="shared" si="5"/>
        <v>43702.71</v>
      </c>
      <c r="P353" s="6">
        <f>Table1[[#This Row],[Annual Salary]]+Table1[[#This Row],[Bonus Amount]]</f>
        <v>194401.71</v>
      </c>
      <c r="Q353" t="str">
        <f>IF(Table1[[#This Row],[Exit Date]]="", "Active","Exited")</f>
        <v>Active</v>
      </c>
      <c r="R353" s="2">
        <f ca="1">IFERROR(DATEDIF(Table1[[#This Row],[Hire Date]],IF(Table1[[#This Row],[Exit Date]]="",TODAY(),Table1[[#This Row],[Exit Date]]),"Y"),"")</f>
        <v>22</v>
      </c>
      <c r="S353" t="str" cm="1">
        <f t="array" ref="S353">_xlfn.IFS(Table1[[#This Row],[Age]]&lt;30,"Under 30",Table1[[#This Row],[Age]]&lt;=40,"30-40",Table1[[#This Row],[Age]]&lt;50,"41-50",TRUE,"50+")</f>
        <v>50+</v>
      </c>
    </row>
    <row r="354" spans="1:19" x14ac:dyDescent="0.35">
      <c r="A354" t="s">
        <v>771</v>
      </c>
      <c r="B354" t="s">
        <v>772</v>
      </c>
      <c r="C354" t="s">
        <v>124</v>
      </c>
      <c r="D354" t="s">
        <v>80</v>
      </c>
      <c r="E354" t="s">
        <v>35</v>
      </c>
      <c r="F354" t="s">
        <v>27</v>
      </c>
      <c r="G354" t="s">
        <v>85</v>
      </c>
      <c r="H354" s="3">
        <v>37</v>
      </c>
      <c r="I354" s="8">
        <v>41363</v>
      </c>
      <c r="J354" s="4">
        <v>69570</v>
      </c>
      <c r="K354" s="1">
        <v>0</v>
      </c>
      <c r="L354" t="s">
        <v>21</v>
      </c>
      <c r="M354" t="s">
        <v>56</v>
      </c>
      <c r="O354" s="5">
        <f t="shared" si="5"/>
        <v>0</v>
      </c>
      <c r="P354" s="6">
        <f>Table1[[#This Row],[Annual Salary]]+Table1[[#This Row],[Bonus Amount]]</f>
        <v>69570</v>
      </c>
      <c r="Q354" t="str">
        <f>IF(Table1[[#This Row],[Exit Date]]="", "Active","Exited")</f>
        <v>Active</v>
      </c>
      <c r="R354" s="2">
        <f ca="1">IFERROR(DATEDIF(Table1[[#This Row],[Hire Date]],IF(Table1[[#This Row],[Exit Date]]="",TODAY(),Table1[[#This Row],[Exit Date]]),"Y"),"")</f>
        <v>12</v>
      </c>
      <c r="S354" t="str" cm="1">
        <f t="array" ref="S354">_xlfn.IFS(Table1[[#This Row],[Age]]&lt;30,"Under 30",Table1[[#This Row],[Age]]&lt;=40,"30-40",Table1[[#This Row],[Age]]&lt;50,"41-50",TRUE,"50+")</f>
        <v>30-40</v>
      </c>
    </row>
    <row r="355" spans="1:19" x14ac:dyDescent="0.35">
      <c r="A355" t="s">
        <v>773</v>
      </c>
      <c r="B355" t="s">
        <v>774</v>
      </c>
      <c r="C355" t="s">
        <v>462</v>
      </c>
      <c r="D355" t="s">
        <v>17</v>
      </c>
      <c r="E355" t="s">
        <v>26</v>
      </c>
      <c r="F355" t="s">
        <v>19</v>
      </c>
      <c r="G355" t="s">
        <v>28</v>
      </c>
      <c r="H355" s="3">
        <v>30</v>
      </c>
      <c r="I355" s="8">
        <v>43553</v>
      </c>
      <c r="J355" s="4">
        <v>86774</v>
      </c>
      <c r="K355" s="1">
        <v>0</v>
      </c>
      <c r="L355" t="s">
        <v>29</v>
      </c>
      <c r="M355" t="s">
        <v>134</v>
      </c>
      <c r="O355" s="5">
        <f t="shared" si="5"/>
        <v>0</v>
      </c>
      <c r="P355" s="6">
        <f>Table1[[#This Row],[Annual Salary]]+Table1[[#This Row],[Bonus Amount]]</f>
        <v>86774</v>
      </c>
      <c r="Q355" t="str">
        <f>IF(Table1[[#This Row],[Exit Date]]="", "Active","Exited")</f>
        <v>Active</v>
      </c>
      <c r="R355" s="2">
        <f ca="1">IFERROR(DATEDIF(Table1[[#This Row],[Hire Date]],IF(Table1[[#This Row],[Exit Date]]="",TODAY(),Table1[[#This Row],[Exit Date]]),"Y"),"")</f>
        <v>6</v>
      </c>
      <c r="S355" t="str" cm="1">
        <f t="array" ref="S355">_xlfn.IFS(Table1[[#This Row],[Age]]&lt;30,"Under 30",Table1[[#This Row],[Age]]&lt;=40,"30-40",Table1[[#This Row],[Age]]&lt;50,"41-50",TRUE,"50+")</f>
        <v>30-40</v>
      </c>
    </row>
    <row r="356" spans="1:19" x14ac:dyDescent="0.35">
      <c r="A356" t="s">
        <v>775</v>
      </c>
      <c r="B356" t="s">
        <v>776</v>
      </c>
      <c r="C356" t="s">
        <v>164</v>
      </c>
      <c r="D356" t="s">
        <v>65</v>
      </c>
      <c r="E356" t="s">
        <v>26</v>
      </c>
      <c r="F356" t="s">
        <v>27</v>
      </c>
      <c r="G356" t="s">
        <v>36</v>
      </c>
      <c r="H356" s="3">
        <v>49</v>
      </c>
      <c r="I356" s="8">
        <v>36979</v>
      </c>
      <c r="J356" s="4">
        <v>57606</v>
      </c>
      <c r="K356" s="1">
        <v>0</v>
      </c>
      <c r="L356" t="s">
        <v>21</v>
      </c>
      <c r="M356" t="s">
        <v>56</v>
      </c>
      <c r="O356" s="5">
        <f t="shared" si="5"/>
        <v>0</v>
      </c>
      <c r="P356" s="6">
        <f>Table1[[#This Row],[Annual Salary]]+Table1[[#This Row],[Bonus Amount]]</f>
        <v>57606</v>
      </c>
      <c r="Q356" t="str">
        <f>IF(Table1[[#This Row],[Exit Date]]="", "Active","Exited")</f>
        <v>Active</v>
      </c>
      <c r="R356" s="2">
        <f ca="1">IFERROR(DATEDIF(Table1[[#This Row],[Hire Date]],IF(Table1[[#This Row],[Exit Date]]="",TODAY(),Table1[[#This Row],[Exit Date]]),"Y"),"")</f>
        <v>24</v>
      </c>
      <c r="S356" t="str" cm="1">
        <f t="array" ref="S356">_xlfn.IFS(Table1[[#This Row],[Age]]&lt;30,"Under 30",Table1[[#This Row],[Age]]&lt;=40,"30-40",Table1[[#This Row],[Age]]&lt;50,"41-50",TRUE,"50+")</f>
        <v>41-50</v>
      </c>
    </row>
    <row r="357" spans="1:19" x14ac:dyDescent="0.35">
      <c r="A357" t="s">
        <v>777</v>
      </c>
      <c r="B357" t="s">
        <v>778</v>
      </c>
      <c r="C357" t="s">
        <v>16</v>
      </c>
      <c r="D357" t="s">
        <v>34</v>
      </c>
      <c r="E357" t="s">
        <v>49</v>
      </c>
      <c r="F357" t="s">
        <v>19</v>
      </c>
      <c r="G357" t="s">
        <v>28</v>
      </c>
      <c r="H357" s="3">
        <v>48</v>
      </c>
      <c r="I357" s="8">
        <v>37144</v>
      </c>
      <c r="J357" s="4">
        <v>125730</v>
      </c>
      <c r="K357" s="1">
        <v>0.11</v>
      </c>
      <c r="L357" t="s">
        <v>29</v>
      </c>
      <c r="M357" t="s">
        <v>30</v>
      </c>
      <c r="O357" s="5">
        <f t="shared" si="5"/>
        <v>13830.3</v>
      </c>
      <c r="P357" s="6">
        <f>Table1[[#This Row],[Annual Salary]]+Table1[[#This Row],[Bonus Amount]]</f>
        <v>139560.29999999999</v>
      </c>
      <c r="Q357" t="str">
        <f>IF(Table1[[#This Row],[Exit Date]]="", "Active","Exited")</f>
        <v>Active</v>
      </c>
      <c r="R357" s="2">
        <f ca="1">IFERROR(DATEDIF(Table1[[#This Row],[Hire Date]],IF(Table1[[#This Row],[Exit Date]]="",TODAY(),Table1[[#This Row],[Exit Date]]),"Y"),"")</f>
        <v>24</v>
      </c>
      <c r="S357" t="str" cm="1">
        <f t="array" ref="S357">_xlfn.IFS(Table1[[#This Row],[Age]]&lt;30,"Under 30",Table1[[#This Row],[Age]]&lt;=40,"30-40",Table1[[#This Row],[Age]]&lt;50,"41-50",TRUE,"50+")</f>
        <v>41-50</v>
      </c>
    </row>
    <row r="358" spans="1:19" x14ac:dyDescent="0.35">
      <c r="A358" t="s">
        <v>779</v>
      </c>
      <c r="B358" t="s">
        <v>780</v>
      </c>
      <c r="C358" t="s">
        <v>299</v>
      </c>
      <c r="D358" t="s">
        <v>17</v>
      </c>
      <c r="E358" t="s">
        <v>18</v>
      </c>
      <c r="F358" t="s">
        <v>19</v>
      </c>
      <c r="G358" t="s">
        <v>28</v>
      </c>
      <c r="H358" s="3">
        <v>51</v>
      </c>
      <c r="I358" s="8">
        <v>40964</v>
      </c>
      <c r="J358" s="4">
        <v>64170</v>
      </c>
      <c r="K358" s="1">
        <v>0</v>
      </c>
      <c r="L358" t="s">
        <v>21</v>
      </c>
      <c r="M358" t="s">
        <v>88</v>
      </c>
      <c r="O358" s="5">
        <f t="shared" si="5"/>
        <v>0</v>
      </c>
      <c r="P358" s="6">
        <f>Table1[[#This Row],[Annual Salary]]+Table1[[#This Row],[Bonus Amount]]</f>
        <v>64170</v>
      </c>
      <c r="Q358" t="str">
        <f>IF(Table1[[#This Row],[Exit Date]]="", "Active","Exited")</f>
        <v>Active</v>
      </c>
      <c r="R358" s="2">
        <f ca="1">IFERROR(DATEDIF(Table1[[#This Row],[Hire Date]],IF(Table1[[#This Row],[Exit Date]]="",TODAY(),Table1[[#This Row],[Exit Date]]),"Y"),"")</f>
        <v>14</v>
      </c>
      <c r="S358" t="str" cm="1">
        <f t="array" ref="S358">_xlfn.IFS(Table1[[#This Row],[Age]]&lt;30,"Under 30",Table1[[#This Row],[Age]]&lt;=40,"30-40",Table1[[#This Row],[Age]]&lt;50,"41-50",TRUE,"50+")</f>
        <v>50+</v>
      </c>
    </row>
    <row r="359" spans="1:19" x14ac:dyDescent="0.35">
      <c r="A359" t="s">
        <v>781</v>
      </c>
      <c r="B359" t="s">
        <v>782</v>
      </c>
      <c r="C359" t="s">
        <v>143</v>
      </c>
      <c r="D359" t="s">
        <v>65</v>
      </c>
      <c r="E359" t="s">
        <v>35</v>
      </c>
      <c r="F359" t="s">
        <v>27</v>
      </c>
      <c r="G359" t="s">
        <v>85</v>
      </c>
      <c r="H359" s="3">
        <v>56</v>
      </c>
      <c r="I359" s="8">
        <v>35816</v>
      </c>
      <c r="J359" s="4">
        <v>72303</v>
      </c>
      <c r="K359" s="1">
        <v>0</v>
      </c>
      <c r="L359" t="s">
        <v>21</v>
      </c>
      <c r="M359" t="s">
        <v>44</v>
      </c>
      <c r="O359" s="5">
        <f t="shared" si="5"/>
        <v>0</v>
      </c>
      <c r="P359" s="6">
        <f>Table1[[#This Row],[Annual Salary]]+Table1[[#This Row],[Bonus Amount]]</f>
        <v>72303</v>
      </c>
      <c r="Q359" t="str">
        <f>IF(Table1[[#This Row],[Exit Date]]="", "Active","Exited")</f>
        <v>Active</v>
      </c>
      <c r="R359" s="2">
        <f ca="1">IFERROR(DATEDIF(Table1[[#This Row],[Hire Date]],IF(Table1[[#This Row],[Exit Date]]="",TODAY(),Table1[[#This Row],[Exit Date]]),"Y"),"")</f>
        <v>28</v>
      </c>
      <c r="S359" t="str" cm="1">
        <f t="array" ref="S359">_xlfn.IFS(Table1[[#This Row],[Age]]&lt;30,"Under 30",Table1[[#This Row],[Age]]&lt;=40,"30-40",Table1[[#This Row],[Age]]&lt;50,"41-50",TRUE,"50+")</f>
        <v>50+</v>
      </c>
    </row>
    <row r="360" spans="1:19" x14ac:dyDescent="0.35">
      <c r="A360" t="s">
        <v>783</v>
      </c>
      <c r="B360" t="s">
        <v>784</v>
      </c>
      <c r="C360" t="s">
        <v>52</v>
      </c>
      <c r="D360" t="s">
        <v>48</v>
      </c>
      <c r="E360" t="s">
        <v>18</v>
      </c>
      <c r="F360" t="s">
        <v>27</v>
      </c>
      <c r="G360" t="s">
        <v>85</v>
      </c>
      <c r="H360" s="3">
        <v>36</v>
      </c>
      <c r="I360" s="8">
        <v>41116</v>
      </c>
      <c r="J360" s="4">
        <v>105891</v>
      </c>
      <c r="K360" s="1">
        <v>7.0000000000000007E-2</v>
      </c>
      <c r="L360" t="s">
        <v>21</v>
      </c>
      <c r="M360" t="s">
        <v>22</v>
      </c>
      <c r="O360" s="5">
        <f t="shared" si="5"/>
        <v>7412.3700000000008</v>
      </c>
      <c r="P360" s="6">
        <f>Table1[[#This Row],[Annual Salary]]+Table1[[#This Row],[Bonus Amount]]</f>
        <v>113303.37</v>
      </c>
      <c r="Q360" t="str">
        <f>IF(Table1[[#This Row],[Exit Date]]="", "Active","Exited")</f>
        <v>Active</v>
      </c>
      <c r="R360" s="2">
        <f ca="1">IFERROR(DATEDIF(Table1[[#This Row],[Hire Date]],IF(Table1[[#This Row],[Exit Date]]="",TODAY(),Table1[[#This Row],[Exit Date]]),"Y"),"")</f>
        <v>13</v>
      </c>
      <c r="S360" t="str" cm="1">
        <f t="array" ref="S360">_xlfn.IFS(Table1[[#This Row],[Age]]&lt;30,"Under 30",Table1[[#This Row],[Age]]&lt;=40,"30-40",Table1[[#This Row],[Age]]&lt;50,"41-50",TRUE,"50+")</f>
        <v>30-40</v>
      </c>
    </row>
    <row r="361" spans="1:19" x14ac:dyDescent="0.35">
      <c r="A361" t="s">
        <v>448</v>
      </c>
      <c r="B361" t="s">
        <v>785</v>
      </c>
      <c r="C361" t="s">
        <v>79</v>
      </c>
      <c r="D361" t="s">
        <v>80</v>
      </c>
      <c r="E361" t="s">
        <v>35</v>
      </c>
      <c r="F361" t="s">
        <v>27</v>
      </c>
      <c r="G361" t="s">
        <v>28</v>
      </c>
      <c r="H361" s="3">
        <v>38</v>
      </c>
      <c r="I361" s="8">
        <v>44433</v>
      </c>
      <c r="J361" s="4">
        <v>255230</v>
      </c>
      <c r="K361" s="1">
        <v>0.36</v>
      </c>
      <c r="L361" t="s">
        <v>21</v>
      </c>
      <c r="M361" t="s">
        <v>60</v>
      </c>
      <c r="O361" s="5">
        <f t="shared" si="5"/>
        <v>91882.8</v>
      </c>
      <c r="P361" s="6">
        <f>Table1[[#This Row],[Annual Salary]]+Table1[[#This Row],[Bonus Amount]]</f>
        <v>347112.8</v>
      </c>
      <c r="Q361" t="str">
        <f>IF(Table1[[#This Row],[Exit Date]]="", "Active","Exited")</f>
        <v>Active</v>
      </c>
      <c r="R361" s="2">
        <f ca="1">IFERROR(DATEDIF(Table1[[#This Row],[Hire Date]],IF(Table1[[#This Row],[Exit Date]]="",TODAY(),Table1[[#This Row],[Exit Date]]),"Y"),"")</f>
        <v>4</v>
      </c>
      <c r="S361" t="str" cm="1">
        <f t="array" ref="S361">_xlfn.IFS(Table1[[#This Row],[Age]]&lt;30,"Under 30",Table1[[#This Row],[Age]]&lt;=40,"30-40",Table1[[#This Row],[Age]]&lt;50,"41-50",TRUE,"50+")</f>
        <v>30-40</v>
      </c>
    </row>
    <row r="362" spans="1:19" x14ac:dyDescent="0.35">
      <c r="A362" t="s">
        <v>786</v>
      </c>
      <c r="B362" t="s">
        <v>787</v>
      </c>
      <c r="C362" t="s">
        <v>124</v>
      </c>
      <c r="D362" t="s">
        <v>48</v>
      </c>
      <c r="E362" t="s">
        <v>26</v>
      </c>
      <c r="F362" t="s">
        <v>19</v>
      </c>
      <c r="G362" t="s">
        <v>85</v>
      </c>
      <c r="H362" s="3">
        <v>56</v>
      </c>
      <c r="I362" s="8">
        <v>33770</v>
      </c>
      <c r="J362" s="4">
        <v>59591</v>
      </c>
      <c r="K362" s="1">
        <v>0</v>
      </c>
      <c r="L362" t="s">
        <v>93</v>
      </c>
      <c r="M362" t="s">
        <v>218</v>
      </c>
      <c r="O362" s="5">
        <f t="shared" si="5"/>
        <v>0</v>
      </c>
      <c r="P362" s="6">
        <f>Table1[[#This Row],[Annual Salary]]+Table1[[#This Row],[Bonus Amount]]</f>
        <v>59591</v>
      </c>
      <c r="Q362" t="str">
        <f>IF(Table1[[#This Row],[Exit Date]]="", "Active","Exited")</f>
        <v>Active</v>
      </c>
      <c r="R362" s="2">
        <f ca="1">IFERROR(DATEDIF(Table1[[#This Row],[Hire Date]],IF(Table1[[#This Row],[Exit Date]]="",TODAY(),Table1[[#This Row],[Exit Date]]),"Y"),"")</f>
        <v>33</v>
      </c>
      <c r="S362" t="str" cm="1">
        <f t="array" ref="S362">_xlfn.IFS(Table1[[#This Row],[Age]]&lt;30,"Under 30",Table1[[#This Row],[Age]]&lt;=40,"30-40",Table1[[#This Row],[Age]]&lt;50,"41-50",TRUE,"50+")</f>
        <v>50+</v>
      </c>
    </row>
    <row r="363" spans="1:19" x14ac:dyDescent="0.35">
      <c r="A363" t="s">
        <v>788</v>
      </c>
      <c r="B363" t="s">
        <v>789</v>
      </c>
      <c r="C363" t="s">
        <v>79</v>
      </c>
      <c r="D363" t="s">
        <v>65</v>
      </c>
      <c r="E363" t="s">
        <v>26</v>
      </c>
      <c r="F363" t="s">
        <v>19</v>
      </c>
      <c r="G363" t="s">
        <v>28</v>
      </c>
      <c r="H363" s="3">
        <v>52</v>
      </c>
      <c r="I363" s="8">
        <v>41113</v>
      </c>
      <c r="J363" s="4">
        <v>187048</v>
      </c>
      <c r="K363" s="1">
        <v>0.32</v>
      </c>
      <c r="L363" t="s">
        <v>29</v>
      </c>
      <c r="M363" t="s">
        <v>134</v>
      </c>
      <c r="O363" s="5">
        <f t="shared" si="5"/>
        <v>59855.360000000001</v>
      </c>
      <c r="P363" s="6">
        <f>Table1[[#This Row],[Annual Salary]]+Table1[[#This Row],[Bonus Amount]]</f>
        <v>246903.36</v>
      </c>
      <c r="Q363" t="str">
        <f>IF(Table1[[#This Row],[Exit Date]]="", "Active","Exited")</f>
        <v>Active</v>
      </c>
      <c r="R363" s="2">
        <f ca="1">IFERROR(DATEDIF(Table1[[#This Row],[Hire Date]],IF(Table1[[#This Row],[Exit Date]]="",TODAY(),Table1[[#This Row],[Exit Date]]),"Y"),"")</f>
        <v>13</v>
      </c>
      <c r="S363" t="str" cm="1">
        <f t="array" ref="S363">_xlfn.IFS(Table1[[#This Row],[Age]]&lt;30,"Under 30",Table1[[#This Row],[Age]]&lt;=40,"30-40",Table1[[#This Row],[Age]]&lt;50,"41-50",TRUE,"50+")</f>
        <v>50+</v>
      </c>
    </row>
    <row r="364" spans="1:19" x14ac:dyDescent="0.35">
      <c r="A364" t="s">
        <v>790</v>
      </c>
      <c r="B364" t="s">
        <v>791</v>
      </c>
      <c r="C364" t="s">
        <v>124</v>
      </c>
      <c r="D364" t="s">
        <v>34</v>
      </c>
      <c r="E364" t="s">
        <v>35</v>
      </c>
      <c r="F364" t="s">
        <v>19</v>
      </c>
      <c r="G364" t="s">
        <v>85</v>
      </c>
      <c r="H364" s="3">
        <v>53</v>
      </c>
      <c r="I364" s="8">
        <v>37296</v>
      </c>
      <c r="J364" s="4">
        <v>58605</v>
      </c>
      <c r="K364" s="1">
        <v>0</v>
      </c>
      <c r="L364" t="s">
        <v>21</v>
      </c>
      <c r="M364" t="s">
        <v>44</v>
      </c>
      <c r="O364" s="5">
        <f t="shared" si="5"/>
        <v>0</v>
      </c>
      <c r="P364" s="6">
        <f>Table1[[#This Row],[Annual Salary]]+Table1[[#This Row],[Bonus Amount]]</f>
        <v>58605</v>
      </c>
      <c r="Q364" t="str">
        <f>IF(Table1[[#This Row],[Exit Date]]="", "Active","Exited")</f>
        <v>Active</v>
      </c>
      <c r="R364" s="2">
        <f ca="1">IFERROR(DATEDIF(Table1[[#This Row],[Hire Date]],IF(Table1[[#This Row],[Exit Date]]="",TODAY(),Table1[[#This Row],[Exit Date]]),"Y"),"")</f>
        <v>24</v>
      </c>
      <c r="S364" t="str" cm="1">
        <f t="array" ref="S364">_xlfn.IFS(Table1[[#This Row],[Age]]&lt;30,"Under 30",Table1[[#This Row],[Age]]&lt;=40,"30-40",Table1[[#This Row],[Age]]&lt;50,"41-50",TRUE,"50+")</f>
        <v>50+</v>
      </c>
    </row>
    <row r="365" spans="1:19" x14ac:dyDescent="0.35">
      <c r="A365" t="s">
        <v>792</v>
      </c>
      <c r="B365" t="s">
        <v>793</v>
      </c>
      <c r="C365" t="s">
        <v>33</v>
      </c>
      <c r="D365" t="s">
        <v>69</v>
      </c>
      <c r="E365" t="s">
        <v>49</v>
      </c>
      <c r="F365" t="s">
        <v>19</v>
      </c>
      <c r="G365" t="s">
        <v>85</v>
      </c>
      <c r="H365" s="3">
        <v>60</v>
      </c>
      <c r="I365" s="8">
        <v>42739</v>
      </c>
      <c r="J365" s="4">
        <v>178502</v>
      </c>
      <c r="K365" s="1">
        <v>0.2</v>
      </c>
      <c r="L365" t="s">
        <v>21</v>
      </c>
      <c r="M365" t="s">
        <v>60</v>
      </c>
      <c r="O365" s="5">
        <f t="shared" si="5"/>
        <v>35700.400000000001</v>
      </c>
      <c r="P365" s="6">
        <f>Table1[[#This Row],[Annual Salary]]+Table1[[#This Row],[Bonus Amount]]</f>
        <v>214202.4</v>
      </c>
      <c r="Q365" t="str">
        <f>IF(Table1[[#This Row],[Exit Date]]="", "Active","Exited")</f>
        <v>Active</v>
      </c>
      <c r="R365" s="2">
        <f ca="1">IFERROR(DATEDIF(Table1[[#This Row],[Hire Date]],IF(Table1[[#This Row],[Exit Date]]="",TODAY(),Table1[[#This Row],[Exit Date]]),"Y"),"")</f>
        <v>9</v>
      </c>
      <c r="S365" t="str" cm="1">
        <f t="array" ref="S365">_xlfn.IFS(Table1[[#This Row],[Age]]&lt;30,"Under 30",Table1[[#This Row],[Age]]&lt;=40,"30-40",Table1[[#This Row],[Age]]&lt;50,"41-50",TRUE,"50+")</f>
        <v>50+</v>
      </c>
    </row>
    <row r="366" spans="1:19" x14ac:dyDescent="0.35">
      <c r="A366" t="s">
        <v>794</v>
      </c>
      <c r="B366" t="s">
        <v>795</v>
      </c>
      <c r="C366" t="s">
        <v>52</v>
      </c>
      <c r="D366" t="s">
        <v>59</v>
      </c>
      <c r="E366" t="s">
        <v>35</v>
      </c>
      <c r="F366" t="s">
        <v>27</v>
      </c>
      <c r="G366" t="s">
        <v>28</v>
      </c>
      <c r="H366" s="3">
        <v>63</v>
      </c>
      <c r="I366" s="8">
        <v>42214</v>
      </c>
      <c r="J366" s="4">
        <v>103724</v>
      </c>
      <c r="K366" s="1">
        <v>0.05</v>
      </c>
      <c r="L366" t="s">
        <v>29</v>
      </c>
      <c r="M366" t="s">
        <v>74</v>
      </c>
      <c r="O366" s="5">
        <f t="shared" si="5"/>
        <v>5186.2000000000007</v>
      </c>
      <c r="P366" s="6">
        <f>Table1[[#This Row],[Annual Salary]]+Table1[[#This Row],[Bonus Amount]]</f>
        <v>108910.2</v>
      </c>
      <c r="Q366" t="str">
        <f>IF(Table1[[#This Row],[Exit Date]]="", "Active","Exited")</f>
        <v>Active</v>
      </c>
      <c r="R366" s="2">
        <f ca="1">IFERROR(DATEDIF(Table1[[#This Row],[Hire Date]],IF(Table1[[#This Row],[Exit Date]]="",TODAY(),Table1[[#This Row],[Exit Date]]),"Y"),"")</f>
        <v>10</v>
      </c>
      <c r="S366" t="str" cm="1">
        <f t="array" ref="S366">_xlfn.IFS(Table1[[#This Row],[Age]]&lt;30,"Under 30",Table1[[#This Row],[Age]]&lt;=40,"30-40",Table1[[#This Row],[Age]]&lt;50,"41-50",TRUE,"50+")</f>
        <v>50+</v>
      </c>
    </row>
    <row r="367" spans="1:19" x14ac:dyDescent="0.35">
      <c r="A367" t="s">
        <v>796</v>
      </c>
      <c r="B367" t="s">
        <v>797</v>
      </c>
      <c r="C367" t="s">
        <v>33</v>
      </c>
      <c r="D367" t="s">
        <v>69</v>
      </c>
      <c r="E367" t="s">
        <v>18</v>
      </c>
      <c r="F367" t="s">
        <v>19</v>
      </c>
      <c r="G367" t="s">
        <v>85</v>
      </c>
      <c r="H367" s="3">
        <v>37</v>
      </c>
      <c r="I367" s="8">
        <v>39528</v>
      </c>
      <c r="J367" s="4">
        <v>156277</v>
      </c>
      <c r="K367" s="1">
        <v>0.22</v>
      </c>
      <c r="L367" t="s">
        <v>93</v>
      </c>
      <c r="M367" t="s">
        <v>94</v>
      </c>
      <c r="O367" s="5">
        <f t="shared" si="5"/>
        <v>34380.94</v>
      </c>
      <c r="P367" s="6">
        <f>Table1[[#This Row],[Annual Salary]]+Table1[[#This Row],[Bonus Amount]]</f>
        <v>190657.94</v>
      </c>
      <c r="Q367" t="str">
        <f>IF(Table1[[#This Row],[Exit Date]]="", "Active","Exited")</f>
        <v>Active</v>
      </c>
      <c r="R367" s="2">
        <f ca="1">IFERROR(DATEDIF(Table1[[#This Row],[Hire Date]],IF(Table1[[#This Row],[Exit Date]]="",TODAY(),Table1[[#This Row],[Exit Date]]),"Y"),"")</f>
        <v>18</v>
      </c>
      <c r="S367" t="str" cm="1">
        <f t="array" ref="S367">_xlfn.IFS(Table1[[#This Row],[Age]]&lt;30,"Under 30",Table1[[#This Row],[Age]]&lt;=40,"30-40",Table1[[#This Row],[Age]]&lt;50,"41-50",TRUE,"50+")</f>
        <v>30-40</v>
      </c>
    </row>
    <row r="368" spans="1:19" x14ac:dyDescent="0.35">
      <c r="A368" t="s">
        <v>798</v>
      </c>
      <c r="B368" t="s">
        <v>799</v>
      </c>
      <c r="C368" t="s">
        <v>175</v>
      </c>
      <c r="D368" t="s">
        <v>69</v>
      </c>
      <c r="E368" t="s">
        <v>18</v>
      </c>
      <c r="F368" t="s">
        <v>19</v>
      </c>
      <c r="G368" t="s">
        <v>85</v>
      </c>
      <c r="H368" s="3">
        <v>30</v>
      </c>
      <c r="I368" s="8">
        <v>43086</v>
      </c>
      <c r="J368" s="4">
        <v>87744</v>
      </c>
      <c r="K368" s="1">
        <v>0</v>
      </c>
      <c r="L368" t="s">
        <v>93</v>
      </c>
      <c r="M368" t="s">
        <v>218</v>
      </c>
      <c r="O368" s="5">
        <f t="shared" si="5"/>
        <v>0</v>
      </c>
      <c r="P368" s="6">
        <f>Table1[[#This Row],[Annual Salary]]+Table1[[#This Row],[Bonus Amount]]</f>
        <v>87744</v>
      </c>
      <c r="Q368" t="str">
        <f>IF(Table1[[#This Row],[Exit Date]]="", "Active","Exited")</f>
        <v>Active</v>
      </c>
      <c r="R368" s="2">
        <f ca="1">IFERROR(DATEDIF(Table1[[#This Row],[Hire Date]],IF(Table1[[#This Row],[Exit Date]]="",TODAY(),Table1[[#This Row],[Exit Date]]),"Y"),"")</f>
        <v>8</v>
      </c>
      <c r="S368" t="str" cm="1">
        <f t="array" ref="S368">_xlfn.IFS(Table1[[#This Row],[Age]]&lt;30,"Under 30",Table1[[#This Row],[Age]]&lt;=40,"30-40",Table1[[#This Row],[Age]]&lt;50,"41-50",TRUE,"50+")</f>
        <v>30-40</v>
      </c>
    </row>
    <row r="369" spans="1:19" x14ac:dyDescent="0.35">
      <c r="A369" t="s">
        <v>800</v>
      </c>
      <c r="B369" t="s">
        <v>801</v>
      </c>
      <c r="C369" t="s">
        <v>124</v>
      </c>
      <c r="D369" t="s">
        <v>34</v>
      </c>
      <c r="E369" t="s">
        <v>26</v>
      </c>
      <c r="F369" t="s">
        <v>27</v>
      </c>
      <c r="G369" t="s">
        <v>36</v>
      </c>
      <c r="H369" s="3">
        <v>30</v>
      </c>
      <c r="I369" s="8">
        <v>43542</v>
      </c>
      <c r="J369" s="4">
        <v>54714</v>
      </c>
      <c r="K369" s="1">
        <v>0</v>
      </c>
      <c r="L369" t="s">
        <v>21</v>
      </c>
      <c r="M369" t="s">
        <v>88</v>
      </c>
      <c r="O369" s="5">
        <f t="shared" si="5"/>
        <v>0</v>
      </c>
      <c r="P369" s="6">
        <f>Table1[[#This Row],[Annual Salary]]+Table1[[#This Row],[Bonus Amount]]</f>
        <v>54714</v>
      </c>
      <c r="Q369" t="str">
        <f>IF(Table1[[#This Row],[Exit Date]]="", "Active","Exited")</f>
        <v>Active</v>
      </c>
      <c r="R369" s="2">
        <f ca="1">IFERROR(DATEDIF(Table1[[#This Row],[Hire Date]],IF(Table1[[#This Row],[Exit Date]]="",TODAY(),Table1[[#This Row],[Exit Date]]),"Y"),"")</f>
        <v>7</v>
      </c>
      <c r="S369" t="str" cm="1">
        <f t="array" ref="S369">_xlfn.IFS(Table1[[#This Row],[Age]]&lt;30,"Under 30",Table1[[#This Row],[Age]]&lt;=40,"30-40",Table1[[#This Row],[Age]]&lt;50,"41-50",TRUE,"50+")</f>
        <v>30-40</v>
      </c>
    </row>
    <row r="370" spans="1:19" x14ac:dyDescent="0.35">
      <c r="A370" t="s">
        <v>802</v>
      </c>
      <c r="B370" t="s">
        <v>803</v>
      </c>
      <c r="C370" t="s">
        <v>131</v>
      </c>
      <c r="D370" t="s">
        <v>17</v>
      </c>
      <c r="E370" t="s">
        <v>49</v>
      </c>
      <c r="F370" t="s">
        <v>19</v>
      </c>
      <c r="G370" t="s">
        <v>28</v>
      </c>
      <c r="H370" s="3">
        <v>45</v>
      </c>
      <c r="I370" s="8">
        <v>41511</v>
      </c>
      <c r="J370" s="4">
        <v>99169</v>
      </c>
      <c r="K370" s="1">
        <v>0</v>
      </c>
      <c r="L370" t="s">
        <v>29</v>
      </c>
      <c r="M370" t="s">
        <v>114</v>
      </c>
      <c r="O370" s="5">
        <f t="shared" si="5"/>
        <v>0</v>
      </c>
      <c r="P370" s="6">
        <f>Table1[[#This Row],[Annual Salary]]+Table1[[#This Row],[Bonus Amount]]</f>
        <v>99169</v>
      </c>
      <c r="Q370" t="str">
        <f>IF(Table1[[#This Row],[Exit Date]]="", "Active","Exited")</f>
        <v>Active</v>
      </c>
      <c r="R370" s="2">
        <f ca="1">IFERROR(DATEDIF(Table1[[#This Row],[Hire Date]],IF(Table1[[#This Row],[Exit Date]]="",TODAY(),Table1[[#This Row],[Exit Date]]),"Y"),"")</f>
        <v>12</v>
      </c>
      <c r="S370" t="str" cm="1">
        <f t="array" ref="S370">_xlfn.IFS(Table1[[#This Row],[Age]]&lt;30,"Under 30",Table1[[#This Row],[Age]]&lt;=40,"30-40",Table1[[#This Row],[Age]]&lt;50,"41-50",TRUE,"50+")</f>
        <v>41-50</v>
      </c>
    </row>
    <row r="371" spans="1:19" x14ac:dyDescent="0.35">
      <c r="A371" t="s">
        <v>804</v>
      </c>
      <c r="B371" t="s">
        <v>805</v>
      </c>
      <c r="C371" t="s">
        <v>16</v>
      </c>
      <c r="D371" t="s">
        <v>59</v>
      </c>
      <c r="E371" t="s">
        <v>18</v>
      </c>
      <c r="F371" t="s">
        <v>19</v>
      </c>
      <c r="G371" t="s">
        <v>28</v>
      </c>
      <c r="H371" s="3">
        <v>55</v>
      </c>
      <c r="I371" s="8">
        <v>38888</v>
      </c>
      <c r="J371" s="4">
        <v>142628</v>
      </c>
      <c r="K371" s="1">
        <v>0.12</v>
      </c>
      <c r="L371" t="s">
        <v>29</v>
      </c>
      <c r="M371" t="s">
        <v>30</v>
      </c>
      <c r="O371" s="5">
        <f t="shared" si="5"/>
        <v>17115.36</v>
      </c>
      <c r="P371" s="6">
        <f>Table1[[#This Row],[Annual Salary]]+Table1[[#This Row],[Bonus Amount]]</f>
        <v>159743.35999999999</v>
      </c>
      <c r="Q371" t="str">
        <f>IF(Table1[[#This Row],[Exit Date]]="", "Active","Exited")</f>
        <v>Active</v>
      </c>
      <c r="R371" s="2">
        <f ca="1">IFERROR(DATEDIF(Table1[[#This Row],[Hire Date]],IF(Table1[[#This Row],[Exit Date]]="",TODAY(),Table1[[#This Row],[Exit Date]]),"Y"),"")</f>
        <v>19</v>
      </c>
      <c r="S371" t="str" cm="1">
        <f t="array" ref="S371">_xlfn.IFS(Table1[[#This Row],[Age]]&lt;30,"Under 30",Table1[[#This Row],[Age]]&lt;=40,"30-40",Table1[[#This Row],[Age]]&lt;50,"41-50",TRUE,"50+")</f>
        <v>50+</v>
      </c>
    </row>
    <row r="372" spans="1:19" x14ac:dyDescent="0.35">
      <c r="A372" t="s">
        <v>806</v>
      </c>
      <c r="B372" t="s">
        <v>807</v>
      </c>
      <c r="C372" t="s">
        <v>43</v>
      </c>
      <c r="D372" t="s">
        <v>80</v>
      </c>
      <c r="E372" t="s">
        <v>26</v>
      </c>
      <c r="F372" t="s">
        <v>19</v>
      </c>
      <c r="G372" t="s">
        <v>85</v>
      </c>
      <c r="H372" s="3">
        <v>33</v>
      </c>
      <c r="I372" s="8">
        <v>41756</v>
      </c>
      <c r="J372" s="4">
        <v>75869</v>
      </c>
      <c r="K372" s="1">
        <v>0</v>
      </c>
      <c r="L372" t="s">
        <v>93</v>
      </c>
      <c r="M372" t="s">
        <v>218</v>
      </c>
      <c r="O372" s="5">
        <f t="shared" si="5"/>
        <v>0</v>
      </c>
      <c r="P372" s="6">
        <f>Table1[[#This Row],[Annual Salary]]+Table1[[#This Row],[Bonus Amount]]</f>
        <v>75869</v>
      </c>
      <c r="Q372" t="str">
        <f>IF(Table1[[#This Row],[Exit Date]]="", "Active","Exited")</f>
        <v>Active</v>
      </c>
      <c r="R372" s="2">
        <f ca="1">IFERROR(DATEDIF(Table1[[#This Row],[Hire Date]],IF(Table1[[#This Row],[Exit Date]]="",TODAY(),Table1[[#This Row],[Exit Date]]),"Y"),"")</f>
        <v>11</v>
      </c>
      <c r="S372" t="str" cm="1">
        <f t="array" ref="S372">_xlfn.IFS(Table1[[#This Row],[Age]]&lt;30,"Under 30",Table1[[#This Row],[Age]]&lt;=40,"30-40",Table1[[#This Row],[Age]]&lt;50,"41-50",TRUE,"50+")</f>
        <v>30-40</v>
      </c>
    </row>
    <row r="373" spans="1:19" x14ac:dyDescent="0.35">
      <c r="A373" t="s">
        <v>808</v>
      </c>
      <c r="B373" t="s">
        <v>809</v>
      </c>
      <c r="C373" t="s">
        <v>248</v>
      </c>
      <c r="D373" t="s">
        <v>17</v>
      </c>
      <c r="E373" t="s">
        <v>26</v>
      </c>
      <c r="F373" t="s">
        <v>19</v>
      </c>
      <c r="G373" t="s">
        <v>36</v>
      </c>
      <c r="H373" s="3">
        <v>65</v>
      </c>
      <c r="I373" s="8">
        <v>43234</v>
      </c>
      <c r="J373" s="4">
        <v>60985</v>
      </c>
      <c r="K373" s="1">
        <v>0</v>
      </c>
      <c r="L373" t="s">
        <v>21</v>
      </c>
      <c r="M373" t="s">
        <v>22</v>
      </c>
      <c r="O373" s="5">
        <f t="shared" si="5"/>
        <v>0</v>
      </c>
      <c r="P373" s="6">
        <f>Table1[[#This Row],[Annual Salary]]+Table1[[#This Row],[Bonus Amount]]</f>
        <v>60985</v>
      </c>
      <c r="Q373" t="str">
        <f>IF(Table1[[#This Row],[Exit Date]]="", "Active","Exited")</f>
        <v>Active</v>
      </c>
      <c r="R373" s="2">
        <f ca="1">IFERROR(DATEDIF(Table1[[#This Row],[Hire Date]],IF(Table1[[#This Row],[Exit Date]]="",TODAY(),Table1[[#This Row],[Exit Date]]),"Y"),"")</f>
        <v>7</v>
      </c>
      <c r="S373" t="str" cm="1">
        <f t="array" ref="S373">_xlfn.IFS(Table1[[#This Row],[Age]]&lt;30,"Under 30",Table1[[#This Row],[Age]]&lt;=40,"30-40",Table1[[#This Row],[Age]]&lt;50,"41-50",TRUE,"50+")</f>
        <v>50+</v>
      </c>
    </row>
    <row r="374" spans="1:19" x14ac:dyDescent="0.35">
      <c r="A374" t="s">
        <v>810</v>
      </c>
      <c r="B374" t="s">
        <v>811</v>
      </c>
      <c r="C374" t="s">
        <v>16</v>
      </c>
      <c r="D374" t="s">
        <v>17</v>
      </c>
      <c r="E374" t="s">
        <v>18</v>
      </c>
      <c r="F374" t="s">
        <v>19</v>
      </c>
      <c r="G374" t="s">
        <v>28</v>
      </c>
      <c r="H374" s="3">
        <v>60</v>
      </c>
      <c r="I374" s="8">
        <v>40383</v>
      </c>
      <c r="J374" s="4">
        <v>126911</v>
      </c>
      <c r="K374" s="1">
        <v>0.1</v>
      </c>
      <c r="L374" t="s">
        <v>29</v>
      </c>
      <c r="M374" t="s">
        <v>74</v>
      </c>
      <c r="O374" s="5">
        <f t="shared" si="5"/>
        <v>12691.1</v>
      </c>
      <c r="P374" s="6">
        <f>Table1[[#This Row],[Annual Salary]]+Table1[[#This Row],[Bonus Amount]]</f>
        <v>139602.1</v>
      </c>
      <c r="Q374" t="str">
        <f>IF(Table1[[#This Row],[Exit Date]]="", "Active","Exited")</f>
        <v>Active</v>
      </c>
      <c r="R374" s="2">
        <f ca="1">IFERROR(DATEDIF(Table1[[#This Row],[Hire Date]],IF(Table1[[#This Row],[Exit Date]]="",TODAY(),Table1[[#This Row],[Exit Date]]),"Y"),"")</f>
        <v>15</v>
      </c>
      <c r="S374" t="str" cm="1">
        <f t="array" ref="S374">_xlfn.IFS(Table1[[#This Row],[Age]]&lt;30,"Under 30",Table1[[#This Row],[Age]]&lt;=40,"30-40",Table1[[#This Row],[Age]]&lt;50,"41-50",TRUE,"50+")</f>
        <v>50+</v>
      </c>
    </row>
    <row r="375" spans="1:19" x14ac:dyDescent="0.35">
      <c r="A375" t="s">
        <v>812</v>
      </c>
      <c r="B375" t="s">
        <v>813</v>
      </c>
      <c r="C375" t="s">
        <v>79</v>
      </c>
      <c r="D375" t="s">
        <v>48</v>
      </c>
      <c r="E375" t="s">
        <v>18</v>
      </c>
      <c r="F375" t="s">
        <v>27</v>
      </c>
      <c r="G375" t="s">
        <v>28</v>
      </c>
      <c r="H375" s="3">
        <v>56</v>
      </c>
      <c r="I375" s="8">
        <v>38042</v>
      </c>
      <c r="J375" s="4">
        <v>216949</v>
      </c>
      <c r="K375" s="1">
        <v>0.32</v>
      </c>
      <c r="L375" t="s">
        <v>29</v>
      </c>
      <c r="M375" t="s">
        <v>74</v>
      </c>
      <c r="O375" s="5">
        <f t="shared" si="5"/>
        <v>69423.680000000008</v>
      </c>
      <c r="P375" s="6">
        <f>Table1[[#This Row],[Annual Salary]]+Table1[[#This Row],[Bonus Amount]]</f>
        <v>286372.68</v>
      </c>
      <c r="Q375" t="str">
        <f>IF(Table1[[#This Row],[Exit Date]]="", "Active","Exited")</f>
        <v>Active</v>
      </c>
      <c r="R375" s="2">
        <f ca="1">IFERROR(DATEDIF(Table1[[#This Row],[Hire Date]],IF(Table1[[#This Row],[Exit Date]]="",TODAY(),Table1[[#This Row],[Exit Date]]),"Y"),"")</f>
        <v>22</v>
      </c>
      <c r="S375" t="str" cm="1">
        <f t="array" ref="S375">_xlfn.IFS(Table1[[#This Row],[Age]]&lt;30,"Under 30",Table1[[#This Row],[Age]]&lt;=40,"30-40",Table1[[#This Row],[Age]]&lt;50,"41-50",TRUE,"50+")</f>
        <v>50+</v>
      </c>
    </row>
    <row r="376" spans="1:19" x14ac:dyDescent="0.35">
      <c r="A376" t="s">
        <v>814</v>
      </c>
      <c r="B376" t="s">
        <v>815</v>
      </c>
      <c r="C376" t="s">
        <v>33</v>
      </c>
      <c r="D376" t="s">
        <v>69</v>
      </c>
      <c r="E376" t="s">
        <v>26</v>
      </c>
      <c r="F376" t="s">
        <v>27</v>
      </c>
      <c r="G376" t="s">
        <v>28</v>
      </c>
      <c r="H376" s="3">
        <v>53</v>
      </c>
      <c r="I376" s="8">
        <v>41204</v>
      </c>
      <c r="J376" s="4">
        <v>168510</v>
      </c>
      <c r="K376" s="1">
        <v>0.28999999999999998</v>
      </c>
      <c r="L376" t="s">
        <v>21</v>
      </c>
      <c r="M376" t="s">
        <v>22</v>
      </c>
      <c r="O376" s="5">
        <f t="shared" si="5"/>
        <v>48867.899999999994</v>
      </c>
      <c r="P376" s="6">
        <f>Table1[[#This Row],[Annual Salary]]+Table1[[#This Row],[Bonus Amount]]</f>
        <v>217377.9</v>
      </c>
      <c r="Q376" t="str">
        <f>IF(Table1[[#This Row],[Exit Date]]="", "Active","Exited")</f>
        <v>Active</v>
      </c>
      <c r="R376" s="2">
        <f ca="1">IFERROR(DATEDIF(Table1[[#This Row],[Hire Date]],IF(Table1[[#This Row],[Exit Date]]="",TODAY(),Table1[[#This Row],[Exit Date]]),"Y"),"")</f>
        <v>13</v>
      </c>
      <c r="S376" t="str" cm="1">
        <f t="array" ref="S376">_xlfn.IFS(Table1[[#This Row],[Age]]&lt;30,"Under 30",Table1[[#This Row],[Age]]&lt;=40,"30-40",Table1[[#This Row],[Age]]&lt;50,"41-50",TRUE,"50+")</f>
        <v>50+</v>
      </c>
    </row>
    <row r="377" spans="1:19" x14ac:dyDescent="0.35">
      <c r="A377" t="s">
        <v>816</v>
      </c>
      <c r="B377" t="s">
        <v>817</v>
      </c>
      <c r="C377" t="s">
        <v>175</v>
      </c>
      <c r="D377" t="s">
        <v>69</v>
      </c>
      <c r="E377" t="s">
        <v>35</v>
      </c>
      <c r="F377" t="s">
        <v>19</v>
      </c>
      <c r="G377" t="s">
        <v>85</v>
      </c>
      <c r="H377" s="3">
        <v>36</v>
      </c>
      <c r="I377" s="8">
        <v>42443</v>
      </c>
      <c r="J377" s="4">
        <v>85870</v>
      </c>
      <c r="K377" s="1">
        <v>0</v>
      </c>
      <c r="L377" t="s">
        <v>93</v>
      </c>
      <c r="M377" t="s">
        <v>218</v>
      </c>
      <c r="O377" s="5">
        <f t="shared" si="5"/>
        <v>0</v>
      </c>
      <c r="P377" s="6">
        <f>Table1[[#This Row],[Annual Salary]]+Table1[[#This Row],[Bonus Amount]]</f>
        <v>85870</v>
      </c>
      <c r="Q377" t="str">
        <f>IF(Table1[[#This Row],[Exit Date]]="", "Active","Exited")</f>
        <v>Active</v>
      </c>
      <c r="R377" s="2">
        <f ca="1">IFERROR(DATEDIF(Table1[[#This Row],[Hire Date]],IF(Table1[[#This Row],[Exit Date]]="",TODAY(),Table1[[#This Row],[Exit Date]]),"Y"),"")</f>
        <v>10</v>
      </c>
      <c r="S377" t="str" cm="1">
        <f t="array" ref="S377">_xlfn.IFS(Table1[[#This Row],[Age]]&lt;30,"Under 30",Table1[[#This Row],[Age]]&lt;=40,"30-40",Table1[[#This Row],[Age]]&lt;50,"41-50",TRUE,"50+")</f>
        <v>30-40</v>
      </c>
    </row>
    <row r="378" spans="1:19" x14ac:dyDescent="0.35">
      <c r="A378" t="s">
        <v>818</v>
      </c>
      <c r="B378" t="s">
        <v>819</v>
      </c>
      <c r="C378" t="s">
        <v>43</v>
      </c>
      <c r="D378" t="s">
        <v>80</v>
      </c>
      <c r="E378" t="s">
        <v>49</v>
      </c>
      <c r="F378" t="s">
        <v>19</v>
      </c>
      <c r="G378" t="s">
        <v>28</v>
      </c>
      <c r="H378" s="3">
        <v>46</v>
      </c>
      <c r="I378" s="8">
        <v>37271</v>
      </c>
      <c r="J378" s="4">
        <v>86510</v>
      </c>
      <c r="K378" s="1">
        <v>0</v>
      </c>
      <c r="L378" t="s">
        <v>29</v>
      </c>
      <c r="M378" t="s">
        <v>114</v>
      </c>
      <c r="N378" s="7">
        <v>37623</v>
      </c>
      <c r="O378" s="5">
        <f t="shared" si="5"/>
        <v>0</v>
      </c>
      <c r="P378" s="6">
        <f>Table1[[#This Row],[Annual Salary]]+Table1[[#This Row],[Bonus Amount]]</f>
        <v>86510</v>
      </c>
      <c r="Q378" t="str">
        <f>IF(Table1[[#This Row],[Exit Date]]="", "Active","Exited")</f>
        <v>Exited</v>
      </c>
      <c r="R378" s="2">
        <f ca="1">IFERROR(DATEDIF(Table1[[#This Row],[Hire Date]],IF(Table1[[#This Row],[Exit Date]]="",TODAY(),Table1[[#This Row],[Exit Date]]),"Y"),"")</f>
        <v>0</v>
      </c>
      <c r="S378" t="str" cm="1">
        <f t="array" ref="S378">_xlfn.IFS(Table1[[#This Row],[Age]]&lt;30,"Under 30",Table1[[#This Row],[Age]]&lt;=40,"30-40",Table1[[#This Row],[Age]]&lt;50,"41-50",TRUE,"50+")</f>
        <v>41-50</v>
      </c>
    </row>
    <row r="379" spans="1:19" x14ac:dyDescent="0.35">
      <c r="A379" t="s">
        <v>820</v>
      </c>
      <c r="B379" t="s">
        <v>821</v>
      </c>
      <c r="C379" t="s">
        <v>52</v>
      </c>
      <c r="D379" t="s">
        <v>48</v>
      </c>
      <c r="E379" t="s">
        <v>35</v>
      </c>
      <c r="F379" t="s">
        <v>19</v>
      </c>
      <c r="G379" t="s">
        <v>85</v>
      </c>
      <c r="H379" s="3">
        <v>38</v>
      </c>
      <c r="I379" s="8">
        <v>42999</v>
      </c>
      <c r="J379" s="4">
        <v>119647</v>
      </c>
      <c r="K379" s="1">
        <v>0.09</v>
      </c>
      <c r="L379" t="s">
        <v>93</v>
      </c>
      <c r="M379" t="s">
        <v>218</v>
      </c>
      <c r="O379" s="5">
        <f t="shared" si="5"/>
        <v>10768.23</v>
      </c>
      <c r="P379" s="6">
        <f>Table1[[#This Row],[Annual Salary]]+Table1[[#This Row],[Bonus Amount]]</f>
        <v>130415.23</v>
      </c>
      <c r="Q379" t="str">
        <f>IF(Table1[[#This Row],[Exit Date]]="", "Active","Exited")</f>
        <v>Active</v>
      </c>
      <c r="R379" s="2">
        <f ca="1">IFERROR(DATEDIF(Table1[[#This Row],[Hire Date]],IF(Table1[[#This Row],[Exit Date]]="",TODAY(),Table1[[#This Row],[Exit Date]]),"Y"),"")</f>
        <v>8</v>
      </c>
      <c r="S379" t="str" cm="1">
        <f t="array" ref="S379">_xlfn.IFS(Table1[[#This Row],[Age]]&lt;30,"Under 30",Table1[[#This Row],[Age]]&lt;=40,"30-40",Table1[[#This Row],[Age]]&lt;50,"41-50",TRUE,"50+")</f>
        <v>30-40</v>
      </c>
    </row>
    <row r="380" spans="1:19" x14ac:dyDescent="0.35">
      <c r="A380" t="s">
        <v>822</v>
      </c>
      <c r="B380" t="s">
        <v>823</v>
      </c>
      <c r="C380" t="s">
        <v>131</v>
      </c>
      <c r="D380" t="s">
        <v>17</v>
      </c>
      <c r="E380" t="s">
        <v>18</v>
      </c>
      <c r="F380" t="s">
        <v>27</v>
      </c>
      <c r="G380" t="s">
        <v>36</v>
      </c>
      <c r="H380" s="3">
        <v>62</v>
      </c>
      <c r="I380" s="8">
        <v>36996</v>
      </c>
      <c r="J380" s="4">
        <v>80921</v>
      </c>
      <c r="K380" s="1">
        <v>0</v>
      </c>
      <c r="L380" t="s">
        <v>21</v>
      </c>
      <c r="M380" t="s">
        <v>88</v>
      </c>
      <c r="O380" s="5">
        <f t="shared" si="5"/>
        <v>0</v>
      </c>
      <c r="P380" s="6">
        <f>Table1[[#This Row],[Annual Salary]]+Table1[[#This Row],[Bonus Amount]]</f>
        <v>80921</v>
      </c>
      <c r="Q380" t="str">
        <f>IF(Table1[[#This Row],[Exit Date]]="", "Active","Exited")</f>
        <v>Active</v>
      </c>
      <c r="R380" s="2">
        <f ca="1">IFERROR(DATEDIF(Table1[[#This Row],[Hire Date]],IF(Table1[[#This Row],[Exit Date]]="",TODAY(),Table1[[#This Row],[Exit Date]]),"Y"),"")</f>
        <v>24</v>
      </c>
      <c r="S380" t="str" cm="1">
        <f t="array" ref="S380">_xlfn.IFS(Table1[[#This Row],[Age]]&lt;30,"Under 30",Table1[[#This Row],[Age]]&lt;=40,"30-40",Table1[[#This Row],[Age]]&lt;50,"41-50",TRUE,"50+")</f>
        <v>50+</v>
      </c>
    </row>
    <row r="381" spans="1:19" x14ac:dyDescent="0.35">
      <c r="A381" t="s">
        <v>824</v>
      </c>
      <c r="B381" t="s">
        <v>825</v>
      </c>
      <c r="C381" t="s">
        <v>113</v>
      </c>
      <c r="D381" t="s">
        <v>69</v>
      </c>
      <c r="E381" t="s">
        <v>18</v>
      </c>
      <c r="F381" t="s">
        <v>19</v>
      </c>
      <c r="G381" t="s">
        <v>36</v>
      </c>
      <c r="H381" s="3">
        <v>61</v>
      </c>
      <c r="I381" s="8">
        <v>40193</v>
      </c>
      <c r="J381" s="4">
        <v>98110</v>
      </c>
      <c r="K381" s="1">
        <v>0.13</v>
      </c>
      <c r="L381" t="s">
        <v>21</v>
      </c>
      <c r="M381" t="s">
        <v>37</v>
      </c>
      <c r="O381" s="5">
        <f t="shared" si="5"/>
        <v>12754.300000000001</v>
      </c>
      <c r="P381" s="6">
        <f>Table1[[#This Row],[Annual Salary]]+Table1[[#This Row],[Bonus Amount]]</f>
        <v>110864.3</v>
      </c>
      <c r="Q381" t="str">
        <f>IF(Table1[[#This Row],[Exit Date]]="", "Active","Exited")</f>
        <v>Active</v>
      </c>
      <c r="R381" s="2">
        <f ca="1">IFERROR(DATEDIF(Table1[[#This Row],[Hire Date]],IF(Table1[[#This Row],[Exit Date]]="",TODAY(),Table1[[#This Row],[Exit Date]]),"Y"),"")</f>
        <v>16</v>
      </c>
      <c r="S381" t="str" cm="1">
        <f t="array" ref="S381">_xlfn.IFS(Table1[[#This Row],[Age]]&lt;30,"Under 30",Table1[[#This Row],[Age]]&lt;=40,"30-40",Table1[[#This Row],[Age]]&lt;50,"41-50",TRUE,"50+")</f>
        <v>50+</v>
      </c>
    </row>
    <row r="382" spans="1:19" x14ac:dyDescent="0.35">
      <c r="A382" t="s">
        <v>826</v>
      </c>
      <c r="B382" t="s">
        <v>827</v>
      </c>
      <c r="C382" t="s">
        <v>248</v>
      </c>
      <c r="D382" t="s">
        <v>17</v>
      </c>
      <c r="E382" t="s">
        <v>35</v>
      </c>
      <c r="F382" t="s">
        <v>19</v>
      </c>
      <c r="G382" t="s">
        <v>36</v>
      </c>
      <c r="H382" s="3">
        <v>59</v>
      </c>
      <c r="I382" s="8">
        <v>43028</v>
      </c>
      <c r="J382" s="4">
        <v>86831</v>
      </c>
      <c r="K382" s="1">
        <v>0</v>
      </c>
      <c r="L382" t="s">
        <v>21</v>
      </c>
      <c r="M382" t="s">
        <v>44</v>
      </c>
      <c r="O382" s="5">
        <f t="shared" si="5"/>
        <v>0</v>
      </c>
      <c r="P382" s="6">
        <f>Table1[[#This Row],[Annual Salary]]+Table1[[#This Row],[Bonus Amount]]</f>
        <v>86831</v>
      </c>
      <c r="Q382" t="str">
        <f>IF(Table1[[#This Row],[Exit Date]]="", "Active","Exited")</f>
        <v>Active</v>
      </c>
      <c r="R382" s="2">
        <f ca="1">IFERROR(DATEDIF(Table1[[#This Row],[Hire Date]],IF(Table1[[#This Row],[Exit Date]]="",TODAY(),Table1[[#This Row],[Exit Date]]),"Y"),"")</f>
        <v>8</v>
      </c>
      <c r="S382" t="str" cm="1">
        <f t="array" ref="S382">_xlfn.IFS(Table1[[#This Row],[Age]]&lt;30,"Under 30",Table1[[#This Row],[Age]]&lt;=40,"30-40",Table1[[#This Row],[Age]]&lt;50,"41-50",TRUE,"50+")</f>
        <v>50+</v>
      </c>
    </row>
    <row r="383" spans="1:19" x14ac:dyDescent="0.35">
      <c r="A383" t="s">
        <v>828</v>
      </c>
      <c r="B383" t="s">
        <v>829</v>
      </c>
      <c r="C383" t="s">
        <v>25</v>
      </c>
      <c r="D383" t="s">
        <v>17</v>
      </c>
      <c r="E383" t="s">
        <v>35</v>
      </c>
      <c r="F383" t="s">
        <v>19</v>
      </c>
      <c r="G383" t="s">
        <v>28</v>
      </c>
      <c r="H383" s="3">
        <v>49</v>
      </c>
      <c r="I383" s="8">
        <v>40431</v>
      </c>
      <c r="J383" s="4">
        <v>72826</v>
      </c>
      <c r="K383" s="1">
        <v>0</v>
      </c>
      <c r="L383" t="s">
        <v>29</v>
      </c>
      <c r="M383" t="s">
        <v>114</v>
      </c>
      <c r="O383" s="5">
        <f t="shared" si="5"/>
        <v>0</v>
      </c>
      <c r="P383" s="6">
        <f>Table1[[#This Row],[Annual Salary]]+Table1[[#This Row],[Bonus Amount]]</f>
        <v>72826</v>
      </c>
      <c r="Q383" t="str">
        <f>IF(Table1[[#This Row],[Exit Date]]="", "Active","Exited")</f>
        <v>Active</v>
      </c>
      <c r="R383" s="2">
        <f ca="1">IFERROR(DATEDIF(Table1[[#This Row],[Hire Date]],IF(Table1[[#This Row],[Exit Date]]="",TODAY(),Table1[[#This Row],[Exit Date]]),"Y"),"")</f>
        <v>15</v>
      </c>
      <c r="S383" t="str" cm="1">
        <f t="array" ref="S383">_xlfn.IFS(Table1[[#This Row],[Age]]&lt;30,"Under 30",Table1[[#This Row],[Age]]&lt;=40,"30-40",Table1[[#This Row],[Age]]&lt;50,"41-50",TRUE,"50+")</f>
        <v>41-50</v>
      </c>
    </row>
    <row r="384" spans="1:19" x14ac:dyDescent="0.35">
      <c r="A384" t="s">
        <v>830</v>
      </c>
      <c r="B384" t="s">
        <v>831</v>
      </c>
      <c r="C384" t="s">
        <v>33</v>
      </c>
      <c r="D384" t="s">
        <v>80</v>
      </c>
      <c r="E384" t="s">
        <v>26</v>
      </c>
      <c r="F384" t="s">
        <v>19</v>
      </c>
      <c r="G384" t="s">
        <v>28</v>
      </c>
      <c r="H384" s="3">
        <v>64</v>
      </c>
      <c r="I384" s="8">
        <v>40588</v>
      </c>
      <c r="J384" s="4">
        <v>171217</v>
      </c>
      <c r="K384" s="1">
        <v>0.19</v>
      </c>
      <c r="L384" t="s">
        <v>21</v>
      </c>
      <c r="M384" t="s">
        <v>22</v>
      </c>
      <c r="O384" s="5">
        <f t="shared" si="5"/>
        <v>32531.23</v>
      </c>
      <c r="P384" s="6">
        <f>Table1[[#This Row],[Annual Salary]]+Table1[[#This Row],[Bonus Amount]]</f>
        <v>203748.23</v>
      </c>
      <c r="Q384" t="str">
        <f>IF(Table1[[#This Row],[Exit Date]]="", "Active","Exited")</f>
        <v>Active</v>
      </c>
      <c r="R384" s="2">
        <f ca="1">IFERROR(DATEDIF(Table1[[#This Row],[Hire Date]],IF(Table1[[#This Row],[Exit Date]]="",TODAY(),Table1[[#This Row],[Exit Date]]),"Y"),"")</f>
        <v>15</v>
      </c>
      <c r="S384" t="str" cm="1">
        <f t="array" ref="S384">_xlfn.IFS(Table1[[#This Row],[Age]]&lt;30,"Under 30",Table1[[#This Row],[Age]]&lt;=40,"30-40",Table1[[#This Row],[Age]]&lt;50,"41-50",TRUE,"50+")</f>
        <v>50+</v>
      </c>
    </row>
    <row r="385" spans="1:19" x14ac:dyDescent="0.35">
      <c r="A385" t="s">
        <v>832</v>
      </c>
      <c r="B385" t="s">
        <v>833</v>
      </c>
      <c r="C385" t="s">
        <v>52</v>
      </c>
      <c r="D385" t="s">
        <v>17</v>
      </c>
      <c r="E385" t="s">
        <v>18</v>
      </c>
      <c r="F385" t="s">
        <v>19</v>
      </c>
      <c r="G385" t="s">
        <v>36</v>
      </c>
      <c r="H385" s="3">
        <v>57</v>
      </c>
      <c r="I385" s="8">
        <v>43948</v>
      </c>
      <c r="J385" s="4">
        <v>103058</v>
      </c>
      <c r="K385" s="1">
        <v>7.0000000000000007E-2</v>
      </c>
      <c r="L385" t="s">
        <v>21</v>
      </c>
      <c r="M385" t="s">
        <v>88</v>
      </c>
      <c r="O385" s="5">
        <f t="shared" si="5"/>
        <v>7214.06</v>
      </c>
      <c r="P385" s="6">
        <f>Table1[[#This Row],[Annual Salary]]+Table1[[#This Row],[Bonus Amount]]</f>
        <v>110272.06</v>
      </c>
      <c r="Q385" t="str">
        <f>IF(Table1[[#This Row],[Exit Date]]="", "Active","Exited")</f>
        <v>Active</v>
      </c>
      <c r="R385" s="2">
        <f ca="1">IFERROR(DATEDIF(Table1[[#This Row],[Hire Date]],IF(Table1[[#This Row],[Exit Date]]="",TODAY(),Table1[[#This Row],[Exit Date]]),"Y"),"")</f>
        <v>5</v>
      </c>
      <c r="S385" t="str" cm="1">
        <f t="array" ref="S385">_xlfn.IFS(Table1[[#This Row],[Age]]&lt;30,"Under 30",Table1[[#This Row],[Age]]&lt;=40,"30-40",Table1[[#This Row],[Age]]&lt;50,"41-50",TRUE,"50+")</f>
        <v>50+</v>
      </c>
    </row>
    <row r="386" spans="1:19" x14ac:dyDescent="0.35">
      <c r="A386" t="s">
        <v>834</v>
      </c>
      <c r="B386" t="s">
        <v>835</v>
      </c>
      <c r="C386" t="s">
        <v>52</v>
      </c>
      <c r="D386" t="s">
        <v>48</v>
      </c>
      <c r="E386" t="s">
        <v>35</v>
      </c>
      <c r="F386" t="s">
        <v>27</v>
      </c>
      <c r="G386" t="s">
        <v>28</v>
      </c>
      <c r="H386" s="3">
        <v>52</v>
      </c>
      <c r="I386" s="8">
        <v>41858</v>
      </c>
      <c r="J386" s="4">
        <v>117062</v>
      </c>
      <c r="K386" s="1">
        <v>7.0000000000000007E-2</v>
      </c>
      <c r="L386" t="s">
        <v>21</v>
      </c>
      <c r="M386" t="s">
        <v>44</v>
      </c>
      <c r="O386" s="5">
        <f t="shared" si="5"/>
        <v>8194.34</v>
      </c>
      <c r="P386" s="6">
        <f>Table1[[#This Row],[Annual Salary]]+Table1[[#This Row],[Bonus Amount]]</f>
        <v>125256.34</v>
      </c>
      <c r="Q386" t="str">
        <f>IF(Table1[[#This Row],[Exit Date]]="", "Active","Exited")</f>
        <v>Active</v>
      </c>
      <c r="R386" s="2">
        <f ca="1">IFERROR(DATEDIF(Table1[[#This Row],[Hire Date]],IF(Table1[[#This Row],[Exit Date]]="",TODAY(),Table1[[#This Row],[Exit Date]]),"Y"),"")</f>
        <v>11</v>
      </c>
      <c r="S386" t="str" cm="1">
        <f t="array" ref="S386">_xlfn.IFS(Table1[[#This Row],[Age]]&lt;30,"Under 30",Table1[[#This Row],[Age]]&lt;=40,"30-40",Table1[[#This Row],[Age]]&lt;50,"41-50",TRUE,"50+")</f>
        <v>50+</v>
      </c>
    </row>
    <row r="387" spans="1:19" x14ac:dyDescent="0.35">
      <c r="A387" t="s">
        <v>836</v>
      </c>
      <c r="B387" t="s">
        <v>837</v>
      </c>
      <c r="C387" t="s">
        <v>16</v>
      </c>
      <c r="D387" t="s">
        <v>59</v>
      </c>
      <c r="E387" t="s">
        <v>35</v>
      </c>
      <c r="F387" t="s">
        <v>27</v>
      </c>
      <c r="G387" t="s">
        <v>85</v>
      </c>
      <c r="H387" s="3">
        <v>40</v>
      </c>
      <c r="I387" s="8">
        <v>43488</v>
      </c>
      <c r="J387" s="4">
        <v>159031</v>
      </c>
      <c r="K387" s="1">
        <v>0.1</v>
      </c>
      <c r="L387" t="s">
        <v>21</v>
      </c>
      <c r="M387" t="s">
        <v>56</v>
      </c>
      <c r="O387" s="5">
        <f t="shared" ref="O387:O450" si="6">J387*K387</f>
        <v>15903.1</v>
      </c>
      <c r="P387" s="6">
        <f>Table1[[#This Row],[Annual Salary]]+Table1[[#This Row],[Bonus Amount]]</f>
        <v>174934.1</v>
      </c>
      <c r="Q387" t="str">
        <f>IF(Table1[[#This Row],[Exit Date]]="", "Active","Exited")</f>
        <v>Active</v>
      </c>
      <c r="R387" s="2">
        <f ca="1">IFERROR(DATEDIF(Table1[[#This Row],[Hire Date]],IF(Table1[[#This Row],[Exit Date]]="",TODAY(),Table1[[#This Row],[Exit Date]]),"Y"),"")</f>
        <v>7</v>
      </c>
      <c r="S387" t="str" cm="1">
        <f t="array" ref="S387">_xlfn.IFS(Table1[[#This Row],[Age]]&lt;30,"Under 30",Table1[[#This Row],[Age]]&lt;=40,"30-40",Table1[[#This Row],[Age]]&lt;50,"41-50",TRUE,"50+")</f>
        <v>30-40</v>
      </c>
    </row>
    <row r="388" spans="1:19" x14ac:dyDescent="0.35">
      <c r="A388" t="s">
        <v>838</v>
      </c>
      <c r="B388" t="s">
        <v>839</v>
      </c>
      <c r="C388" t="s">
        <v>16</v>
      </c>
      <c r="D388" t="s">
        <v>17</v>
      </c>
      <c r="E388" t="s">
        <v>18</v>
      </c>
      <c r="F388" t="s">
        <v>19</v>
      </c>
      <c r="G388" t="s">
        <v>85</v>
      </c>
      <c r="H388" s="3">
        <v>49</v>
      </c>
      <c r="I388" s="8">
        <v>38000</v>
      </c>
      <c r="J388" s="4">
        <v>125086</v>
      </c>
      <c r="K388" s="1">
        <v>0.1</v>
      </c>
      <c r="L388" t="s">
        <v>93</v>
      </c>
      <c r="M388" t="s">
        <v>218</v>
      </c>
      <c r="O388" s="5">
        <f t="shared" si="6"/>
        <v>12508.6</v>
      </c>
      <c r="P388" s="6">
        <f>Table1[[#This Row],[Annual Salary]]+Table1[[#This Row],[Bonus Amount]]</f>
        <v>137594.6</v>
      </c>
      <c r="Q388" t="str">
        <f>IF(Table1[[#This Row],[Exit Date]]="", "Active","Exited")</f>
        <v>Active</v>
      </c>
      <c r="R388" s="2">
        <f ca="1">IFERROR(DATEDIF(Table1[[#This Row],[Hire Date]],IF(Table1[[#This Row],[Exit Date]]="",TODAY(),Table1[[#This Row],[Exit Date]]),"Y"),"")</f>
        <v>22</v>
      </c>
      <c r="S388" t="str" cm="1">
        <f t="array" ref="S388">_xlfn.IFS(Table1[[#This Row],[Age]]&lt;30,"Under 30",Table1[[#This Row],[Age]]&lt;=40,"30-40",Table1[[#This Row],[Age]]&lt;50,"41-50",TRUE,"50+")</f>
        <v>41-50</v>
      </c>
    </row>
    <row r="389" spans="1:19" x14ac:dyDescent="0.35">
      <c r="A389" t="s">
        <v>840</v>
      </c>
      <c r="B389" t="s">
        <v>841</v>
      </c>
      <c r="C389" t="s">
        <v>299</v>
      </c>
      <c r="D389" t="s">
        <v>17</v>
      </c>
      <c r="E389" t="s">
        <v>35</v>
      </c>
      <c r="F389" t="s">
        <v>27</v>
      </c>
      <c r="G389" t="s">
        <v>36</v>
      </c>
      <c r="H389" s="3">
        <v>43</v>
      </c>
      <c r="I389" s="8">
        <v>42467</v>
      </c>
      <c r="J389" s="4">
        <v>67976</v>
      </c>
      <c r="K389" s="1">
        <v>0</v>
      </c>
      <c r="L389" t="s">
        <v>21</v>
      </c>
      <c r="M389" t="s">
        <v>22</v>
      </c>
      <c r="O389" s="5">
        <f t="shared" si="6"/>
        <v>0</v>
      </c>
      <c r="P389" s="6">
        <f>Table1[[#This Row],[Annual Salary]]+Table1[[#This Row],[Bonus Amount]]</f>
        <v>67976</v>
      </c>
      <c r="Q389" t="str">
        <f>IF(Table1[[#This Row],[Exit Date]]="", "Active","Exited")</f>
        <v>Active</v>
      </c>
      <c r="R389" s="2">
        <f ca="1">IFERROR(DATEDIF(Table1[[#This Row],[Hire Date]],IF(Table1[[#This Row],[Exit Date]]="",TODAY(),Table1[[#This Row],[Exit Date]]),"Y"),"")</f>
        <v>9</v>
      </c>
      <c r="S389" t="str" cm="1">
        <f t="array" ref="S389">_xlfn.IFS(Table1[[#This Row],[Age]]&lt;30,"Under 30",Table1[[#This Row],[Age]]&lt;=40,"30-40",Table1[[#This Row],[Age]]&lt;50,"41-50",TRUE,"50+")</f>
        <v>41-50</v>
      </c>
    </row>
    <row r="390" spans="1:19" x14ac:dyDescent="0.35">
      <c r="A390" t="s">
        <v>842</v>
      </c>
      <c r="B390" t="s">
        <v>843</v>
      </c>
      <c r="C390" t="s">
        <v>124</v>
      </c>
      <c r="D390" t="s">
        <v>34</v>
      </c>
      <c r="E390" t="s">
        <v>35</v>
      </c>
      <c r="F390" t="s">
        <v>27</v>
      </c>
      <c r="G390" t="s">
        <v>36</v>
      </c>
      <c r="H390" s="3">
        <v>31</v>
      </c>
      <c r="I390" s="8">
        <v>44308</v>
      </c>
      <c r="J390" s="4">
        <v>74215</v>
      </c>
      <c r="K390" s="1">
        <v>0</v>
      </c>
      <c r="L390" t="s">
        <v>21</v>
      </c>
      <c r="M390" t="s">
        <v>44</v>
      </c>
      <c r="O390" s="5">
        <f t="shared" si="6"/>
        <v>0</v>
      </c>
      <c r="P390" s="6">
        <f>Table1[[#This Row],[Annual Salary]]+Table1[[#This Row],[Bonus Amount]]</f>
        <v>74215</v>
      </c>
      <c r="Q390" t="str">
        <f>IF(Table1[[#This Row],[Exit Date]]="", "Active","Exited")</f>
        <v>Active</v>
      </c>
      <c r="R390" s="2">
        <f ca="1">IFERROR(DATEDIF(Table1[[#This Row],[Hire Date]],IF(Table1[[#This Row],[Exit Date]]="",TODAY(),Table1[[#This Row],[Exit Date]]),"Y"),"")</f>
        <v>4</v>
      </c>
      <c r="S390" t="str" cm="1">
        <f t="array" ref="S390">_xlfn.IFS(Table1[[#This Row],[Age]]&lt;30,"Under 30",Table1[[#This Row],[Age]]&lt;=40,"30-40",Table1[[#This Row],[Age]]&lt;50,"41-50",TRUE,"50+")</f>
        <v>30-40</v>
      </c>
    </row>
    <row r="391" spans="1:19" x14ac:dyDescent="0.35">
      <c r="A391" t="s">
        <v>844</v>
      </c>
      <c r="B391" t="s">
        <v>845</v>
      </c>
      <c r="C391" t="s">
        <v>33</v>
      </c>
      <c r="D391" t="s">
        <v>59</v>
      </c>
      <c r="E391" t="s">
        <v>26</v>
      </c>
      <c r="F391" t="s">
        <v>27</v>
      </c>
      <c r="G391" t="s">
        <v>28</v>
      </c>
      <c r="H391" s="3">
        <v>55</v>
      </c>
      <c r="I391" s="8">
        <v>40340</v>
      </c>
      <c r="J391" s="4">
        <v>187389</v>
      </c>
      <c r="K391" s="1">
        <v>0.25</v>
      </c>
      <c r="L391" t="s">
        <v>29</v>
      </c>
      <c r="M391" t="s">
        <v>134</v>
      </c>
      <c r="O391" s="5">
        <f t="shared" si="6"/>
        <v>46847.25</v>
      </c>
      <c r="P391" s="6">
        <f>Table1[[#This Row],[Annual Salary]]+Table1[[#This Row],[Bonus Amount]]</f>
        <v>234236.25</v>
      </c>
      <c r="Q391" t="str">
        <f>IF(Table1[[#This Row],[Exit Date]]="", "Active","Exited")</f>
        <v>Active</v>
      </c>
      <c r="R391" s="2">
        <f ca="1">IFERROR(DATEDIF(Table1[[#This Row],[Hire Date]],IF(Table1[[#This Row],[Exit Date]]="",TODAY(),Table1[[#This Row],[Exit Date]]),"Y"),"")</f>
        <v>15</v>
      </c>
      <c r="S391" t="str" cm="1">
        <f t="array" ref="S391">_xlfn.IFS(Table1[[#This Row],[Age]]&lt;30,"Under 30",Table1[[#This Row],[Age]]&lt;=40,"30-40",Table1[[#This Row],[Age]]&lt;50,"41-50",TRUE,"50+")</f>
        <v>50+</v>
      </c>
    </row>
    <row r="392" spans="1:19" x14ac:dyDescent="0.35">
      <c r="A392" t="s">
        <v>647</v>
      </c>
      <c r="B392" t="s">
        <v>846</v>
      </c>
      <c r="C392" t="s">
        <v>16</v>
      </c>
      <c r="D392" t="s">
        <v>65</v>
      </c>
      <c r="E392" t="s">
        <v>35</v>
      </c>
      <c r="F392" t="s">
        <v>19</v>
      </c>
      <c r="G392" t="s">
        <v>36</v>
      </c>
      <c r="H392" s="3">
        <v>41</v>
      </c>
      <c r="I392" s="8">
        <v>39747</v>
      </c>
      <c r="J392" s="4">
        <v>131841</v>
      </c>
      <c r="K392" s="1">
        <v>0.13</v>
      </c>
      <c r="L392" t="s">
        <v>21</v>
      </c>
      <c r="M392" t="s">
        <v>88</v>
      </c>
      <c r="O392" s="5">
        <f t="shared" si="6"/>
        <v>17139.330000000002</v>
      </c>
      <c r="P392" s="6">
        <f>Table1[[#This Row],[Annual Salary]]+Table1[[#This Row],[Bonus Amount]]</f>
        <v>148980.33000000002</v>
      </c>
      <c r="Q392" t="str">
        <f>IF(Table1[[#This Row],[Exit Date]]="", "Active","Exited")</f>
        <v>Active</v>
      </c>
      <c r="R392" s="2">
        <f ca="1">IFERROR(DATEDIF(Table1[[#This Row],[Hire Date]],IF(Table1[[#This Row],[Exit Date]]="",TODAY(),Table1[[#This Row],[Exit Date]]),"Y"),"")</f>
        <v>17</v>
      </c>
      <c r="S392" t="str" cm="1">
        <f t="array" ref="S392">_xlfn.IFS(Table1[[#This Row],[Age]]&lt;30,"Under 30",Table1[[#This Row],[Age]]&lt;=40,"30-40",Table1[[#This Row],[Age]]&lt;50,"41-50",TRUE,"50+")</f>
        <v>41-50</v>
      </c>
    </row>
    <row r="393" spans="1:19" x14ac:dyDescent="0.35">
      <c r="A393" t="s">
        <v>847</v>
      </c>
      <c r="B393" t="s">
        <v>848</v>
      </c>
      <c r="C393" t="s">
        <v>43</v>
      </c>
      <c r="D393" t="s">
        <v>59</v>
      </c>
      <c r="E393" t="s">
        <v>18</v>
      </c>
      <c r="F393" t="s">
        <v>27</v>
      </c>
      <c r="G393" t="s">
        <v>28</v>
      </c>
      <c r="H393" s="3">
        <v>34</v>
      </c>
      <c r="I393" s="8">
        <v>40750</v>
      </c>
      <c r="J393" s="4">
        <v>97231</v>
      </c>
      <c r="K393" s="1">
        <v>0</v>
      </c>
      <c r="L393" t="s">
        <v>29</v>
      </c>
      <c r="M393" t="s">
        <v>114</v>
      </c>
      <c r="O393" s="5">
        <f t="shared" si="6"/>
        <v>0</v>
      </c>
      <c r="P393" s="6">
        <f>Table1[[#This Row],[Annual Salary]]+Table1[[#This Row],[Bonus Amount]]</f>
        <v>97231</v>
      </c>
      <c r="Q393" t="str">
        <f>IF(Table1[[#This Row],[Exit Date]]="", "Active","Exited")</f>
        <v>Active</v>
      </c>
      <c r="R393" s="2">
        <f ca="1">IFERROR(DATEDIF(Table1[[#This Row],[Hire Date]],IF(Table1[[#This Row],[Exit Date]]="",TODAY(),Table1[[#This Row],[Exit Date]]),"Y"),"")</f>
        <v>14</v>
      </c>
      <c r="S393" t="str" cm="1">
        <f t="array" ref="S393">_xlfn.IFS(Table1[[#This Row],[Age]]&lt;30,"Under 30",Table1[[#This Row],[Age]]&lt;=40,"30-40",Table1[[#This Row],[Age]]&lt;50,"41-50",TRUE,"50+")</f>
        <v>30-40</v>
      </c>
    </row>
    <row r="394" spans="1:19" x14ac:dyDescent="0.35">
      <c r="A394" t="s">
        <v>849</v>
      </c>
      <c r="B394" t="s">
        <v>850</v>
      </c>
      <c r="C394" t="s">
        <v>16</v>
      </c>
      <c r="D394" t="s">
        <v>34</v>
      </c>
      <c r="E394" t="s">
        <v>49</v>
      </c>
      <c r="F394" t="s">
        <v>19</v>
      </c>
      <c r="G394" t="s">
        <v>28</v>
      </c>
      <c r="H394" s="3">
        <v>41</v>
      </c>
      <c r="I394" s="8">
        <v>38060</v>
      </c>
      <c r="J394" s="4">
        <v>155004</v>
      </c>
      <c r="K394" s="1">
        <v>0.12</v>
      </c>
      <c r="L394" t="s">
        <v>21</v>
      </c>
      <c r="M394" t="s">
        <v>60</v>
      </c>
      <c r="O394" s="5">
        <f t="shared" si="6"/>
        <v>18600.48</v>
      </c>
      <c r="P394" s="6">
        <f>Table1[[#This Row],[Annual Salary]]+Table1[[#This Row],[Bonus Amount]]</f>
        <v>173604.48000000001</v>
      </c>
      <c r="Q394" t="str">
        <f>IF(Table1[[#This Row],[Exit Date]]="", "Active","Exited")</f>
        <v>Active</v>
      </c>
      <c r="R394" s="2">
        <f ca="1">IFERROR(DATEDIF(Table1[[#This Row],[Hire Date]],IF(Table1[[#This Row],[Exit Date]]="",TODAY(),Table1[[#This Row],[Exit Date]]),"Y"),"")</f>
        <v>22</v>
      </c>
      <c r="S394" t="str" cm="1">
        <f t="array" ref="S394">_xlfn.IFS(Table1[[#This Row],[Age]]&lt;30,"Under 30",Table1[[#This Row],[Age]]&lt;=40,"30-40",Table1[[#This Row],[Age]]&lt;50,"41-50",TRUE,"50+")</f>
        <v>41-50</v>
      </c>
    </row>
    <row r="395" spans="1:19" x14ac:dyDescent="0.35">
      <c r="A395" t="s">
        <v>851</v>
      </c>
      <c r="B395" t="s">
        <v>852</v>
      </c>
      <c r="C395" t="s">
        <v>330</v>
      </c>
      <c r="D395" t="s">
        <v>17</v>
      </c>
      <c r="E395" t="s">
        <v>26</v>
      </c>
      <c r="F395" t="s">
        <v>27</v>
      </c>
      <c r="G395" t="s">
        <v>28</v>
      </c>
      <c r="H395" s="3">
        <v>40</v>
      </c>
      <c r="I395" s="8">
        <v>39293</v>
      </c>
      <c r="J395" s="4">
        <v>41859</v>
      </c>
      <c r="K395" s="1">
        <v>0</v>
      </c>
      <c r="L395" t="s">
        <v>21</v>
      </c>
      <c r="M395" t="s">
        <v>22</v>
      </c>
      <c r="O395" s="5">
        <f t="shared" si="6"/>
        <v>0</v>
      </c>
      <c r="P395" s="6">
        <f>Table1[[#This Row],[Annual Salary]]+Table1[[#This Row],[Bonus Amount]]</f>
        <v>41859</v>
      </c>
      <c r="Q395" t="str">
        <f>IF(Table1[[#This Row],[Exit Date]]="", "Active","Exited")</f>
        <v>Active</v>
      </c>
      <c r="R395" s="2">
        <f ca="1">IFERROR(DATEDIF(Table1[[#This Row],[Hire Date]],IF(Table1[[#This Row],[Exit Date]]="",TODAY(),Table1[[#This Row],[Exit Date]]),"Y"),"")</f>
        <v>18</v>
      </c>
      <c r="S395" t="str" cm="1">
        <f t="array" ref="S395">_xlfn.IFS(Table1[[#This Row],[Age]]&lt;30,"Under 30",Table1[[#This Row],[Age]]&lt;=40,"30-40",Table1[[#This Row],[Age]]&lt;50,"41-50",TRUE,"50+")</f>
        <v>30-40</v>
      </c>
    </row>
    <row r="396" spans="1:19" x14ac:dyDescent="0.35">
      <c r="A396" t="s">
        <v>853</v>
      </c>
      <c r="B396" t="s">
        <v>854</v>
      </c>
      <c r="C396" t="s">
        <v>119</v>
      </c>
      <c r="D396" t="s">
        <v>17</v>
      </c>
      <c r="E396" t="s">
        <v>26</v>
      </c>
      <c r="F396" t="s">
        <v>27</v>
      </c>
      <c r="G396" t="s">
        <v>20</v>
      </c>
      <c r="H396" s="3">
        <v>42</v>
      </c>
      <c r="I396" s="8">
        <v>38984</v>
      </c>
      <c r="J396" s="4">
        <v>52733</v>
      </c>
      <c r="K396" s="1">
        <v>0</v>
      </c>
      <c r="L396" t="s">
        <v>21</v>
      </c>
      <c r="M396" t="s">
        <v>37</v>
      </c>
      <c r="O396" s="5">
        <f t="shared" si="6"/>
        <v>0</v>
      </c>
      <c r="P396" s="6">
        <f>Table1[[#This Row],[Annual Salary]]+Table1[[#This Row],[Bonus Amount]]</f>
        <v>52733</v>
      </c>
      <c r="Q396" t="str">
        <f>IF(Table1[[#This Row],[Exit Date]]="", "Active","Exited")</f>
        <v>Active</v>
      </c>
      <c r="R396" s="2">
        <f ca="1">IFERROR(DATEDIF(Table1[[#This Row],[Hire Date]],IF(Table1[[#This Row],[Exit Date]]="",TODAY(),Table1[[#This Row],[Exit Date]]),"Y"),"")</f>
        <v>19</v>
      </c>
      <c r="S396" t="str" cm="1">
        <f t="array" ref="S396">_xlfn.IFS(Table1[[#This Row],[Age]]&lt;30,"Under 30",Table1[[#This Row],[Age]]&lt;=40,"30-40",Table1[[#This Row],[Age]]&lt;50,"41-50",TRUE,"50+")</f>
        <v>41-50</v>
      </c>
    </row>
    <row r="397" spans="1:19" x14ac:dyDescent="0.35">
      <c r="A397" t="s">
        <v>855</v>
      </c>
      <c r="B397" t="s">
        <v>856</v>
      </c>
      <c r="C397" t="s">
        <v>79</v>
      </c>
      <c r="D397" t="s">
        <v>65</v>
      </c>
      <c r="E397" t="s">
        <v>49</v>
      </c>
      <c r="F397" t="s">
        <v>27</v>
      </c>
      <c r="G397" t="s">
        <v>28</v>
      </c>
      <c r="H397" s="3">
        <v>31</v>
      </c>
      <c r="I397" s="8">
        <v>42250</v>
      </c>
      <c r="J397" s="4">
        <v>250953</v>
      </c>
      <c r="K397" s="1">
        <v>0.34</v>
      </c>
      <c r="L397" t="s">
        <v>21</v>
      </c>
      <c r="M397" t="s">
        <v>88</v>
      </c>
      <c r="O397" s="5">
        <f t="shared" si="6"/>
        <v>85324.02</v>
      </c>
      <c r="P397" s="6">
        <f>Table1[[#This Row],[Annual Salary]]+Table1[[#This Row],[Bonus Amount]]</f>
        <v>336277.02</v>
      </c>
      <c r="Q397" t="str">
        <f>IF(Table1[[#This Row],[Exit Date]]="", "Active","Exited")</f>
        <v>Active</v>
      </c>
      <c r="R397" s="2">
        <f ca="1">IFERROR(DATEDIF(Table1[[#This Row],[Hire Date]],IF(Table1[[#This Row],[Exit Date]]="",TODAY(),Table1[[#This Row],[Exit Date]]),"Y"),"")</f>
        <v>10</v>
      </c>
      <c r="S397" t="str" cm="1">
        <f t="array" ref="S397">_xlfn.IFS(Table1[[#This Row],[Age]]&lt;30,"Under 30",Table1[[#This Row],[Age]]&lt;=40,"30-40",Table1[[#This Row],[Age]]&lt;50,"41-50",TRUE,"50+")</f>
        <v>30-40</v>
      </c>
    </row>
    <row r="398" spans="1:19" x14ac:dyDescent="0.35">
      <c r="A398" t="s">
        <v>857</v>
      </c>
      <c r="B398" t="s">
        <v>858</v>
      </c>
      <c r="C398" t="s">
        <v>33</v>
      </c>
      <c r="D398" t="s">
        <v>80</v>
      </c>
      <c r="E398" t="s">
        <v>18</v>
      </c>
      <c r="F398" t="s">
        <v>27</v>
      </c>
      <c r="G398" t="s">
        <v>28</v>
      </c>
      <c r="H398" s="3">
        <v>49</v>
      </c>
      <c r="I398" s="8">
        <v>36210</v>
      </c>
      <c r="J398" s="4">
        <v>191807</v>
      </c>
      <c r="K398" s="1">
        <v>0.21</v>
      </c>
      <c r="L398" t="s">
        <v>29</v>
      </c>
      <c r="M398" t="s">
        <v>30</v>
      </c>
      <c r="O398" s="5">
        <f t="shared" si="6"/>
        <v>40279.47</v>
      </c>
      <c r="P398" s="6">
        <f>Table1[[#This Row],[Annual Salary]]+Table1[[#This Row],[Bonus Amount]]</f>
        <v>232086.47</v>
      </c>
      <c r="Q398" t="str">
        <f>IF(Table1[[#This Row],[Exit Date]]="", "Active","Exited")</f>
        <v>Active</v>
      </c>
      <c r="R398" s="2">
        <f ca="1">IFERROR(DATEDIF(Table1[[#This Row],[Hire Date]],IF(Table1[[#This Row],[Exit Date]]="",TODAY(),Table1[[#This Row],[Exit Date]]),"Y"),"")</f>
        <v>27</v>
      </c>
      <c r="S398" t="str" cm="1">
        <f t="array" ref="S398">_xlfn.IFS(Table1[[#This Row],[Age]]&lt;30,"Under 30",Table1[[#This Row],[Age]]&lt;=40,"30-40",Table1[[#This Row],[Age]]&lt;50,"41-50",TRUE,"50+")</f>
        <v>41-50</v>
      </c>
    </row>
    <row r="399" spans="1:19" x14ac:dyDescent="0.35">
      <c r="A399" t="s">
        <v>859</v>
      </c>
      <c r="B399" t="s">
        <v>860</v>
      </c>
      <c r="C399" t="s">
        <v>25</v>
      </c>
      <c r="D399" t="s">
        <v>17</v>
      </c>
      <c r="E399" t="s">
        <v>35</v>
      </c>
      <c r="F399" t="s">
        <v>27</v>
      </c>
      <c r="G399" t="s">
        <v>28</v>
      </c>
      <c r="H399" s="3">
        <v>42</v>
      </c>
      <c r="I399" s="8">
        <v>41813</v>
      </c>
      <c r="J399" s="4">
        <v>64677</v>
      </c>
      <c r="K399" s="1">
        <v>0</v>
      </c>
      <c r="L399" t="s">
        <v>29</v>
      </c>
      <c r="M399" t="s">
        <v>30</v>
      </c>
      <c r="O399" s="5">
        <f t="shared" si="6"/>
        <v>0</v>
      </c>
      <c r="P399" s="6">
        <f>Table1[[#This Row],[Annual Salary]]+Table1[[#This Row],[Bonus Amount]]</f>
        <v>64677</v>
      </c>
      <c r="Q399" t="str">
        <f>IF(Table1[[#This Row],[Exit Date]]="", "Active","Exited")</f>
        <v>Active</v>
      </c>
      <c r="R399" s="2">
        <f ca="1">IFERROR(DATEDIF(Table1[[#This Row],[Hire Date]],IF(Table1[[#This Row],[Exit Date]]="",TODAY(),Table1[[#This Row],[Exit Date]]),"Y"),"")</f>
        <v>11</v>
      </c>
      <c r="S399" t="str" cm="1">
        <f t="array" ref="S399">_xlfn.IFS(Table1[[#This Row],[Age]]&lt;30,"Under 30",Table1[[#This Row],[Age]]&lt;=40,"30-40",Table1[[#This Row],[Age]]&lt;50,"41-50",TRUE,"50+")</f>
        <v>41-50</v>
      </c>
    </row>
    <row r="400" spans="1:19" x14ac:dyDescent="0.35">
      <c r="A400" t="s">
        <v>409</v>
      </c>
      <c r="B400" t="s">
        <v>861</v>
      </c>
      <c r="C400" t="s">
        <v>16</v>
      </c>
      <c r="D400" t="s">
        <v>17</v>
      </c>
      <c r="E400" t="s">
        <v>49</v>
      </c>
      <c r="F400" t="s">
        <v>27</v>
      </c>
      <c r="G400" t="s">
        <v>36</v>
      </c>
      <c r="H400" s="3">
        <v>46</v>
      </c>
      <c r="I400" s="8">
        <v>38244</v>
      </c>
      <c r="J400" s="4">
        <v>130274</v>
      </c>
      <c r="K400" s="1">
        <v>0.11</v>
      </c>
      <c r="L400" t="s">
        <v>21</v>
      </c>
      <c r="M400" t="s">
        <v>37</v>
      </c>
      <c r="O400" s="5">
        <f t="shared" si="6"/>
        <v>14330.14</v>
      </c>
      <c r="P400" s="6">
        <f>Table1[[#This Row],[Annual Salary]]+Table1[[#This Row],[Bonus Amount]]</f>
        <v>144604.14000000001</v>
      </c>
      <c r="Q400" t="str">
        <f>IF(Table1[[#This Row],[Exit Date]]="", "Active","Exited")</f>
        <v>Active</v>
      </c>
      <c r="R400" s="2">
        <f ca="1">IFERROR(DATEDIF(Table1[[#This Row],[Hire Date]],IF(Table1[[#This Row],[Exit Date]]="",TODAY(),Table1[[#This Row],[Exit Date]]),"Y"),"")</f>
        <v>21</v>
      </c>
      <c r="S400" t="str" cm="1">
        <f t="array" ref="S400">_xlfn.IFS(Table1[[#This Row],[Age]]&lt;30,"Under 30",Table1[[#This Row],[Age]]&lt;=40,"30-40",Table1[[#This Row],[Age]]&lt;50,"41-50",TRUE,"50+")</f>
        <v>41-50</v>
      </c>
    </row>
    <row r="401" spans="1:19" x14ac:dyDescent="0.35">
      <c r="A401" t="s">
        <v>862</v>
      </c>
      <c r="B401" t="s">
        <v>863</v>
      </c>
      <c r="C401" t="s">
        <v>248</v>
      </c>
      <c r="D401" t="s">
        <v>17</v>
      </c>
      <c r="E401" t="s">
        <v>18</v>
      </c>
      <c r="F401" t="s">
        <v>27</v>
      </c>
      <c r="G401" t="s">
        <v>28</v>
      </c>
      <c r="H401" s="3">
        <v>37</v>
      </c>
      <c r="I401" s="8">
        <v>42922</v>
      </c>
      <c r="J401" s="4">
        <v>96331</v>
      </c>
      <c r="K401" s="1">
        <v>0</v>
      </c>
      <c r="L401" t="s">
        <v>29</v>
      </c>
      <c r="M401" t="s">
        <v>74</v>
      </c>
      <c r="O401" s="5">
        <f t="shared" si="6"/>
        <v>0</v>
      </c>
      <c r="P401" s="6">
        <f>Table1[[#This Row],[Annual Salary]]+Table1[[#This Row],[Bonus Amount]]</f>
        <v>96331</v>
      </c>
      <c r="Q401" t="str">
        <f>IF(Table1[[#This Row],[Exit Date]]="", "Active","Exited")</f>
        <v>Active</v>
      </c>
      <c r="R401" s="2">
        <f ca="1">IFERROR(DATEDIF(Table1[[#This Row],[Hire Date]],IF(Table1[[#This Row],[Exit Date]]="",TODAY(),Table1[[#This Row],[Exit Date]]),"Y"),"")</f>
        <v>8</v>
      </c>
      <c r="S401" t="str" cm="1">
        <f t="array" ref="S401">_xlfn.IFS(Table1[[#This Row],[Age]]&lt;30,"Under 30",Table1[[#This Row],[Age]]&lt;=40,"30-40",Table1[[#This Row],[Age]]&lt;50,"41-50",TRUE,"50+")</f>
        <v>30-40</v>
      </c>
    </row>
    <row r="402" spans="1:19" x14ac:dyDescent="0.35">
      <c r="A402" t="s">
        <v>864</v>
      </c>
      <c r="B402" t="s">
        <v>865</v>
      </c>
      <c r="C402" t="s">
        <v>16</v>
      </c>
      <c r="D402" t="s">
        <v>34</v>
      </c>
      <c r="E402" t="s">
        <v>18</v>
      </c>
      <c r="F402" t="s">
        <v>19</v>
      </c>
      <c r="G402" t="s">
        <v>36</v>
      </c>
      <c r="H402" s="3">
        <v>51</v>
      </c>
      <c r="I402" s="8">
        <v>38835</v>
      </c>
      <c r="J402" s="4">
        <v>150758</v>
      </c>
      <c r="K402" s="1">
        <v>0.13</v>
      </c>
      <c r="L402" t="s">
        <v>21</v>
      </c>
      <c r="M402" t="s">
        <v>37</v>
      </c>
      <c r="N402" s="7">
        <v>39310</v>
      </c>
      <c r="O402" s="5">
        <f t="shared" si="6"/>
        <v>19598.54</v>
      </c>
      <c r="P402" s="6">
        <f>Table1[[#This Row],[Annual Salary]]+Table1[[#This Row],[Bonus Amount]]</f>
        <v>170356.54</v>
      </c>
      <c r="Q402" t="str">
        <f>IF(Table1[[#This Row],[Exit Date]]="", "Active","Exited")</f>
        <v>Exited</v>
      </c>
      <c r="R402" s="2">
        <f ca="1">IFERROR(DATEDIF(Table1[[#This Row],[Hire Date]],IF(Table1[[#This Row],[Exit Date]]="",TODAY(),Table1[[#This Row],[Exit Date]]),"Y"),"")</f>
        <v>1</v>
      </c>
      <c r="S402" t="str" cm="1">
        <f t="array" ref="S402">_xlfn.IFS(Table1[[#This Row],[Age]]&lt;30,"Under 30",Table1[[#This Row],[Age]]&lt;=40,"30-40",Table1[[#This Row],[Age]]&lt;50,"41-50",TRUE,"50+")</f>
        <v>50+</v>
      </c>
    </row>
    <row r="403" spans="1:19" x14ac:dyDescent="0.35">
      <c r="A403" t="s">
        <v>866</v>
      </c>
      <c r="B403" t="s">
        <v>867</v>
      </c>
      <c r="C403" t="s">
        <v>33</v>
      </c>
      <c r="D403" t="s">
        <v>69</v>
      </c>
      <c r="E403" t="s">
        <v>49</v>
      </c>
      <c r="F403" t="s">
        <v>27</v>
      </c>
      <c r="G403" t="s">
        <v>85</v>
      </c>
      <c r="H403" s="3">
        <v>46</v>
      </c>
      <c r="I403" s="8">
        <v>41839</v>
      </c>
      <c r="J403" s="4">
        <v>173629</v>
      </c>
      <c r="K403" s="1">
        <v>0.21</v>
      </c>
      <c r="L403" t="s">
        <v>93</v>
      </c>
      <c r="M403" t="s">
        <v>218</v>
      </c>
      <c r="O403" s="5">
        <f t="shared" si="6"/>
        <v>36462.089999999997</v>
      </c>
      <c r="P403" s="6">
        <f>Table1[[#This Row],[Annual Salary]]+Table1[[#This Row],[Bonus Amount]]</f>
        <v>210091.09</v>
      </c>
      <c r="Q403" t="str">
        <f>IF(Table1[[#This Row],[Exit Date]]="", "Active","Exited")</f>
        <v>Active</v>
      </c>
      <c r="R403" s="2">
        <f ca="1">IFERROR(DATEDIF(Table1[[#This Row],[Hire Date]],IF(Table1[[#This Row],[Exit Date]]="",TODAY(),Table1[[#This Row],[Exit Date]]),"Y"),"")</f>
        <v>11</v>
      </c>
      <c r="S403" t="str" cm="1">
        <f t="array" ref="S403">_xlfn.IFS(Table1[[#This Row],[Age]]&lt;30,"Under 30",Table1[[#This Row],[Age]]&lt;=40,"30-40",Table1[[#This Row],[Age]]&lt;50,"41-50",TRUE,"50+")</f>
        <v>41-50</v>
      </c>
    </row>
    <row r="404" spans="1:19" x14ac:dyDescent="0.35">
      <c r="A404" t="s">
        <v>868</v>
      </c>
      <c r="B404" t="s">
        <v>869</v>
      </c>
      <c r="C404" t="s">
        <v>372</v>
      </c>
      <c r="D404" t="s">
        <v>17</v>
      </c>
      <c r="E404" t="s">
        <v>49</v>
      </c>
      <c r="F404" t="s">
        <v>27</v>
      </c>
      <c r="G404" t="s">
        <v>20</v>
      </c>
      <c r="H404" s="3">
        <v>55</v>
      </c>
      <c r="I404" s="8">
        <v>35919</v>
      </c>
      <c r="J404" s="4">
        <v>62174</v>
      </c>
      <c r="K404" s="1">
        <v>0</v>
      </c>
      <c r="L404" t="s">
        <v>21</v>
      </c>
      <c r="M404" t="s">
        <v>37</v>
      </c>
      <c r="O404" s="5">
        <f t="shared" si="6"/>
        <v>0</v>
      </c>
      <c r="P404" s="6">
        <f>Table1[[#This Row],[Annual Salary]]+Table1[[#This Row],[Bonus Amount]]</f>
        <v>62174</v>
      </c>
      <c r="Q404" t="str">
        <f>IF(Table1[[#This Row],[Exit Date]]="", "Active","Exited")</f>
        <v>Active</v>
      </c>
      <c r="R404" s="2">
        <f ca="1">IFERROR(DATEDIF(Table1[[#This Row],[Hire Date]],IF(Table1[[#This Row],[Exit Date]]="",TODAY(),Table1[[#This Row],[Exit Date]]),"Y"),"")</f>
        <v>27</v>
      </c>
      <c r="S404" t="str" cm="1">
        <f t="array" ref="S404">_xlfn.IFS(Table1[[#This Row],[Age]]&lt;30,"Under 30",Table1[[#This Row],[Age]]&lt;=40,"30-40",Table1[[#This Row],[Age]]&lt;50,"41-50",TRUE,"50+")</f>
        <v>50+</v>
      </c>
    </row>
    <row r="405" spans="1:19" x14ac:dyDescent="0.35">
      <c r="A405" t="s">
        <v>870</v>
      </c>
      <c r="B405" t="s">
        <v>871</v>
      </c>
      <c r="C405" t="s">
        <v>124</v>
      </c>
      <c r="D405" t="s">
        <v>59</v>
      </c>
      <c r="E405" t="s">
        <v>26</v>
      </c>
      <c r="F405" t="s">
        <v>27</v>
      </c>
      <c r="G405" t="s">
        <v>36</v>
      </c>
      <c r="H405" s="3">
        <v>43</v>
      </c>
      <c r="I405" s="8">
        <v>43028</v>
      </c>
      <c r="J405" s="4">
        <v>56555</v>
      </c>
      <c r="K405" s="1">
        <v>0</v>
      </c>
      <c r="L405" t="s">
        <v>21</v>
      </c>
      <c r="M405" t="s">
        <v>44</v>
      </c>
      <c r="O405" s="5">
        <f t="shared" si="6"/>
        <v>0</v>
      </c>
      <c r="P405" s="6">
        <f>Table1[[#This Row],[Annual Salary]]+Table1[[#This Row],[Bonus Amount]]</f>
        <v>56555</v>
      </c>
      <c r="Q405" t="str">
        <f>IF(Table1[[#This Row],[Exit Date]]="", "Active","Exited")</f>
        <v>Active</v>
      </c>
      <c r="R405" s="2">
        <f ca="1">IFERROR(DATEDIF(Table1[[#This Row],[Hire Date]],IF(Table1[[#This Row],[Exit Date]]="",TODAY(),Table1[[#This Row],[Exit Date]]),"Y"),"")</f>
        <v>8</v>
      </c>
      <c r="S405" t="str" cm="1">
        <f t="array" ref="S405">_xlfn.IFS(Table1[[#This Row],[Age]]&lt;30,"Under 30",Table1[[#This Row],[Age]]&lt;=40,"30-40",Table1[[#This Row],[Age]]&lt;50,"41-50",TRUE,"50+")</f>
        <v>41-50</v>
      </c>
    </row>
    <row r="406" spans="1:19" x14ac:dyDescent="0.35">
      <c r="A406" t="s">
        <v>872</v>
      </c>
      <c r="B406" t="s">
        <v>873</v>
      </c>
      <c r="C406" t="s">
        <v>124</v>
      </c>
      <c r="D406" t="s">
        <v>80</v>
      </c>
      <c r="E406" t="s">
        <v>26</v>
      </c>
      <c r="F406" t="s">
        <v>27</v>
      </c>
      <c r="G406" t="s">
        <v>36</v>
      </c>
      <c r="H406" s="3">
        <v>48</v>
      </c>
      <c r="I406" s="8">
        <v>38623</v>
      </c>
      <c r="J406" s="4">
        <v>74655</v>
      </c>
      <c r="K406" s="1">
        <v>0</v>
      </c>
      <c r="L406" t="s">
        <v>21</v>
      </c>
      <c r="M406" t="s">
        <v>60</v>
      </c>
      <c r="O406" s="5">
        <f t="shared" si="6"/>
        <v>0</v>
      </c>
      <c r="P406" s="6">
        <f>Table1[[#This Row],[Annual Salary]]+Table1[[#This Row],[Bonus Amount]]</f>
        <v>74655</v>
      </c>
      <c r="Q406" t="str">
        <f>IF(Table1[[#This Row],[Exit Date]]="", "Active","Exited")</f>
        <v>Active</v>
      </c>
      <c r="R406" s="2">
        <f ca="1">IFERROR(DATEDIF(Table1[[#This Row],[Hire Date]],IF(Table1[[#This Row],[Exit Date]]="",TODAY(),Table1[[#This Row],[Exit Date]]),"Y"),"")</f>
        <v>20</v>
      </c>
      <c r="S406" t="str" cm="1">
        <f t="array" ref="S406">_xlfn.IFS(Table1[[#This Row],[Age]]&lt;30,"Under 30",Table1[[#This Row],[Age]]&lt;=40,"30-40",Table1[[#This Row],[Age]]&lt;50,"41-50",TRUE,"50+")</f>
        <v>41-50</v>
      </c>
    </row>
    <row r="407" spans="1:19" x14ac:dyDescent="0.35">
      <c r="A407" t="s">
        <v>874</v>
      </c>
      <c r="B407" t="s">
        <v>875</v>
      </c>
      <c r="C407" t="s">
        <v>299</v>
      </c>
      <c r="D407" t="s">
        <v>17</v>
      </c>
      <c r="E407" t="s">
        <v>49</v>
      </c>
      <c r="F407" t="s">
        <v>27</v>
      </c>
      <c r="G407" t="s">
        <v>36</v>
      </c>
      <c r="H407" s="3">
        <v>48</v>
      </c>
      <c r="I407" s="8">
        <v>37844</v>
      </c>
      <c r="J407" s="4">
        <v>93017</v>
      </c>
      <c r="K407" s="1">
        <v>0</v>
      </c>
      <c r="L407" t="s">
        <v>21</v>
      </c>
      <c r="M407" t="s">
        <v>22</v>
      </c>
      <c r="O407" s="5">
        <f t="shared" si="6"/>
        <v>0</v>
      </c>
      <c r="P407" s="6">
        <f>Table1[[#This Row],[Annual Salary]]+Table1[[#This Row],[Bonus Amount]]</f>
        <v>93017</v>
      </c>
      <c r="Q407" t="str">
        <f>IF(Table1[[#This Row],[Exit Date]]="", "Active","Exited")</f>
        <v>Active</v>
      </c>
      <c r="R407" s="2">
        <f ca="1">IFERROR(DATEDIF(Table1[[#This Row],[Hire Date]],IF(Table1[[#This Row],[Exit Date]]="",TODAY(),Table1[[#This Row],[Exit Date]]),"Y"),"")</f>
        <v>22</v>
      </c>
      <c r="S407" t="str" cm="1">
        <f t="array" ref="S407">_xlfn.IFS(Table1[[#This Row],[Age]]&lt;30,"Under 30",Table1[[#This Row],[Age]]&lt;=40,"30-40",Table1[[#This Row],[Age]]&lt;50,"41-50",TRUE,"50+")</f>
        <v>41-50</v>
      </c>
    </row>
    <row r="408" spans="1:19" x14ac:dyDescent="0.35">
      <c r="A408" t="s">
        <v>876</v>
      </c>
      <c r="B408" t="s">
        <v>877</v>
      </c>
      <c r="C408" t="s">
        <v>43</v>
      </c>
      <c r="D408" t="s">
        <v>80</v>
      </c>
      <c r="E408" t="s">
        <v>26</v>
      </c>
      <c r="F408" t="s">
        <v>27</v>
      </c>
      <c r="G408" t="s">
        <v>28</v>
      </c>
      <c r="H408" s="3">
        <v>51</v>
      </c>
      <c r="I408" s="8">
        <v>41013</v>
      </c>
      <c r="J408" s="4">
        <v>82300</v>
      </c>
      <c r="K408" s="1">
        <v>0</v>
      </c>
      <c r="L408" t="s">
        <v>29</v>
      </c>
      <c r="M408" t="s">
        <v>134</v>
      </c>
      <c r="O408" s="5">
        <f t="shared" si="6"/>
        <v>0</v>
      </c>
      <c r="P408" s="6">
        <f>Table1[[#This Row],[Annual Salary]]+Table1[[#This Row],[Bonus Amount]]</f>
        <v>82300</v>
      </c>
      <c r="Q408" t="str">
        <f>IF(Table1[[#This Row],[Exit Date]]="", "Active","Exited")</f>
        <v>Active</v>
      </c>
      <c r="R408" s="2">
        <f ca="1">IFERROR(DATEDIF(Table1[[#This Row],[Hire Date]],IF(Table1[[#This Row],[Exit Date]]="",TODAY(),Table1[[#This Row],[Exit Date]]),"Y"),"")</f>
        <v>13</v>
      </c>
      <c r="S408" t="str" cm="1">
        <f t="array" ref="S408">_xlfn.IFS(Table1[[#This Row],[Age]]&lt;30,"Under 30",Table1[[#This Row],[Age]]&lt;=40,"30-40",Table1[[#This Row],[Age]]&lt;50,"41-50",TRUE,"50+")</f>
        <v>50+</v>
      </c>
    </row>
    <row r="409" spans="1:19" x14ac:dyDescent="0.35">
      <c r="A409" t="s">
        <v>878</v>
      </c>
      <c r="B409" t="s">
        <v>879</v>
      </c>
      <c r="C409" t="s">
        <v>178</v>
      </c>
      <c r="D409" t="s">
        <v>69</v>
      </c>
      <c r="E409" t="s">
        <v>18</v>
      </c>
      <c r="F409" t="s">
        <v>19</v>
      </c>
      <c r="G409" t="s">
        <v>36</v>
      </c>
      <c r="H409" s="3">
        <v>46</v>
      </c>
      <c r="I409" s="8">
        <v>39471</v>
      </c>
      <c r="J409" s="4">
        <v>91621</v>
      </c>
      <c r="K409" s="1">
        <v>0</v>
      </c>
      <c r="L409" t="s">
        <v>21</v>
      </c>
      <c r="M409" t="s">
        <v>37</v>
      </c>
      <c r="O409" s="5">
        <f t="shared" si="6"/>
        <v>0</v>
      </c>
      <c r="P409" s="6">
        <f>Table1[[#This Row],[Annual Salary]]+Table1[[#This Row],[Bonus Amount]]</f>
        <v>91621</v>
      </c>
      <c r="Q409" t="str">
        <f>IF(Table1[[#This Row],[Exit Date]]="", "Active","Exited")</f>
        <v>Active</v>
      </c>
      <c r="R409" s="2">
        <f ca="1">IFERROR(DATEDIF(Table1[[#This Row],[Hire Date]],IF(Table1[[#This Row],[Exit Date]]="",TODAY(),Table1[[#This Row],[Exit Date]]),"Y"),"")</f>
        <v>18</v>
      </c>
      <c r="S409" t="str" cm="1">
        <f t="array" ref="S409">_xlfn.IFS(Table1[[#This Row],[Age]]&lt;30,"Under 30",Table1[[#This Row],[Age]]&lt;=40,"30-40",Table1[[#This Row],[Age]]&lt;50,"41-50",TRUE,"50+")</f>
        <v>41-50</v>
      </c>
    </row>
    <row r="410" spans="1:19" x14ac:dyDescent="0.35">
      <c r="A410" t="s">
        <v>880</v>
      </c>
      <c r="B410" t="s">
        <v>881</v>
      </c>
      <c r="C410" t="s">
        <v>43</v>
      </c>
      <c r="D410" t="s">
        <v>80</v>
      </c>
      <c r="E410" t="s">
        <v>18</v>
      </c>
      <c r="F410" t="s">
        <v>27</v>
      </c>
      <c r="G410" t="s">
        <v>85</v>
      </c>
      <c r="H410" s="3">
        <v>33</v>
      </c>
      <c r="I410" s="8">
        <v>41973</v>
      </c>
      <c r="J410" s="4">
        <v>91280</v>
      </c>
      <c r="K410" s="1">
        <v>0</v>
      </c>
      <c r="L410" t="s">
        <v>21</v>
      </c>
      <c r="M410" t="s">
        <v>56</v>
      </c>
      <c r="O410" s="5">
        <f t="shared" si="6"/>
        <v>0</v>
      </c>
      <c r="P410" s="6">
        <f>Table1[[#This Row],[Annual Salary]]+Table1[[#This Row],[Bonus Amount]]</f>
        <v>91280</v>
      </c>
      <c r="Q410" t="str">
        <f>IF(Table1[[#This Row],[Exit Date]]="", "Active","Exited")</f>
        <v>Active</v>
      </c>
      <c r="R410" s="2">
        <f ca="1">IFERROR(DATEDIF(Table1[[#This Row],[Hire Date]],IF(Table1[[#This Row],[Exit Date]]="",TODAY(),Table1[[#This Row],[Exit Date]]),"Y"),"")</f>
        <v>11</v>
      </c>
      <c r="S410" t="str" cm="1">
        <f t="array" ref="S410">_xlfn.IFS(Table1[[#This Row],[Age]]&lt;30,"Under 30",Table1[[#This Row],[Age]]&lt;=40,"30-40",Table1[[#This Row],[Age]]&lt;50,"41-50",TRUE,"50+")</f>
        <v>30-40</v>
      </c>
    </row>
    <row r="411" spans="1:19" x14ac:dyDescent="0.35">
      <c r="A411" t="s">
        <v>882</v>
      </c>
      <c r="B411" t="s">
        <v>883</v>
      </c>
      <c r="C411" t="s">
        <v>184</v>
      </c>
      <c r="D411" t="s">
        <v>65</v>
      </c>
      <c r="E411" t="s">
        <v>26</v>
      </c>
      <c r="F411" t="s">
        <v>19</v>
      </c>
      <c r="G411" t="s">
        <v>20</v>
      </c>
      <c r="H411" s="3">
        <v>42</v>
      </c>
      <c r="I411" s="8">
        <v>44092</v>
      </c>
      <c r="J411" s="4">
        <v>47071</v>
      </c>
      <c r="K411" s="1">
        <v>0</v>
      </c>
      <c r="L411" t="s">
        <v>21</v>
      </c>
      <c r="M411" t="s">
        <v>88</v>
      </c>
      <c r="O411" s="5">
        <f t="shared" si="6"/>
        <v>0</v>
      </c>
      <c r="P411" s="6">
        <f>Table1[[#This Row],[Annual Salary]]+Table1[[#This Row],[Bonus Amount]]</f>
        <v>47071</v>
      </c>
      <c r="Q411" t="str">
        <f>IF(Table1[[#This Row],[Exit Date]]="", "Active","Exited")</f>
        <v>Active</v>
      </c>
      <c r="R411" s="2">
        <f ca="1">IFERROR(DATEDIF(Table1[[#This Row],[Hire Date]],IF(Table1[[#This Row],[Exit Date]]="",TODAY(),Table1[[#This Row],[Exit Date]]),"Y"),"")</f>
        <v>5</v>
      </c>
      <c r="S411" t="str" cm="1">
        <f t="array" ref="S411">_xlfn.IFS(Table1[[#This Row],[Age]]&lt;30,"Under 30",Table1[[#This Row],[Age]]&lt;=40,"30-40",Table1[[#This Row],[Age]]&lt;50,"41-50",TRUE,"50+")</f>
        <v>41-50</v>
      </c>
    </row>
    <row r="412" spans="1:19" x14ac:dyDescent="0.35">
      <c r="A412" t="s">
        <v>884</v>
      </c>
      <c r="B412" t="s">
        <v>885</v>
      </c>
      <c r="C412" t="s">
        <v>442</v>
      </c>
      <c r="D412" t="s">
        <v>17</v>
      </c>
      <c r="E412" t="s">
        <v>26</v>
      </c>
      <c r="F412" t="s">
        <v>19</v>
      </c>
      <c r="G412" t="s">
        <v>36</v>
      </c>
      <c r="H412" s="3">
        <v>55</v>
      </c>
      <c r="I412" s="8">
        <v>40868</v>
      </c>
      <c r="J412" s="4">
        <v>81218</v>
      </c>
      <c r="K412" s="1">
        <v>0</v>
      </c>
      <c r="L412" t="s">
        <v>21</v>
      </c>
      <c r="M412" t="s">
        <v>37</v>
      </c>
      <c r="O412" s="5">
        <f t="shared" si="6"/>
        <v>0</v>
      </c>
      <c r="P412" s="6">
        <f>Table1[[#This Row],[Annual Salary]]+Table1[[#This Row],[Bonus Amount]]</f>
        <v>81218</v>
      </c>
      <c r="Q412" t="str">
        <f>IF(Table1[[#This Row],[Exit Date]]="", "Active","Exited")</f>
        <v>Active</v>
      </c>
      <c r="R412" s="2">
        <f ca="1">IFERROR(DATEDIF(Table1[[#This Row],[Hire Date]],IF(Table1[[#This Row],[Exit Date]]="",TODAY(),Table1[[#This Row],[Exit Date]]),"Y"),"")</f>
        <v>14</v>
      </c>
      <c r="S412" t="str" cm="1">
        <f t="array" ref="S412">_xlfn.IFS(Table1[[#This Row],[Age]]&lt;30,"Under 30",Table1[[#This Row],[Age]]&lt;=40,"30-40",Table1[[#This Row],[Age]]&lt;50,"41-50",TRUE,"50+")</f>
        <v>50+</v>
      </c>
    </row>
    <row r="413" spans="1:19" x14ac:dyDescent="0.35">
      <c r="A413" t="s">
        <v>886</v>
      </c>
      <c r="B413" t="s">
        <v>887</v>
      </c>
      <c r="C413" t="s">
        <v>79</v>
      </c>
      <c r="D413" t="s">
        <v>69</v>
      </c>
      <c r="E413" t="s">
        <v>26</v>
      </c>
      <c r="F413" t="s">
        <v>19</v>
      </c>
      <c r="G413" t="s">
        <v>28</v>
      </c>
      <c r="H413" s="3">
        <v>50</v>
      </c>
      <c r="I413" s="8">
        <v>39734</v>
      </c>
      <c r="J413" s="4">
        <v>181801</v>
      </c>
      <c r="K413" s="1">
        <v>0.4</v>
      </c>
      <c r="L413" t="s">
        <v>29</v>
      </c>
      <c r="M413" t="s">
        <v>30</v>
      </c>
      <c r="N413" s="7">
        <v>43810</v>
      </c>
      <c r="O413" s="5">
        <f t="shared" si="6"/>
        <v>72720.400000000009</v>
      </c>
      <c r="P413" s="6">
        <f>Table1[[#This Row],[Annual Salary]]+Table1[[#This Row],[Bonus Amount]]</f>
        <v>254521.40000000002</v>
      </c>
      <c r="Q413" t="str">
        <f>IF(Table1[[#This Row],[Exit Date]]="", "Active","Exited")</f>
        <v>Exited</v>
      </c>
      <c r="R413" s="2">
        <f ca="1">IFERROR(DATEDIF(Table1[[#This Row],[Hire Date]],IF(Table1[[#This Row],[Exit Date]]="",TODAY(),Table1[[#This Row],[Exit Date]]),"Y"),"")</f>
        <v>11</v>
      </c>
      <c r="S413" t="str" cm="1">
        <f t="array" ref="S413">_xlfn.IFS(Table1[[#This Row],[Age]]&lt;30,"Under 30",Table1[[#This Row],[Age]]&lt;=40,"30-40",Table1[[#This Row],[Age]]&lt;50,"41-50",TRUE,"50+")</f>
        <v>50+</v>
      </c>
    </row>
    <row r="414" spans="1:19" x14ac:dyDescent="0.35">
      <c r="A414" t="s">
        <v>888</v>
      </c>
      <c r="B414" t="s">
        <v>889</v>
      </c>
      <c r="C414" t="s">
        <v>47</v>
      </c>
      <c r="D414" t="s">
        <v>48</v>
      </c>
      <c r="E414" t="s">
        <v>26</v>
      </c>
      <c r="F414" t="s">
        <v>19</v>
      </c>
      <c r="G414" t="s">
        <v>36</v>
      </c>
      <c r="H414" s="3">
        <v>26</v>
      </c>
      <c r="I414" s="8">
        <v>44521</v>
      </c>
      <c r="J414" s="4">
        <v>63137</v>
      </c>
      <c r="K414" s="1">
        <v>0</v>
      </c>
      <c r="L414" t="s">
        <v>21</v>
      </c>
      <c r="M414" t="s">
        <v>37</v>
      </c>
      <c r="O414" s="5">
        <f t="shared" si="6"/>
        <v>0</v>
      </c>
      <c r="P414" s="6">
        <f>Table1[[#This Row],[Annual Salary]]+Table1[[#This Row],[Bonus Amount]]</f>
        <v>63137</v>
      </c>
      <c r="Q414" t="str">
        <f>IF(Table1[[#This Row],[Exit Date]]="", "Active","Exited")</f>
        <v>Active</v>
      </c>
      <c r="R414" s="2">
        <f ca="1">IFERROR(DATEDIF(Table1[[#This Row],[Hire Date]],IF(Table1[[#This Row],[Exit Date]]="",TODAY(),Table1[[#This Row],[Exit Date]]),"Y"),"")</f>
        <v>4</v>
      </c>
      <c r="S414" t="str" cm="1">
        <f t="array" ref="S414">_xlfn.IFS(Table1[[#This Row],[Age]]&lt;30,"Under 30",Table1[[#This Row],[Age]]&lt;=40,"30-40",Table1[[#This Row],[Age]]&lt;50,"41-50",TRUE,"50+")</f>
        <v>Under 30</v>
      </c>
    </row>
    <row r="415" spans="1:19" x14ac:dyDescent="0.35">
      <c r="A415" t="s">
        <v>890</v>
      </c>
      <c r="B415" t="s">
        <v>891</v>
      </c>
      <c r="C415" t="s">
        <v>79</v>
      </c>
      <c r="D415" t="s">
        <v>69</v>
      </c>
      <c r="E415" t="s">
        <v>26</v>
      </c>
      <c r="F415" t="s">
        <v>19</v>
      </c>
      <c r="G415" t="s">
        <v>28</v>
      </c>
      <c r="H415" s="3">
        <v>55</v>
      </c>
      <c r="I415" s="8">
        <v>43345</v>
      </c>
      <c r="J415" s="4">
        <v>221465</v>
      </c>
      <c r="K415" s="1">
        <v>0.34</v>
      </c>
      <c r="L415" t="s">
        <v>29</v>
      </c>
      <c r="M415" t="s">
        <v>134</v>
      </c>
      <c r="O415" s="5">
        <f t="shared" si="6"/>
        <v>75298.100000000006</v>
      </c>
      <c r="P415" s="6">
        <f>Table1[[#This Row],[Annual Salary]]+Table1[[#This Row],[Bonus Amount]]</f>
        <v>296763.09999999998</v>
      </c>
      <c r="Q415" t="str">
        <f>IF(Table1[[#This Row],[Exit Date]]="", "Active","Exited")</f>
        <v>Active</v>
      </c>
      <c r="R415" s="2">
        <f ca="1">IFERROR(DATEDIF(Table1[[#This Row],[Hire Date]],IF(Table1[[#This Row],[Exit Date]]="",TODAY(),Table1[[#This Row],[Exit Date]]),"Y"),"")</f>
        <v>7</v>
      </c>
      <c r="S415" t="str" cm="1">
        <f t="array" ref="S415">_xlfn.IFS(Table1[[#This Row],[Age]]&lt;30,"Under 30",Table1[[#This Row],[Age]]&lt;=40,"30-40",Table1[[#This Row],[Age]]&lt;50,"41-50",TRUE,"50+")</f>
        <v>50+</v>
      </c>
    </row>
    <row r="416" spans="1:19" x14ac:dyDescent="0.35">
      <c r="A416" t="s">
        <v>892</v>
      </c>
      <c r="B416" t="s">
        <v>893</v>
      </c>
      <c r="C416" t="s">
        <v>108</v>
      </c>
      <c r="D416" t="s">
        <v>69</v>
      </c>
      <c r="E416" t="s">
        <v>18</v>
      </c>
      <c r="F416" t="s">
        <v>19</v>
      </c>
      <c r="G416" t="s">
        <v>28</v>
      </c>
      <c r="H416" s="3">
        <v>50</v>
      </c>
      <c r="I416" s="8">
        <v>41404</v>
      </c>
      <c r="J416" s="4">
        <v>79388</v>
      </c>
      <c r="K416" s="1">
        <v>0</v>
      </c>
      <c r="L416" t="s">
        <v>21</v>
      </c>
      <c r="M416" t="s">
        <v>60</v>
      </c>
      <c r="N416" s="7">
        <v>43681</v>
      </c>
      <c r="O416" s="5">
        <f t="shared" si="6"/>
        <v>0</v>
      </c>
      <c r="P416" s="6">
        <f>Table1[[#This Row],[Annual Salary]]+Table1[[#This Row],[Bonus Amount]]</f>
        <v>79388</v>
      </c>
      <c r="Q416" t="str">
        <f>IF(Table1[[#This Row],[Exit Date]]="", "Active","Exited")</f>
        <v>Exited</v>
      </c>
      <c r="R416" s="2">
        <f ca="1">IFERROR(DATEDIF(Table1[[#This Row],[Hire Date]],IF(Table1[[#This Row],[Exit Date]]="",TODAY(),Table1[[#This Row],[Exit Date]]),"Y"),"")</f>
        <v>6</v>
      </c>
      <c r="S416" t="str" cm="1">
        <f t="array" ref="S416">_xlfn.IFS(Table1[[#This Row],[Age]]&lt;30,"Under 30",Table1[[#This Row],[Age]]&lt;=40,"30-40",Table1[[#This Row],[Age]]&lt;50,"41-50",TRUE,"50+")</f>
        <v>50+</v>
      </c>
    </row>
    <row r="417" spans="1:19" x14ac:dyDescent="0.35">
      <c r="A417" t="s">
        <v>894</v>
      </c>
      <c r="B417" t="s">
        <v>895</v>
      </c>
      <c r="C417" t="s">
        <v>372</v>
      </c>
      <c r="D417" t="s">
        <v>17</v>
      </c>
      <c r="E417" t="s">
        <v>26</v>
      </c>
      <c r="F417" t="s">
        <v>19</v>
      </c>
      <c r="G417" t="s">
        <v>36</v>
      </c>
      <c r="H417" s="3">
        <v>28</v>
      </c>
      <c r="I417" s="8">
        <v>43122</v>
      </c>
      <c r="J417" s="4">
        <v>68176</v>
      </c>
      <c r="K417" s="1">
        <v>0</v>
      </c>
      <c r="L417" t="s">
        <v>21</v>
      </c>
      <c r="M417" t="s">
        <v>22</v>
      </c>
      <c r="O417" s="5">
        <f t="shared" si="6"/>
        <v>0</v>
      </c>
      <c r="P417" s="6">
        <f>Table1[[#This Row],[Annual Salary]]+Table1[[#This Row],[Bonus Amount]]</f>
        <v>68176</v>
      </c>
      <c r="Q417" t="str">
        <f>IF(Table1[[#This Row],[Exit Date]]="", "Active","Exited")</f>
        <v>Active</v>
      </c>
      <c r="R417" s="2">
        <f ca="1">IFERROR(DATEDIF(Table1[[#This Row],[Hire Date]],IF(Table1[[#This Row],[Exit Date]]="",TODAY(),Table1[[#This Row],[Exit Date]]),"Y"),"")</f>
        <v>8</v>
      </c>
      <c r="S417" t="str" cm="1">
        <f t="array" ref="S417">_xlfn.IFS(Table1[[#This Row],[Age]]&lt;30,"Under 30",Table1[[#This Row],[Age]]&lt;=40,"30-40",Table1[[#This Row],[Age]]&lt;50,"41-50",TRUE,"50+")</f>
        <v>Under 30</v>
      </c>
    </row>
    <row r="418" spans="1:19" x14ac:dyDescent="0.35">
      <c r="A418" t="s">
        <v>888</v>
      </c>
      <c r="B418" t="s">
        <v>896</v>
      </c>
      <c r="C418" t="s">
        <v>16</v>
      </c>
      <c r="D418" t="s">
        <v>34</v>
      </c>
      <c r="E418" t="s">
        <v>18</v>
      </c>
      <c r="F418" t="s">
        <v>19</v>
      </c>
      <c r="G418" t="s">
        <v>85</v>
      </c>
      <c r="H418" s="3">
        <v>39</v>
      </c>
      <c r="I418" s="8">
        <v>43756</v>
      </c>
      <c r="J418" s="4">
        <v>122829</v>
      </c>
      <c r="K418" s="1">
        <v>0.11</v>
      </c>
      <c r="L418" t="s">
        <v>21</v>
      </c>
      <c r="M418" t="s">
        <v>37</v>
      </c>
      <c r="O418" s="5">
        <f t="shared" si="6"/>
        <v>13511.19</v>
      </c>
      <c r="P418" s="6">
        <f>Table1[[#This Row],[Annual Salary]]+Table1[[#This Row],[Bonus Amount]]</f>
        <v>136340.19</v>
      </c>
      <c r="Q418" t="str">
        <f>IF(Table1[[#This Row],[Exit Date]]="", "Active","Exited")</f>
        <v>Active</v>
      </c>
      <c r="R418" s="2">
        <f ca="1">IFERROR(DATEDIF(Table1[[#This Row],[Hire Date]],IF(Table1[[#This Row],[Exit Date]]="",TODAY(),Table1[[#This Row],[Exit Date]]),"Y"),"")</f>
        <v>6</v>
      </c>
      <c r="S418" t="str" cm="1">
        <f t="array" ref="S418">_xlfn.IFS(Table1[[#This Row],[Age]]&lt;30,"Under 30",Table1[[#This Row],[Age]]&lt;=40,"30-40",Table1[[#This Row],[Age]]&lt;50,"41-50",TRUE,"50+")</f>
        <v>30-40</v>
      </c>
    </row>
    <row r="419" spans="1:19" x14ac:dyDescent="0.35">
      <c r="A419" t="s">
        <v>897</v>
      </c>
      <c r="B419" t="s">
        <v>898</v>
      </c>
      <c r="C419" t="s">
        <v>16</v>
      </c>
      <c r="D419" t="s">
        <v>80</v>
      </c>
      <c r="E419" t="s">
        <v>35</v>
      </c>
      <c r="F419" t="s">
        <v>19</v>
      </c>
      <c r="G419" t="s">
        <v>28</v>
      </c>
      <c r="H419" s="3">
        <v>31</v>
      </c>
      <c r="I419" s="8">
        <v>43695</v>
      </c>
      <c r="J419" s="4">
        <v>126353</v>
      </c>
      <c r="K419" s="1">
        <v>0.12</v>
      </c>
      <c r="L419" t="s">
        <v>29</v>
      </c>
      <c r="M419" t="s">
        <v>74</v>
      </c>
      <c r="O419" s="5">
        <f t="shared" si="6"/>
        <v>15162.359999999999</v>
      </c>
      <c r="P419" s="6">
        <f>Table1[[#This Row],[Annual Salary]]+Table1[[#This Row],[Bonus Amount]]</f>
        <v>141515.35999999999</v>
      </c>
      <c r="Q419" t="str">
        <f>IF(Table1[[#This Row],[Exit Date]]="", "Active","Exited")</f>
        <v>Active</v>
      </c>
      <c r="R419" s="2">
        <f ca="1">IFERROR(DATEDIF(Table1[[#This Row],[Hire Date]],IF(Table1[[#This Row],[Exit Date]]="",TODAY(),Table1[[#This Row],[Exit Date]]),"Y"),"")</f>
        <v>6</v>
      </c>
      <c r="S419" t="str" cm="1">
        <f t="array" ref="S419">_xlfn.IFS(Table1[[#This Row],[Age]]&lt;30,"Under 30",Table1[[#This Row],[Age]]&lt;=40,"30-40",Table1[[#This Row],[Age]]&lt;50,"41-50",TRUE,"50+")</f>
        <v>30-40</v>
      </c>
    </row>
    <row r="420" spans="1:19" x14ac:dyDescent="0.35">
      <c r="A420" t="s">
        <v>899</v>
      </c>
      <c r="B420" t="s">
        <v>900</v>
      </c>
      <c r="C420" t="s">
        <v>33</v>
      </c>
      <c r="D420" t="s">
        <v>59</v>
      </c>
      <c r="E420" t="s">
        <v>35</v>
      </c>
      <c r="F420" t="s">
        <v>19</v>
      </c>
      <c r="G420" t="s">
        <v>28</v>
      </c>
      <c r="H420" s="3">
        <v>55</v>
      </c>
      <c r="I420" s="8">
        <v>40468</v>
      </c>
      <c r="J420" s="4">
        <v>188727</v>
      </c>
      <c r="K420" s="1">
        <v>0.23</v>
      </c>
      <c r="L420" t="s">
        <v>29</v>
      </c>
      <c r="M420" t="s">
        <v>134</v>
      </c>
      <c r="O420" s="5">
        <f t="shared" si="6"/>
        <v>43407.21</v>
      </c>
      <c r="P420" s="6">
        <f>Table1[[#This Row],[Annual Salary]]+Table1[[#This Row],[Bonus Amount]]</f>
        <v>232134.21</v>
      </c>
      <c r="Q420" t="str">
        <f>IF(Table1[[#This Row],[Exit Date]]="", "Active","Exited")</f>
        <v>Active</v>
      </c>
      <c r="R420" s="2">
        <f ca="1">IFERROR(DATEDIF(Table1[[#This Row],[Hire Date]],IF(Table1[[#This Row],[Exit Date]]="",TODAY(),Table1[[#This Row],[Exit Date]]),"Y"),"")</f>
        <v>15</v>
      </c>
      <c r="S420" t="str" cm="1">
        <f t="array" ref="S420">_xlfn.IFS(Table1[[#This Row],[Age]]&lt;30,"Under 30",Table1[[#This Row],[Age]]&lt;=40,"30-40",Table1[[#This Row],[Age]]&lt;50,"41-50",TRUE,"50+")</f>
        <v>50+</v>
      </c>
    </row>
    <row r="421" spans="1:19" x14ac:dyDescent="0.35">
      <c r="A421" t="s">
        <v>592</v>
      </c>
      <c r="B421" t="s">
        <v>901</v>
      </c>
      <c r="C421" t="s">
        <v>43</v>
      </c>
      <c r="D421" t="s">
        <v>48</v>
      </c>
      <c r="E421" t="s">
        <v>18</v>
      </c>
      <c r="F421" t="s">
        <v>27</v>
      </c>
      <c r="G421" t="s">
        <v>28</v>
      </c>
      <c r="H421" s="3">
        <v>52</v>
      </c>
      <c r="I421" s="8">
        <v>34383</v>
      </c>
      <c r="J421" s="4">
        <v>99624</v>
      </c>
      <c r="K421" s="1">
        <v>0</v>
      </c>
      <c r="L421" t="s">
        <v>21</v>
      </c>
      <c r="M421" t="s">
        <v>22</v>
      </c>
      <c r="O421" s="5">
        <f t="shared" si="6"/>
        <v>0</v>
      </c>
      <c r="P421" s="6">
        <f>Table1[[#This Row],[Annual Salary]]+Table1[[#This Row],[Bonus Amount]]</f>
        <v>99624</v>
      </c>
      <c r="Q421" t="str">
        <f>IF(Table1[[#This Row],[Exit Date]]="", "Active","Exited")</f>
        <v>Active</v>
      </c>
      <c r="R421" s="2">
        <f ca="1">IFERROR(DATEDIF(Table1[[#This Row],[Hire Date]],IF(Table1[[#This Row],[Exit Date]]="",TODAY(),Table1[[#This Row],[Exit Date]]),"Y"),"")</f>
        <v>32</v>
      </c>
      <c r="S421" t="str" cm="1">
        <f t="array" ref="S421">_xlfn.IFS(Table1[[#This Row],[Age]]&lt;30,"Under 30",Table1[[#This Row],[Age]]&lt;=40,"30-40",Table1[[#This Row],[Age]]&lt;50,"41-50",TRUE,"50+")</f>
        <v>50+</v>
      </c>
    </row>
    <row r="422" spans="1:19" x14ac:dyDescent="0.35">
      <c r="A422" t="s">
        <v>902</v>
      </c>
      <c r="B422" t="s">
        <v>903</v>
      </c>
      <c r="C422" t="s">
        <v>52</v>
      </c>
      <c r="D422" t="s">
        <v>48</v>
      </c>
      <c r="E422" t="s">
        <v>35</v>
      </c>
      <c r="F422" t="s">
        <v>19</v>
      </c>
      <c r="G422" t="s">
        <v>28</v>
      </c>
      <c r="H422" s="3">
        <v>55</v>
      </c>
      <c r="I422" s="8">
        <v>41202</v>
      </c>
      <c r="J422" s="4">
        <v>108686</v>
      </c>
      <c r="K422" s="1">
        <v>0.06</v>
      </c>
      <c r="L422" t="s">
        <v>21</v>
      </c>
      <c r="M422" t="s">
        <v>88</v>
      </c>
      <c r="O422" s="5">
        <f t="shared" si="6"/>
        <v>6521.16</v>
      </c>
      <c r="P422" s="6">
        <f>Table1[[#This Row],[Annual Salary]]+Table1[[#This Row],[Bonus Amount]]</f>
        <v>115207.16</v>
      </c>
      <c r="Q422" t="str">
        <f>IF(Table1[[#This Row],[Exit Date]]="", "Active","Exited")</f>
        <v>Active</v>
      </c>
      <c r="R422" s="2">
        <f ca="1">IFERROR(DATEDIF(Table1[[#This Row],[Hire Date]],IF(Table1[[#This Row],[Exit Date]]="",TODAY(),Table1[[#This Row],[Exit Date]]),"Y"),"")</f>
        <v>13</v>
      </c>
      <c r="S422" t="str" cm="1">
        <f t="array" ref="S422">_xlfn.IFS(Table1[[#This Row],[Age]]&lt;30,"Under 30",Table1[[#This Row],[Age]]&lt;=40,"30-40",Table1[[#This Row],[Age]]&lt;50,"41-50",TRUE,"50+")</f>
        <v>50+</v>
      </c>
    </row>
    <row r="423" spans="1:19" x14ac:dyDescent="0.35">
      <c r="A423" t="s">
        <v>904</v>
      </c>
      <c r="B423" t="s">
        <v>905</v>
      </c>
      <c r="C423" t="s">
        <v>55</v>
      </c>
      <c r="D423" t="s">
        <v>59</v>
      </c>
      <c r="E423" t="s">
        <v>49</v>
      </c>
      <c r="F423" t="s">
        <v>19</v>
      </c>
      <c r="G423" t="s">
        <v>85</v>
      </c>
      <c r="H423" s="3">
        <v>56</v>
      </c>
      <c r="I423" s="8">
        <v>34802</v>
      </c>
      <c r="J423" s="4">
        <v>50857</v>
      </c>
      <c r="K423" s="1">
        <v>0</v>
      </c>
      <c r="L423" t="s">
        <v>93</v>
      </c>
      <c r="M423" t="s">
        <v>94</v>
      </c>
      <c r="O423" s="5">
        <f t="shared" si="6"/>
        <v>0</v>
      </c>
      <c r="P423" s="6">
        <f>Table1[[#This Row],[Annual Salary]]+Table1[[#This Row],[Bonus Amount]]</f>
        <v>50857</v>
      </c>
      <c r="Q423" t="str">
        <f>IF(Table1[[#This Row],[Exit Date]]="", "Active","Exited")</f>
        <v>Active</v>
      </c>
      <c r="R423" s="2">
        <f ca="1">IFERROR(DATEDIF(Table1[[#This Row],[Hire Date]],IF(Table1[[#This Row],[Exit Date]]="",TODAY(),Table1[[#This Row],[Exit Date]]),"Y"),"")</f>
        <v>30</v>
      </c>
      <c r="S423" t="str" cm="1">
        <f t="array" ref="S423">_xlfn.IFS(Table1[[#This Row],[Age]]&lt;30,"Under 30",Table1[[#This Row],[Age]]&lt;=40,"30-40",Table1[[#This Row],[Age]]&lt;50,"41-50",TRUE,"50+")</f>
        <v>50+</v>
      </c>
    </row>
    <row r="424" spans="1:19" x14ac:dyDescent="0.35">
      <c r="A424" t="s">
        <v>906</v>
      </c>
      <c r="B424" t="s">
        <v>907</v>
      </c>
      <c r="C424" t="s">
        <v>181</v>
      </c>
      <c r="D424" t="s">
        <v>69</v>
      </c>
      <c r="E424" t="s">
        <v>26</v>
      </c>
      <c r="F424" t="s">
        <v>27</v>
      </c>
      <c r="G424" t="s">
        <v>36</v>
      </c>
      <c r="H424" s="3">
        <v>47</v>
      </c>
      <c r="I424" s="8">
        <v>36893</v>
      </c>
      <c r="J424" s="4">
        <v>120628</v>
      </c>
      <c r="K424" s="1">
        <v>0</v>
      </c>
      <c r="L424" t="s">
        <v>21</v>
      </c>
      <c r="M424" t="s">
        <v>37</v>
      </c>
      <c r="O424" s="5">
        <f t="shared" si="6"/>
        <v>0</v>
      </c>
      <c r="P424" s="6">
        <f>Table1[[#This Row],[Annual Salary]]+Table1[[#This Row],[Bonus Amount]]</f>
        <v>120628</v>
      </c>
      <c r="Q424" t="str">
        <f>IF(Table1[[#This Row],[Exit Date]]="", "Active","Exited")</f>
        <v>Active</v>
      </c>
      <c r="R424" s="2">
        <f ca="1">IFERROR(DATEDIF(Table1[[#This Row],[Hire Date]],IF(Table1[[#This Row],[Exit Date]]="",TODAY(),Table1[[#This Row],[Exit Date]]),"Y"),"")</f>
        <v>25</v>
      </c>
      <c r="S424" t="str" cm="1">
        <f t="array" ref="S424">_xlfn.IFS(Table1[[#This Row],[Age]]&lt;30,"Under 30",Table1[[#This Row],[Age]]&lt;=40,"30-40",Table1[[#This Row],[Age]]&lt;50,"41-50",TRUE,"50+")</f>
        <v>41-50</v>
      </c>
    </row>
    <row r="425" spans="1:19" x14ac:dyDescent="0.35">
      <c r="A425" t="s">
        <v>908</v>
      </c>
      <c r="B425" t="s">
        <v>909</v>
      </c>
      <c r="C425" t="s">
        <v>33</v>
      </c>
      <c r="D425" t="s">
        <v>48</v>
      </c>
      <c r="E425" t="s">
        <v>35</v>
      </c>
      <c r="F425" t="s">
        <v>19</v>
      </c>
      <c r="G425" t="s">
        <v>36</v>
      </c>
      <c r="H425" s="3">
        <v>63</v>
      </c>
      <c r="I425" s="8">
        <v>43996</v>
      </c>
      <c r="J425" s="4">
        <v>181216</v>
      </c>
      <c r="K425" s="1">
        <v>0.27</v>
      </c>
      <c r="L425" t="s">
        <v>21</v>
      </c>
      <c r="M425" t="s">
        <v>88</v>
      </c>
      <c r="O425" s="5">
        <f t="shared" si="6"/>
        <v>48928.32</v>
      </c>
      <c r="P425" s="6">
        <f>Table1[[#This Row],[Annual Salary]]+Table1[[#This Row],[Bonus Amount]]</f>
        <v>230144.32</v>
      </c>
      <c r="Q425" t="str">
        <f>IF(Table1[[#This Row],[Exit Date]]="", "Active","Exited")</f>
        <v>Active</v>
      </c>
      <c r="R425" s="2">
        <f ca="1">IFERROR(DATEDIF(Table1[[#This Row],[Hire Date]],IF(Table1[[#This Row],[Exit Date]]="",TODAY(),Table1[[#This Row],[Exit Date]]),"Y"),"")</f>
        <v>5</v>
      </c>
      <c r="S425" t="str" cm="1">
        <f t="array" ref="S425">_xlfn.IFS(Table1[[#This Row],[Age]]&lt;30,"Under 30",Table1[[#This Row],[Age]]&lt;=40,"30-40",Table1[[#This Row],[Age]]&lt;50,"41-50",TRUE,"50+")</f>
        <v>50+</v>
      </c>
    </row>
    <row r="426" spans="1:19" x14ac:dyDescent="0.35">
      <c r="A426" t="s">
        <v>910</v>
      </c>
      <c r="B426" t="s">
        <v>911</v>
      </c>
      <c r="C426" t="s">
        <v>55</v>
      </c>
      <c r="D426" t="s">
        <v>34</v>
      </c>
      <c r="E426" t="s">
        <v>49</v>
      </c>
      <c r="F426" t="s">
        <v>19</v>
      </c>
      <c r="G426" t="s">
        <v>36</v>
      </c>
      <c r="H426" s="3">
        <v>63</v>
      </c>
      <c r="I426" s="8">
        <v>40984</v>
      </c>
      <c r="J426" s="4">
        <v>46081</v>
      </c>
      <c r="K426" s="1">
        <v>0</v>
      </c>
      <c r="L426" t="s">
        <v>21</v>
      </c>
      <c r="M426" t="s">
        <v>37</v>
      </c>
      <c r="O426" s="5">
        <f t="shared" si="6"/>
        <v>0</v>
      </c>
      <c r="P426" s="6">
        <f>Table1[[#This Row],[Annual Salary]]+Table1[[#This Row],[Bonus Amount]]</f>
        <v>46081</v>
      </c>
      <c r="Q426" t="str">
        <f>IF(Table1[[#This Row],[Exit Date]]="", "Active","Exited")</f>
        <v>Active</v>
      </c>
      <c r="R426" s="2">
        <f ca="1">IFERROR(DATEDIF(Table1[[#This Row],[Hire Date]],IF(Table1[[#This Row],[Exit Date]]="",TODAY(),Table1[[#This Row],[Exit Date]]),"Y"),"")</f>
        <v>14</v>
      </c>
      <c r="S426" t="str" cm="1">
        <f t="array" ref="S426">_xlfn.IFS(Table1[[#This Row],[Age]]&lt;30,"Under 30",Table1[[#This Row],[Age]]&lt;=40,"30-40",Table1[[#This Row],[Age]]&lt;50,"41-50",TRUE,"50+")</f>
        <v>50+</v>
      </c>
    </row>
    <row r="427" spans="1:19" x14ac:dyDescent="0.35">
      <c r="A427" t="s">
        <v>912</v>
      </c>
      <c r="B427" t="s">
        <v>913</v>
      </c>
      <c r="C427" t="s">
        <v>16</v>
      </c>
      <c r="D427" t="s">
        <v>59</v>
      </c>
      <c r="E427" t="s">
        <v>49</v>
      </c>
      <c r="F427" t="s">
        <v>19</v>
      </c>
      <c r="G427" t="s">
        <v>36</v>
      </c>
      <c r="H427" s="3">
        <v>55</v>
      </c>
      <c r="I427" s="8">
        <v>38135</v>
      </c>
      <c r="J427" s="4">
        <v>159885</v>
      </c>
      <c r="K427" s="1">
        <v>0.12</v>
      </c>
      <c r="L427" t="s">
        <v>21</v>
      </c>
      <c r="M427" t="s">
        <v>88</v>
      </c>
      <c r="O427" s="5">
        <f t="shared" si="6"/>
        <v>19186.2</v>
      </c>
      <c r="P427" s="6">
        <f>Table1[[#This Row],[Annual Salary]]+Table1[[#This Row],[Bonus Amount]]</f>
        <v>179071.2</v>
      </c>
      <c r="Q427" t="str">
        <f>IF(Table1[[#This Row],[Exit Date]]="", "Active","Exited")</f>
        <v>Active</v>
      </c>
      <c r="R427" s="2">
        <f ca="1">IFERROR(DATEDIF(Table1[[#This Row],[Hire Date]],IF(Table1[[#This Row],[Exit Date]]="",TODAY(),Table1[[#This Row],[Exit Date]]),"Y"),"")</f>
        <v>21</v>
      </c>
      <c r="S427" t="str" cm="1">
        <f t="array" ref="S427">_xlfn.IFS(Table1[[#This Row],[Age]]&lt;30,"Under 30",Table1[[#This Row],[Age]]&lt;=40,"30-40",Table1[[#This Row],[Age]]&lt;50,"41-50",TRUE,"50+")</f>
        <v>50+</v>
      </c>
    </row>
    <row r="428" spans="1:19" x14ac:dyDescent="0.35">
      <c r="A428" t="s">
        <v>914</v>
      </c>
      <c r="B428" t="s">
        <v>915</v>
      </c>
      <c r="C428" t="s">
        <v>33</v>
      </c>
      <c r="D428" t="s">
        <v>48</v>
      </c>
      <c r="E428" t="s">
        <v>26</v>
      </c>
      <c r="F428" t="s">
        <v>19</v>
      </c>
      <c r="G428" t="s">
        <v>36</v>
      </c>
      <c r="H428" s="3">
        <v>55</v>
      </c>
      <c r="I428" s="8">
        <v>35001</v>
      </c>
      <c r="J428" s="4">
        <v>153271</v>
      </c>
      <c r="K428" s="1">
        <v>0.15</v>
      </c>
      <c r="L428" t="s">
        <v>21</v>
      </c>
      <c r="M428" t="s">
        <v>60</v>
      </c>
      <c r="O428" s="5">
        <f t="shared" si="6"/>
        <v>22990.649999999998</v>
      </c>
      <c r="P428" s="6">
        <f>Table1[[#This Row],[Annual Salary]]+Table1[[#This Row],[Bonus Amount]]</f>
        <v>176261.65</v>
      </c>
      <c r="Q428" t="str">
        <f>IF(Table1[[#This Row],[Exit Date]]="", "Active","Exited")</f>
        <v>Active</v>
      </c>
      <c r="R428" s="2">
        <f ca="1">IFERROR(DATEDIF(Table1[[#This Row],[Hire Date]],IF(Table1[[#This Row],[Exit Date]]="",TODAY(),Table1[[#This Row],[Exit Date]]),"Y"),"")</f>
        <v>30</v>
      </c>
      <c r="S428" t="str" cm="1">
        <f t="array" ref="S428">_xlfn.IFS(Table1[[#This Row],[Age]]&lt;30,"Under 30",Table1[[#This Row],[Age]]&lt;=40,"30-40",Table1[[#This Row],[Age]]&lt;50,"41-50",TRUE,"50+")</f>
        <v>50+</v>
      </c>
    </row>
    <row r="429" spans="1:19" x14ac:dyDescent="0.35">
      <c r="A429" t="s">
        <v>916</v>
      </c>
      <c r="B429" t="s">
        <v>917</v>
      </c>
      <c r="C429" t="s">
        <v>52</v>
      </c>
      <c r="D429" t="s">
        <v>65</v>
      </c>
      <c r="E429" t="s">
        <v>26</v>
      </c>
      <c r="F429" t="s">
        <v>27</v>
      </c>
      <c r="G429" t="s">
        <v>28</v>
      </c>
      <c r="H429" s="3">
        <v>42</v>
      </c>
      <c r="I429" s="8">
        <v>40159</v>
      </c>
      <c r="J429" s="4">
        <v>114242</v>
      </c>
      <c r="K429" s="1">
        <v>0.08</v>
      </c>
      <c r="L429" t="s">
        <v>21</v>
      </c>
      <c r="M429" t="s">
        <v>44</v>
      </c>
      <c r="O429" s="5">
        <f t="shared" si="6"/>
        <v>9139.36</v>
      </c>
      <c r="P429" s="6">
        <f>Table1[[#This Row],[Annual Salary]]+Table1[[#This Row],[Bonus Amount]]</f>
        <v>123381.36</v>
      </c>
      <c r="Q429" t="str">
        <f>IF(Table1[[#This Row],[Exit Date]]="", "Active","Exited")</f>
        <v>Active</v>
      </c>
      <c r="R429" s="2">
        <f ca="1">IFERROR(DATEDIF(Table1[[#This Row],[Hire Date]],IF(Table1[[#This Row],[Exit Date]]="",TODAY(),Table1[[#This Row],[Exit Date]]),"Y"),"")</f>
        <v>16</v>
      </c>
      <c r="S429" t="str" cm="1">
        <f t="array" ref="S429">_xlfn.IFS(Table1[[#This Row],[Age]]&lt;30,"Under 30",Table1[[#This Row],[Age]]&lt;=40,"30-40",Table1[[#This Row],[Age]]&lt;50,"41-50",TRUE,"50+")</f>
        <v>41-50</v>
      </c>
    </row>
    <row r="430" spans="1:19" x14ac:dyDescent="0.35">
      <c r="A430" t="s">
        <v>918</v>
      </c>
      <c r="B430" t="s">
        <v>919</v>
      </c>
      <c r="C430" t="s">
        <v>119</v>
      </c>
      <c r="D430" t="s">
        <v>17</v>
      </c>
      <c r="E430" t="s">
        <v>35</v>
      </c>
      <c r="F430" t="s">
        <v>19</v>
      </c>
      <c r="G430" t="s">
        <v>28</v>
      </c>
      <c r="H430" s="3">
        <v>39</v>
      </c>
      <c r="I430" s="8">
        <v>44153</v>
      </c>
      <c r="J430" s="4">
        <v>48415</v>
      </c>
      <c r="K430" s="1">
        <v>0</v>
      </c>
      <c r="L430" t="s">
        <v>29</v>
      </c>
      <c r="M430" t="s">
        <v>74</v>
      </c>
      <c r="O430" s="5">
        <f t="shared" si="6"/>
        <v>0</v>
      </c>
      <c r="P430" s="6">
        <f>Table1[[#This Row],[Annual Salary]]+Table1[[#This Row],[Bonus Amount]]</f>
        <v>48415</v>
      </c>
      <c r="Q430" t="str">
        <f>IF(Table1[[#This Row],[Exit Date]]="", "Active","Exited")</f>
        <v>Active</v>
      </c>
      <c r="R430" s="2">
        <f ca="1">IFERROR(DATEDIF(Table1[[#This Row],[Hire Date]],IF(Table1[[#This Row],[Exit Date]]="",TODAY(),Table1[[#This Row],[Exit Date]]),"Y"),"")</f>
        <v>5</v>
      </c>
      <c r="S430" t="str" cm="1">
        <f t="array" ref="S430">_xlfn.IFS(Table1[[#This Row],[Age]]&lt;30,"Under 30",Table1[[#This Row],[Age]]&lt;=40,"30-40",Table1[[#This Row],[Age]]&lt;50,"41-50",TRUE,"50+")</f>
        <v>30-40</v>
      </c>
    </row>
    <row r="431" spans="1:19" x14ac:dyDescent="0.35">
      <c r="A431" t="s">
        <v>920</v>
      </c>
      <c r="B431" t="s">
        <v>921</v>
      </c>
      <c r="C431" t="s">
        <v>277</v>
      </c>
      <c r="D431" t="s">
        <v>69</v>
      </c>
      <c r="E431" t="s">
        <v>26</v>
      </c>
      <c r="F431" t="s">
        <v>27</v>
      </c>
      <c r="G431" t="s">
        <v>85</v>
      </c>
      <c r="H431" s="3">
        <v>35</v>
      </c>
      <c r="I431" s="8">
        <v>42878</v>
      </c>
      <c r="J431" s="4">
        <v>65566</v>
      </c>
      <c r="K431" s="1">
        <v>0</v>
      </c>
      <c r="L431" t="s">
        <v>21</v>
      </c>
      <c r="M431" t="s">
        <v>22</v>
      </c>
      <c r="O431" s="5">
        <f t="shared" si="6"/>
        <v>0</v>
      </c>
      <c r="P431" s="6">
        <f>Table1[[#This Row],[Annual Salary]]+Table1[[#This Row],[Bonus Amount]]</f>
        <v>65566</v>
      </c>
      <c r="Q431" t="str">
        <f>IF(Table1[[#This Row],[Exit Date]]="", "Active","Exited")</f>
        <v>Active</v>
      </c>
      <c r="R431" s="2">
        <f ca="1">IFERROR(DATEDIF(Table1[[#This Row],[Hire Date]],IF(Table1[[#This Row],[Exit Date]]="",TODAY(),Table1[[#This Row],[Exit Date]]),"Y"),"")</f>
        <v>8</v>
      </c>
      <c r="S431" t="str" cm="1">
        <f t="array" ref="S431">_xlfn.IFS(Table1[[#This Row],[Age]]&lt;30,"Under 30",Table1[[#This Row],[Age]]&lt;=40,"30-40",Table1[[#This Row],[Age]]&lt;50,"41-50",TRUE,"50+")</f>
        <v>30-40</v>
      </c>
    </row>
    <row r="432" spans="1:19" x14ac:dyDescent="0.35">
      <c r="A432" t="s">
        <v>922</v>
      </c>
      <c r="B432" t="s">
        <v>923</v>
      </c>
      <c r="C432" t="s">
        <v>16</v>
      </c>
      <c r="D432" t="s">
        <v>80</v>
      </c>
      <c r="E432" t="s">
        <v>18</v>
      </c>
      <c r="F432" t="s">
        <v>27</v>
      </c>
      <c r="G432" t="s">
        <v>28</v>
      </c>
      <c r="H432" s="3">
        <v>45</v>
      </c>
      <c r="I432" s="8">
        <v>37014</v>
      </c>
      <c r="J432" s="4">
        <v>147752</v>
      </c>
      <c r="K432" s="1">
        <v>0.12</v>
      </c>
      <c r="L432" t="s">
        <v>29</v>
      </c>
      <c r="M432" t="s">
        <v>74</v>
      </c>
      <c r="N432" s="7">
        <v>40903</v>
      </c>
      <c r="O432" s="5">
        <f t="shared" si="6"/>
        <v>17730.239999999998</v>
      </c>
      <c r="P432" s="6">
        <f>Table1[[#This Row],[Annual Salary]]+Table1[[#This Row],[Bonus Amount]]</f>
        <v>165482.23999999999</v>
      </c>
      <c r="Q432" t="str">
        <f>IF(Table1[[#This Row],[Exit Date]]="", "Active","Exited")</f>
        <v>Exited</v>
      </c>
      <c r="R432" s="2">
        <f ca="1">IFERROR(DATEDIF(Table1[[#This Row],[Hire Date]],IF(Table1[[#This Row],[Exit Date]]="",TODAY(),Table1[[#This Row],[Exit Date]]),"Y"),"")</f>
        <v>10</v>
      </c>
      <c r="S432" t="str" cm="1">
        <f t="array" ref="S432">_xlfn.IFS(Table1[[#This Row],[Age]]&lt;30,"Under 30",Table1[[#This Row],[Age]]&lt;=40,"30-40",Table1[[#This Row],[Age]]&lt;50,"41-50",TRUE,"50+")</f>
        <v>41-50</v>
      </c>
    </row>
    <row r="433" spans="1:19" x14ac:dyDescent="0.35">
      <c r="A433" t="s">
        <v>924</v>
      </c>
      <c r="B433" t="s">
        <v>925</v>
      </c>
      <c r="C433" t="s">
        <v>16</v>
      </c>
      <c r="D433" t="s">
        <v>80</v>
      </c>
      <c r="E433" t="s">
        <v>26</v>
      </c>
      <c r="F433" t="s">
        <v>19</v>
      </c>
      <c r="G433" t="s">
        <v>28</v>
      </c>
      <c r="H433" s="3">
        <v>25</v>
      </c>
      <c r="I433" s="8">
        <v>44453</v>
      </c>
      <c r="J433" s="4">
        <v>136810</v>
      </c>
      <c r="K433" s="1">
        <v>0.14000000000000001</v>
      </c>
      <c r="L433" t="s">
        <v>29</v>
      </c>
      <c r="M433" t="s">
        <v>30</v>
      </c>
      <c r="O433" s="5">
        <f t="shared" si="6"/>
        <v>19153.400000000001</v>
      </c>
      <c r="P433" s="6">
        <f>Table1[[#This Row],[Annual Salary]]+Table1[[#This Row],[Bonus Amount]]</f>
        <v>155963.4</v>
      </c>
      <c r="Q433" t="str">
        <f>IF(Table1[[#This Row],[Exit Date]]="", "Active","Exited")</f>
        <v>Active</v>
      </c>
      <c r="R433" s="2">
        <f ca="1">IFERROR(DATEDIF(Table1[[#This Row],[Hire Date]],IF(Table1[[#This Row],[Exit Date]]="",TODAY(),Table1[[#This Row],[Exit Date]]),"Y"),"")</f>
        <v>4</v>
      </c>
      <c r="S433" t="str" cm="1">
        <f t="array" ref="S433">_xlfn.IFS(Table1[[#This Row],[Age]]&lt;30,"Under 30",Table1[[#This Row],[Age]]&lt;=40,"30-40",Table1[[#This Row],[Age]]&lt;50,"41-50",TRUE,"50+")</f>
        <v>Under 30</v>
      </c>
    </row>
    <row r="434" spans="1:19" x14ac:dyDescent="0.35">
      <c r="A434" t="s">
        <v>926</v>
      </c>
      <c r="B434" t="s">
        <v>927</v>
      </c>
      <c r="C434" t="s">
        <v>55</v>
      </c>
      <c r="D434" t="s">
        <v>48</v>
      </c>
      <c r="E434" t="s">
        <v>49</v>
      </c>
      <c r="F434" t="s">
        <v>27</v>
      </c>
      <c r="G434" t="s">
        <v>36</v>
      </c>
      <c r="H434" s="3">
        <v>47</v>
      </c>
      <c r="I434" s="8">
        <v>41333</v>
      </c>
      <c r="J434" s="4">
        <v>54635</v>
      </c>
      <c r="K434" s="1">
        <v>0</v>
      </c>
      <c r="L434" t="s">
        <v>21</v>
      </c>
      <c r="M434" t="s">
        <v>37</v>
      </c>
      <c r="O434" s="5">
        <f t="shared" si="6"/>
        <v>0</v>
      </c>
      <c r="P434" s="6">
        <f>Table1[[#This Row],[Annual Salary]]+Table1[[#This Row],[Bonus Amount]]</f>
        <v>54635</v>
      </c>
      <c r="Q434" t="str">
        <f>IF(Table1[[#This Row],[Exit Date]]="", "Active","Exited")</f>
        <v>Active</v>
      </c>
      <c r="R434" s="2">
        <f ca="1">IFERROR(DATEDIF(Table1[[#This Row],[Hire Date]],IF(Table1[[#This Row],[Exit Date]]="",TODAY(),Table1[[#This Row],[Exit Date]]),"Y"),"")</f>
        <v>13</v>
      </c>
      <c r="S434" t="str" cm="1">
        <f t="array" ref="S434">_xlfn.IFS(Table1[[#This Row],[Age]]&lt;30,"Under 30",Table1[[#This Row],[Age]]&lt;=40,"30-40",Table1[[#This Row],[Age]]&lt;50,"41-50",TRUE,"50+")</f>
        <v>41-50</v>
      </c>
    </row>
    <row r="435" spans="1:19" x14ac:dyDescent="0.35">
      <c r="A435" t="s">
        <v>928</v>
      </c>
      <c r="B435" t="s">
        <v>929</v>
      </c>
      <c r="C435" t="s">
        <v>207</v>
      </c>
      <c r="D435" t="s">
        <v>17</v>
      </c>
      <c r="E435" t="s">
        <v>49</v>
      </c>
      <c r="F435" t="s">
        <v>19</v>
      </c>
      <c r="G435" t="s">
        <v>36</v>
      </c>
      <c r="H435" s="3">
        <v>42</v>
      </c>
      <c r="I435" s="8">
        <v>43866</v>
      </c>
      <c r="J435" s="4">
        <v>96636</v>
      </c>
      <c r="K435" s="1">
        <v>0</v>
      </c>
      <c r="L435" t="s">
        <v>21</v>
      </c>
      <c r="M435" t="s">
        <v>88</v>
      </c>
      <c r="O435" s="5">
        <f t="shared" si="6"/>
        <v>0</v>
      </c>
      <c r="P435" s="6">
        <f>Table1[[#This Row],[Annual Salary]]+Table1[[#This Row],[Bonus Amount]]</f>
        <v>96636</v>
      </c>
      <c r="Q435" t="str">
        <f>IF(Table1[[#This Row],[Exit Date]]="", "Active","Exited")</f>
        <v>Active</v>
      </c>
      <c r="R435" s="2">
        <f ca="1">IFERROR(DATEDIF(Table1[[#This Row],[Hire Date]],IF(Table1[[#This Row],[Exit Date]]="",TODAY(),Table1[[#This Row],[Exit Date]]),"Y"),"")</f>
        <v>6</v>
      </c>
      <c r="S435" t="str" cm="1">
        <f t="array" ref="S435">_xlfn.IFS(Table1[[#This Row],[Age]]&lt;30,"Under 30",Table1[[#This Row],[Age]]&lt;=40,"30-40",Table1[[#This Row],[Age]]&lt;50,"41-50",TRUE,"50+")</f>
        <v>41-50</v>
      </c>
    </row>
    <row r="436" spans="1:19" x14ac:dyDescent="0.35">
      <c r="A436" t="s">
        <v>930</v>
      </c>
      <c r="B436" t="s">
        <v>931</v>
      </c>
      <c r="C436" t="s">
        <v>299</v>
      </c>
      <c r="D436" t="s">
        <v>17</v>
      </c>
      <c r="E436" t="s">
        <v>26</v>
      </c>
      <c r="F436" t="s">
        <v>19</v>
      </c>
      <c r="G436" t="s">
        <v>20</v>
      </c>
      <c r="H436" s="3">
        <v>35</v>
      </c>
      <c r="I436" s="8">
        <v>41941</v>
      </c>
      <c r="J436" s="4">
        <v>91592</v>
      </c>
      <c r="K436" s="1">
        <v>0</v>
      </c>
      <c r="L436" t="s">
        <v>21</v>
      </c>
      <c r="M436" t="s">
        <v>37</v>
      </c>
      <c r="O436" s="5">
        <f t="shared" si="6"/>
        <v>0</v>
      </c>
      <c r="P436" s="6">
        <f>Table1[[#This Row],[Annual Salary]]+Table1[[#This Row],[Bonus Amount]]</f>
        <v>91592</v>
      </c>
      <c r="Q436" t="str">
        <f>IF(Table1[[#This Row],[Exit Date]]="", "Active","Exited")</f>
        <v>Active</v>
      </c>
      <c r="R436" s="2">
        <f ca="1">IFERROR(DATEDIF(Table1[[#This Row],[Hire Date]],IF(Table1[[#This Row],[Exit Date]]="",TODAY(),Table1[[#This Row],[Exit Date]]),"Y"),"")</f>
        <v>11</v>
      </c>
      <c r="S436" t="str" cm="1">
        <f t="array" ref="S436">_xlfn.IFS(Table1[[#This Row],[Age]]&lt;30,"Under 30",Table1[[#This Row],[Age]]&lt;=40,"30-40",Table1[[#This Row],[Age]]&lt;50,"41-50",TRUE,"50+")</f>
        <v>30-40</v>
      </c>
    </row>
    <row r="437" spans="1:19" x14ac:dyDescent="0.35">
      <c r="A437" t="s">
        <v>932</v>
      </c>
      <c r="B437" t="s">
        <v>933</v>
      </c>
      <c r="C437" t="s">
        <v>184</v>
      </c>
      <c r="D437" t="s">
        <v>65</v>
      </c>
      <c r="E437" t="s">
        <v>18</v>
      </c>
      <c r="F437" t="s">
        <v>19</v>
      </c>
      <c r="G437" t="s">
        <v>28</v>
      </c>
      <c r="H437" s="3">
        <v>45</v>
      </c>
      <c r="I437" s="8">
        <v>36755</v>
      </c>
      <c r="J437" s="4">
        <v>55563</v>
      </c>
      <c r="K437" s="1">
        <v>0</v>
      </c>
      <c r="L437" t="s">
        <v>29</v>
      </c>
      <c r="M437" t="s">
        <v>134</v>
      </c>
      <c r="O437" s="5">
        <f t="shared" si="6"/>
        <v>0</v>
      </c>
      <c r="P437" s="6">
        <f>Table1[[#This Row],[Annual Salary]]+Table1[[#This Row],[Bonus Amount]]</f>
        <v>55563</v>
      </c>
      <c r="Q437" t="str">
        <f>IF(Table1[[#This Row],[Exit Date]]="", "Active","Exited")</f>
        <v>Active</v>
      </c>
      <c r="R437" s="2">
        <f ca="1">IFERROR(DATEDIF(Table1[[#This Row],[Hire Date]],IF(Table1[[#This Row],[Exit Date]]="",TODAY(),Table1[[#This Row],[Exit Date]]),"Y"),"")</f>
        <v>25</v>
      </c>
      <c r="S437" t="str" cm="1">
        <f t="array" ref="S437">_xlfn.IFS(Table1[[#This Row],[Age]]&lt;30,"Under 30",Table1[[#This Row],[Age]]&lt;=40,"30-40",Table1[[#This Row],[Age]]&lt;50,"41-50",TRUE,"50+")</f>
        <v>41-50</v>
      </c>
    </row>
    <row r="438" spans="1:19" x14ac:dyDescent="0.35">
      <c r="A438" t="s">
        <v>934</v>
      </c>
      <c r="B438" t="s">
        <v>935</v>
      </c>
      <c r="C438" t="s">
        <v>33</v>
      </c>
      <c r="D438" t="s">
        <v>17</v>
      </c>
      <c r="E438" t="s">
        <v>18</v>
      </c>
      <c r="F438" t="s">
        <v>19</v>
      </c>
      <c r="G438" t="s">
        <v>28</v>
      </c>
      <c r="H438" s="3">
        <v>52</v>
      </c>
      <c r="I438" s="8">
        <v>35109</v>
      </c>
      <c r="J438" s="4">
        <v>159724</v>
      </c>
      <c r="K438" s="1">
        <v>0.23</v>
      </c>
      <c r="L438" t="s">
        <v>29</v>
      </c>
      <c r="M438" t="s">
        <v>114</v>
      </c>
      <c r="O438" s="5">
        <f t="shared" si="6"/>
        <v>36736.520000000004</v>
      </c>
      <c r="P438" s="6">
        <f>Table1[[#This Row],[Annual Salary]]+Table1[[#This Row],[Bonus Amount]]</f>
        <v>196460.52000000002</v>
      </c>
      <c r="Q438" t="str">
        <f>IF(Table1[[#This Row],[Exit Date]]="", "Active","Exited")</f>
        <v>Active</v>
      </c>
      <c r="R438" s="2">
        <f ca="1">IFERROR(DATEDIF(Table1[[#This Row],[Hire Date]],IF(Table1[[#This Row],[Exit Date]]="",TODAY(),Table1[[#This Row],[Exit Date]]),"Y"),"")</f>
        <v>30</v>
      </c>
      <c r="S438" t="str" cm="1">
        <f t="array" ref="S438">_xlfn.IFS(Table1[[#This Row],[Age]]&lt;30,"Under 30",Table1[[#This Row],[Age]]&lt;=40,"30-40",Table1[[#This Row],[Age]]&lt;50,"41-50",TRUE,"50+")</f>
        <v>50+</v>
      </c>
    </row>
    <row r="439" spans="1:19" x14ac:dyDescent="0.35">
      <c r="A439" t="s">
        <v>936</v>
      </c>
      <c r="B439" t="s">
        <v>937</v>
      </c>
      <c r="C439" t="s">
        <v>79</v>
      </c>
      <c r="D439" t="s">
        <v>80</v>
      </c>
      <c r="E439" t="s">
        <v>49</v>
      </c>
      <c r="F439" t="s">
        <v>27</v>
      </c>
      <c r="G439" t="s">
        <v>28</v>
      </c>
      <c r="H439" s="3">
        <v>57</v>
      </c>
      <c r="I439" s="8">
        <v>42951</v>
      </c>
      <c r="J439" s="4">
        <v>183190</v>
      </c>
      <c r="K439" s="1">
        <v>0.36</v>
      </c>
      <c r="L439" t="s">
        <v>21</v>
      </c>
      <c r="M439" t="s">
        <v>37</v>
      </c>
      <c r="O439" s="5">
        <f t="shared" si="6"/>
        <v>65948.399999999994</v>
      </c>
      <c r="P439" s="6">
        <f>Table1[[#This Row],[Annual Salary]]+Table1[[#This Row],[Bonus Amount]]</f>
        <v>249138.4</v>
      </c>
      <c r="Q439" t="str">
        <f>IF(Table1[[#This Row],[Exit Date]]="", "Active","Exited")</f>
        <v>Active</v>
      </c>
      <c r="R439" s="2">
        <f ca="1">IFERROR(DATEDIF(Table1[[#This Row],[Hire Date]],IF(Table1[[#This Row],[Exit Date]]="",TODAY(),Table1[[#This Row],[Exit Date]]),"Y"),"")</f>
        <v>8</v>
      </c>
      <c r="S439" t="str" cm="1">
        <f t="array" ref="S439">_xlfn.IFS(Table1[[#This Row],[Age]]&lt;30,"Under 30",Table1[[#This Row],[Age]]&lt;=40,"30-40",Table1[[#This Row],[Age]]&lt;50,"41-50",TRUE,"50+")</f>
        <v>50+</v>
      </c>
    </row>
    <row r="440" spans="1:19" x14ac:dyDescent="0.35">
      <c r="A440" t="s">
        <v>938</v>
      </c>
      <c r="B440" t="s">
        <v>939</v>
      </c>
      <c r="C440" t="s">
        <v>55</v>
      </c>
      <c r="D440" t="s">
        <v>59</v>
      </c>
      <c r="E440" t="s">
        <v>35</v>
      </c>
      <c r="F440" t="s">
        <v>19</v>
      </c>
      <c r="G440" t="s">
        <v>36</v>
      </c>
      <c r="H440" s="3">
        <v>56</v>
      </c>
      <c r="I440" s="8">
        <v>43824</v>
      </c>
      <c r="J440" s="4">
        <v>54829</v>
      </c>
      <c r="K440" s="1">
        <v>0</v>
      </c>
      <c r="L440" t="s">
        <v>21</v>
      </c>
      <c r="M440" t="s">
        <v>44</v>
      </c>
      <c r="O440" s="5">
        <f t="shared" si="6"/>
        <v>0</v>
      </c>
      <c r="P440" s="6">
        <f>Table1[[#This Row],[Annual Salary]]+Table1[[#This Row],[Bonus Amount]]</f>
        <v>54829</v>
      </c>
      <c r="Q440" t="str">
        <f>IF(Table1[[#This Row],[Exit Date]]="", "Active","Exited")</f>
        <v>Active</v>
      </c>
      <c r="R440" s="2">
        <f ca="1">IFERROR(DATEDIF(Table1[[#This Row],[Hire Date]],IF(Table1[[#This Row],[Exit Date]]="",TODAY(),Table1[[#This Row],[Exit Date]]),"Y"),"")</f>
        <v>6</v>
      </c>
      <c r="S440" t="str" cm="1">
        <f t="array" ref="S440">_xlfn.IFS(Table1[[#This Row],[Age]]&lt;30,"Under 30",Table1[[#This Row],[Age]]&lt;=40,"30-40",Table1[[#This Row],[Age]]&lt;50,"41-50",TRUE,"50+")</f>
        <v>50+</v>
      </c>
    </row>
    <row r="441" spans="1:19" x14ac:dyDescent="0.35">
      <c r="A441" t="s">
        <v>940</v>
      </c>
      <c r="B441" t="s">
        <v>941</v>
      </c>
      <c r="C441" t="s">
        <v>108</v>
      </c>
      <c r="D441" t="s">
        <v>69</v>
      </c>
      <c r="E441" t="s">
        <v>49</v>
      </c>
      <c r="F441" t="s">
        <v>27</v>
      </c>
      <c r="G441" t="s">
        <v>85</v>
      </c>
      <c r="H441" s="3">
        <v>46</v>
      </c>
      <c r="I441" s="8">
        <v>38464</v>
      </c>
      <c r="J441" s="4">
        <v>96639</v>
      </c>
      <c r="K441" s="1">
        <v>0</v>
      </c>
      <c r="L441" t="s">
        <v>93</v>
      </c>
      <c r="M441" t="s">
        <v>99</v>
      </c>
      <c r="O441" s="5">
        <f t="shared" si="6"/>
        <v>0</v>
      </c>
      <c r="P441" s="6">
        <f>Table1[[#This Row],[Annual Salary]]+Table1[[#This Row],[Bonus Amount]]</f>
        <v>96639</v>
      </c>
      <c r="Q441" t="str">
        <f>IF(Table1[[#This Row],[Exit Date]]="", "Active","Exited")</f>
        <v>Active</v>
      </c>
      <c r="R441" s="2">
        <f ca="1">IFERROR(DATEDIF(Table1[[#This Row],[Hire Date]],IF(Table1[[#This Row],[Exit Date]]="",TODAY(),Table1[[#This Row],[Exit Date]]),"Y"),"")</f>
        <v>20</v>
      </c>
      <c r="S441" t="str" cm="1">
        <f t="array" ref="S441">_xlfn.IFS(Table1[[#This Row],[Age]]&lt;30,"Under 30",Table1[[#This Row],[Age]]&lt;=40,"30-40",Table1[[#This Row],[Age]]&lt;50,"41-50",TRUE,"50+")</f>
        <v>41-50</v>
      </c>
    </row>
    <row r="442" spans="1:19" x14ac:dyDescent="0.35">
      <c r="A442" t="s">
        <v>942</v>
      </c>
      <c r="B442" t="s">
        <v>943</v>
      </c>
      <c r="C442" t="s">
        <v>52</v>
      </c>
      <c r="D442" t="s">
        <v>80</v>
      </c>
      <c r="E442" t="s">
        <v>35</v>
      </c>
      <c r="F442" t="s">
        <v>19</v>
      </c>
      <c r="G442" t="s">
        <v>28</v>
      </c>
      <c r="H442" s="3">
        <v>43</v>
      </c>
      <c r="I442" s="8">
        <v>38879</v>
      </c>
      <c r="J442" s="4">
        <v>117278</v>
      </c>
      <c r="K442" s="1">
        <v>0.09</v>
      </c>
      <c r="L442" t="s">
        <v>21</v>
      </c>
      <c r="M442" t="s">
        <v>56</v>
      </c>
      <c r="O442" s="5">
        <f t="shared" si="6"/>
        <v>10555.02</v>
      </c>
      <c r="P442" s="6">
        <f>Table1[[#This Row],[Annual Salary]]+Table1[[#This Row],[Bonus Amount]]</f>
        <v>127833.02</v>
      </c>
      <c r="Q442" t="str">
        <f>IF(Table1[[#This Row],[Exit Date]]="", "Active","Exited")</f>
        <v>Active</v>
      </c>
      <c r="R442" s="2">
        <f ca="1">IFERROR(DATEDIF(Table1[[#This Row],[Hire Date]],IF(Table1[[#This Row],[Exit Date]]="",TODAY(),Table1[[#This Row],[Exit Date]]),"Y"),"")</f>
        <v>19</v>
      </c>
      <c r="S442" t="str" cm="1">
        <f t="array" ref="S442">_xlfn.IFS(Table1[[#This Row],[Age]]&lt;30,"Under 30",Table1[[#This Row],[Age]]&lt;=40,"30-40",Table1[[#This Row],[Age]]&lt;50,"41-50",TRUE,"50+")</f>
        <v>41-50</v>
      </c>
    </row>
    <row r="443" spans="1:19" x14ac:dyDescent="0.35">
      <c r="A443" t="s">
        <v>944</v>
      </c>
      <c r="B443" t="s">
        <v>945</v>
      </c>
      <c r="C443" t="s">
        <v>40</v>
      </c>
      <c r="D443" t="s">
        <v>17</v>
      </c>
      <c r="E443" t="s">
        <v>35</v>
      </c>
      <c r="F443" t="s">
        <v>27</v>
      </c>
      <c r="G443" t="s">
        <v>28</v>
      </c>
      <c r="H443" s="3">
        <v>53</v>
      </c>
      <c r="I443" s="8">
        <v>39487</v>
      </c>
      <c r="J443" s="4">
        <v>84193</v>
      </c>
      <c r="K443" s="1">
        <v>0.09</v>
      </c>
      <c r="L443" t="s">
        <v>29</v>
      </c>
      <c r="M443" t="s">
        <v>74</v>
      </c>
      <c r="O443" s="5">
        <f t="shared" si="6"/>
        <v>7577.37</v>
      </c>
      <c r="P443" s="6">
        <f>Table1[[#This Row],[Annual Salary]]+Table1[[#This Row],[Bonus Amount]]</f>
        <v>91770.37</v>
      </c>
      <c r="Q443" t="str">
        <f>IF(Table1[[#This Row],[Exit Date]]="", "Active","Exited")</f>
        <v>Active</v>
      </c>
      <c r="R443" s="2">
        <f ca="1">IFERROR(DATEDIF(Table1[[#This Row],[Hire Date]],IF(Table1[[#This Row],[Exit Date]]="",TODAY(),Table1[[#This Row],[Exit Date]]),"Y"),"")</f>
        <v>18</v>
      </c>
      <c r="S443" t="str" cm="1">
        <f t="array" ref="S443">_xlfn.IFS(Table1[[#This Row],[Age]]&lt;30,"Under 30",Table1[[#This Row],[Age]]&lt;=40,"30-40",Table1[[#This Row],[Age]]&lt;50,"41-50",TRUE,"50+")</f>
        <v>50+</v>
      </c>
    </row>
    <row r="444" spans="1:19" x14ac:dyDescent="0.35">
      <c r="A444" t="s">
        <v>946</v>
      </c>
      <c r="B444" t="s">
        <v>947</v>
      </c>
      <c r="C444" t="s">
        <v>485</v>
      </c>
      <c r="D444" t="s">
        <v>17</v>
      </c>
      <c r="E444" t="s">
        <v>26</v>
      </c>
      <c r="F444" t="s">
        <v>19</v>
      </c>
      <c r="G444" t="s">
        <v>36</v>
      </c>
      <c r="H444" s="3">
        <v>47</v>
      </c>
      <c r="I444" s="8">
        <v>43309</v>
      </c>
      <c r="J444" s="4">
        <v>87806</v>
      </c>
      <c r="K444" s="1">
        <v>0</v>
      </c>
      <c r="L444" t="s">
        <v>21</v>
      </c>
      <c r="M444" t="s">
        <v>22</v>
      </c>
      <c r="O444" s="5">
        <f t="shared" si="6"/>
        <v>0</v>
      </c>
      <c r="P444" s="6">
        <f>Table1[[#This Row],[Annual Salary]]+Table1[[#This Row],[Bonus Amount]]</f>
        <v>87806</v>
      </c>
      <c r="Q444" t="str">
        <f>IF(Table1[[#This Row],[Exit Date]]="", "Active","Exited")</f>
        <v>Active</v>
      </c>
      <c r="R444" s="2">
        <f ca="1">IFERROR(DATEDIF(Table1[[#This Row],[Hire Date]],IF(Table1[[#This Row],[Exit Date]]="",TODAY(),Table1[[#This Row],[Exit Date]]),"Y"),"")</f>
        <v>7</v>
      </c>
      <c r="S444" t="str" cm="1">
        <f t="array" ref="S444">_xlfn.IFS(Table1[[#This Row],[Age]]&lt;30,"Under 30",Table1[[#This Row],[Age]]&lt;=40,"30-40",Table1[[#This Row],[Age]]&lt;50,"41-50",TRUE,"50+")</f>
        <v>41-50</v>
      </c>
    </row>
    <row r="445" spans="1:19" x14ac:dyDescent="0.35">
      <c r="A445" t="s">
        <v>948</v>
      </c>
      <c r="B445" t="s">
        <v>949</v>
      </c>
      <c r="C445" t="s">
        <v>223</v>
      </c>
      <c r="D445" t="s">
        <v>69</v>
      </c>
      <c r="E445" t="s">
        <v>18</v>
      </c>
      <c r="F445" t="s">
        <v>27</v>
      </c>
      <c r="G445" t="s">
        <v>36</v>
      </c>
      <c r="H445" s="3">
        <v>62</v>
      </c>
      <c r="I445" s="8">
        <v>40820</v>
      </c>
      <c r="J445" s="4">
        <v>63959</v>
      </c>
      <c r="K445" s="1">
        <v>0</v>
      </c>
      <c r="L445" t="s">
        <v>21</v>
      </c>
      <c r="M445" t="s">
        <v>22</v>
      </c>
      <c r="O445" s="5">
        <f t="shared" si="6"/>
        <v>0</v>
      </c>
      <c r="P445" s="6">
        <f>Table1[[#This Row],[Annual Salary]]+Table1[[#This Row],[Bonus Amount]]</f>
        <v>63959</v>
      </c>
      <c r="Q445" t="str">
        <f>IF(Table1[[#This Row],[Exit Date]]="", "Active","Exited")</f>
        <v>Active</v>
      </c>
      <c r="R445" s="2">
        <f ca="1">IFERROR(DATEDIF(Table1[[#This Row],[Hire Date]],IF(Table1[[#This Row],[Exit Date]]="",TODAY(),Table1[[#This Row],[Exit Date]]),"Y"),"")</f>
        <v>14</v>
      </c>
      <c r="S445" t="str" cm="1">
        <f t="array" ref="S445">_xlfn.IFS(Table1[[#This Row],[Age]]&lt;30,"Under 30",Table1[[#This Row],[Age]]&lt;=40,"30-40",Table1[[#This Row],[Age]]&lt;50,"41-50",TRUE,"50+")</f>
        <v>50+</v>
      </c>
    </row>
    <row r="446" spans="1:19" x14ac:dyDescent="0.35">
      <c r="A446" t="s">
        <v>950</v>
      </c>
      <c r="B446" t="s">
        <v>951</v>
      </c>
      <c r="C446" t="s">
        <v>79</v>
      </c>
      <c r="D446" t="s">
        <v>17</v>
      </c>
      <c r="E446" t="s">
        <v>18</v>
      </c>
      <c r="F446" t="s">
        <v>27</v>
      </c>
      <c r="G446" t="s">
        <v>28</v>
      </c>
      <c r="H446" s="3">
        <v>35</v>
      </c>
      <c r="I446" s="8">
        <v>42166</v>
      </c>
      <c r="J446" s="4">
        <v>234723</v>
      </c>
      <c r="K446" s="1">
        <v>0.36</v>
      </c>
      <c r="L446" t="s">
        <v>29</v>
      </c>
      <c r="M446" t="s">
        <v>74</v>
      </c>
      <c r="O446" s="5">
        <f t="shared" si="6"/>
        <v>84500.28</v>
      </c>
      <c r="P446" s="6">
        <f>Table1[[#This Row],[Annual Salary]]+Table1[[#This Row],[Bonus Amount]]</f>
        <v>319223.28000000003</v>
      </c>
      <c r="Q446" t="str">
        <f>IF(Table1[[#This Row],[Exit Date]]="", "Active","Exited")</f>
        <v>Active</v>
      </c>
      <c r="R446" s="2">
        <f ca="1">IFERROR(DATEDIF(Table1[[#This Row],[Hire Date]],IF(Table1[[#This Row],[Exit Date]]="",TODAY(),Table1[[#This Row],[Exit Date]]),"Y"),"")</f>
        <v>10</v>
      </c>
      <c r="S446" t="str" cm="1">
        <f t="array" ref="S446">_xlfn.IFS(Table1[[#This Row],[Age]]&lt;30,"Under 30",Table1[[#This Row],[Age]]&lt;=40,"30-40",Table1[[#This Row],[Age]]&lt;50,"41-50",TRUE,"50+")</f>
        <v>30-40</v>
      </c>
    </row>
    <row r="447" spans="1:19" x14ac:dyDescent="0.35">
      <c r="A447" t="s">
        <v>952</v>
      </c>
      <c r="B447" t="s">
        <v>953</v>
      </c>
      <c r="C447" t="s">
        <v>55</v>
      </c>
      <c r="D447" t="s">
        <v>59</v>
      </c>
      <c r="E447" t="s">
        <v>49</v>
      </c>
      <c r="F447" t="s">
        <v>19</v>
      </c>
      <c r="G447" t="s">
        <v>28</v>
      </c>
      <c r="H447" s="3">
        <v>27</v>
      </c>
      <c r="I447" s="8">
        <v>43701</v>
      </c>
      <c r="J447" s="4">
        <v>50809</v>
      </c>
      <c r="K447" s="1">
        <v>0</v>
      </c>
      <c r="L447" t="s">
        <v>29</v>
      </c>
      <c r="M447" t="s">
        <v>30</v>
      </c>
      <c r="O447" s="5">
        <f t="shared" si="6"/>
        <v>0</v>
      </c>
      <c r="P447" s="6">
        <f>Table1[[#This Row],[Annual Salary]]+Table1[[#This Row],[Bonus Amount]]</f>
        <v>50809</v>
      </c>
      <c r="Q447" t="str">
        <f>IF(Table1[[#This Row],[Exit Date]]="", "Active","Exited")</f>
        <v>Active</v>
      </c>
      <c r="R447" s="2">
        <f ca="1">IFERROR(DATEDIF(Table1[[#This Row],[Hire Date]],IF(Table1[[#This Row],[Exit Date]]="",TODAY(),Table1[[#This Row],[Exit Date]]),"Y"),"")</f>
        <v>6</v>
      </c>
      <c r="S447" t="str" cm="1">
        <f t="array" ref="S447">_xlfn.IFS(Table1[[#This Row],[Age]]&lt;30,"Under 30",Table1[[#This Row],[Age]]&lt;=40,"30-40",Table1[[#This Row],[Age]]&lt;50,"41-50",TRUE,"50+")</f>
        <v>Under 30</v>
      </c>
    </row>
    <row r="448" spans="1:19" x14ac:dyDescent="0.35">
      <c r="A448" t="s">
        <v>954</v>
      </c>
      <c r="B448" t="s">
        <v>955</v>
      </c>
      <c r="C448" t="s">
        <v>43</v>
      </c>
      <c r="D448" t="s">
        <v>34</v>
      </c>
      <c r="E448" t="s">
        <v>26</v>
      </c>
      <c r="F448" t="s">
        <v>27</v>
      </c>
      <c r="G448" t="s">
        <v>36</v>
      </c>
      <c r="H448" s="3">
        <v>55</v>
      </c>
      <c r="I448" s="8">
        <v>37456</v>
      </c>
      <c r="J448" s="4">
        <v>77396</v>
      </c>
      <c r="K448" s="1">
        <v>0</v>
      </c>
      <c r="L448" t="s">
        <v>21</v>
      </c>
      <c r="M448" t="s">
        <v>56</v>
      </c>
      <c r="O448" s="5">
        <f t="shared" si="6"/>
        <v>0</v>
      </c>
      <c r="P448" s="6">
        <f>Table1[[#This Row],[Annual Salary]]+Table1[[#This Row],[Bonus Amount]]</f>
        <v>77396</v>
      </c>
      <c r="Q448" t="str">
        <f>IF(Table1[[#This Row],[Exit Date]]="", "Active","Exited")</f>
        <v>Active</v>
      </c>
      <c r="R448" s="2">
        <f ca="1">IFERROR(DATEDIF(Table1[[#This Row],[Hire Date]],IF(Table1[[#This Row],[Exit Date]]="",TODAY(),Table1[[#This Row],[Exit Date]]),"Y"),"")</f>
        <v>23</v>
      </c>
      <c r="S448" t="str" cm="1">
        <f t="array" ref="S448">_xlfn.IFS(Table1[[#This Row],[Age]]&lt;30,"Under 30",Table1[[#This Row],[Age]]&lt;=40,"30-40",Table1[[#This Row],[Age]]&lt;50,"41-50",TRUE,"50+")</f>
        <v>50+</v>
      </c>
    </row>
    <row r="449" spans="1:19" x14ac:dyDescent="0.35">
      <c r="A449" t="s">
        <v>956</v>
      </c>
      <c r="B449" t="s">
        <v>957</v>
      </c>
      <c r="C449" t="s">
        <v>43</v>
      </c>
      <c r="D449" t="s">
        <v>34</v>
      </c>
      <c r="E449" t="s">
        <v>35</v>
      </c>
      <c r="F449" t="s">
        <v>19</v>
      </c>
      <c r="G449" t="s">
        <v>28</v>
      </c>
      <c r="H449" s="3">
        <v>63</v>
      </c>
      <c r="I449" s="8">
        <v>36525</v>
      </c>
      <c r="J449" s="4">
        <v>89523</v>
      </c>
      <c r="K449" s="1">
        <v>0</v>
      </c>
      <c r="L449" t="s">
        <v>21</v>
      </c>
      <c r="M449" t="s">
        <v>44</v>
      </c>
      <c r="O449" s="5">
        <f t="shared" si="6"/>
        <v>0</v>
      </c>
      <c r="P449" s="6">
        <f>Table1[[#This Row],[Annual Salary]]+Table1[[#This Row],[Bonus Amount]]</f>
        <v>89523</v>
      </c>
      <c r="Q449" t="str">
        <f>IF(Table1[[#This Row],[Exit Date]]="", "Active","Exited")</f>
        <v>Active</v>
      </c>
      <c r="R449" s="2">
        <f ca="1">IFERROR(DATEDIF(Table1[[#This Row],[Hire Date]],IF(Table1[[#This Row],[Exit Date]]="",TODAY(),Table1[[#This Row],[Exit Date]]),"Y"),"")</f>
        <v>26</v>
      </c>
      <c r="S449" t="str" cm="1">
        <f t="array" ref="S449">_xlfn.IFS(Table1[[#This Row],[Age]]&lt;30,"Under 30",Table1[[#This Row],[Age]]&lt;=40,"30-40",Table1[[#This Row],[Age]]&lt;50,"41-50",TRUE,"50+")</f>
        <v>50+</v>
      </c>
    </row>
    <row r="450" spans="1:19" x14ac:dyDescent="0.35">
      <c r="A450" t="s">
        <v>958</v>
      </c>
      <c r="B450" t="s">
        <v>959</v>
      </c>
      <c r="C450" t="s">
        <v>207</v>
      </c>
      <c r="D450" t="s">
        <v>17</v>
      </c>
      <c r="E450" t="s">
        <v>49</v>
      </c>
      <c r="F450" t="s">
        <v>19</v>
      </c>
      <c r="G450" t="s">
        <v>28</v>
      </c>
      <c r="H450" s="3">
        <v>53</v>
      </c>
      <c r="I450" s="8">
        <v>40744</v>
      </c>
      <c r="J450" s="4">
        <v>86173</v>
      </c>
      <c r="K450" s="1">
        <v>0</v>
      </c>
      <c r="L450" t="s">
        <v>29</v>
      </c>
      <c r="M450" t="s">
        <v>30</v>
      </c>
      <c r="O450" s="5">
        <f t="shared" si="6"/>
        <v>0</v>
      </c>
      <c r="P450" s="6">
        <f>Table1[[#This Row],[Annual Salary]]+Table1[[#This Row],[Bonus Amount]]</f>
        <v>86173</v>
      </c>
      <c r="Q450" t="str">
        <f>IF(Table1[[#This Row],[Exit Date]]="", "Active","Exited")</f>
        <v>Active</v>
      </c>
      <c r="R450" s="2">
        <f ca="1">IFERROR(DATEDIF(Table1[[#This Row],[Hire Date]],IF(Table1[[#This Row],[Exit Date]]="",TODAY(),Table1[[#This Row],[Exit Date]]),"Y"),"")</f>
        <v>14</v>
      </c>
      <c r="S450" t="str" cm="1">
        <f t="array" ref="S450">_xlfn.IFS(Table1[[#This Row],[Age]]&lt;30,"Under 30",Table1[[#This Row],[Age]]&lt;=40,"30-40",Table1[[#This Row],[Age]]&lt;50,"41-50",TRUE,"50+")</f>
        <v>50+</v>
      </c>
    </row>
    <row r="451" spans="1:19" x14ac:dyDescent="0.35">
      <c r="A451" t="s">
        <v>960</v>
      </c>
      <c r="B451" t="s">
        <v>961</v>
      </c>
      <c r="C451" t="s">
        <v>79</v>
      </c>
      <c r="D451" t="s">
        <v>48</v>
      </c>
      <c r="E451" t="s">
        <v>26</v>
      </c>
      <c r="F451" t="s">
        <v>19</v>
      </c>
      <c r="G451" t="s">
        <v>20</v>
      </c>
      <c r="H451" s="3">
        <v>54</v>
      </c>
      <c r="I451" s="8">
        <v>36757</v>
      </c>
      <c r="J451" s="4">
        <v>222224</v>
      </c>
      <c r="K451" s="1">
        <v>0.38</v>
      </c>
      <c r="L451" t="s">
        <v>21</v>
      </c>
      <c r="M451" t="s">
        <v>88</v>
      </c>
      <c r="O451" s="5">
        <f t="shared" ref="O451:O514" si="7">J451*K451</f>
        <v>84445.119999999995</v>
      </c>
      <c r="P451" s="6">
        <f>Table1[[#This Row],[Annual Salary]]+Table1[[#This Row],[Bonus Amount]]</f>
        <v>306669.12</v>
      </c>
      <c r="Q451" t="str">
        <f>IF(Table1[[#This Row],[Exit Date]]="", "Active","Exited")</f>
        <v>Active</v>
      </c>
      <c r="R451" s="2">
        <f ca="1">IFERROR(DATEDIF(Table1[[#This Row],[Hire Date]],IF(Table1[[#This Row],[Exit Date]]="",TODAY(),Table1[[#This Row],[Exit Date]]),"Y"),"")</f>
        <v>25</v>
      </c>
      <c r="S451" t="str" cm="1">
        <f t="array" ref="S451">_xlfn.IFS(Table1[[#This Row],[Age]]&lt;30,"Under 30",Table1[[#This Row],[Age]]&lt;=40,"30-40",Table1[[#This Row],[Age]]&lt;50,"41-50",TRUE,"50+")</f>
        <v>50+</v>
      </c>
    </row>
    <row r="452" spans="1:19" x14ac:dyDescent="0.35">
      <c r="A452" t="s">
        <v>962</v>
      </c>
      <c r="B452" t="s">
        <v>963</v>
      </c>
      <c r="C452" t="s">
        <v>16</v>
      </c>
      <c r="D452" t="s">
        <v>34</v>
      </c>
      <c r="E452" t="s">
        <v>18</v>
      </c>
      <c r="F452" t="s">
        <v>27</v>
      </c>
      <c r="G452" t="s">
        <v>28</v>
      </c>
      <c r="H452" s="3">
        <v>43</v>
      </c>
      <c r="I452" s="8">
        <v>44303</v>
      </c>
      <c r="J452" s="4">
        <v>146140</v>
      </c>
      <c r="K452" s="1">
        <v>0.15</v>
      </c>
      <c r="L452" t="s">
        <v>21</v>
      </c>
      <c r="M452" t="s">
        <v>22</v>
      </c>
      <c r="O452" s="5">
        <f t="shared" si="7"/>
        <v>21921</v>
      </c>
      <c r="P452" s="6">
        <f>Table1[[#This Row],[Annual Salary]]+Table1[[#This Row],[Bonus Amount]]</f>
        <v>168061</v>
      </c>
      <c r="Q452" t="str">
        <f>IF(Table1[[#This Row],[Exit Date]]="", "Active","Exited")</f>
        <v>Active</v>
      </c>
      <c r="R452" s="2">
        <f ca="1">IFERROR(DATEDIF(Table1[[#This Row],[Hire Date]],IF(Table1[[#This Row],[Exit Date]]="",TODAY(),Table1[[#This Row],[Exit Date]]),"Y"),"")</f>
        <v>4</v>
      </c>
      <c r="S452" t="str" cm="1">
        <f t="array" ref="S452">_xlfn.IFS(Table1[[#This Row],[Age]]&lt;30,"Under 30",Table1[[#This Row],[Age]]&lt;=40,"30-40",Table1[[#This Row],[Age]]&lt;50,"41-50",TRUE,"50+")</f>
        <v>41-50</v>
      </c>
    </row>
    <row r="453" spans="1:19" x14ac:dyDescent="0.35">
      <c r="A453" t="s">
        <v>964</v>
      </c>
      <c r="B453" t="s">
        <v>965</v>
      </c>
      <c r="C453" t="s">
        <v>113</v>
      </c>
      <c r="D453" t="s">
        <v>69</v>
      </c>
      <c r="E453" t="s">
        <v>35</v>
      </c>
      <c r="F453" t="s">
        <v>19</v>
      </c>
      <c r="G453" t="s">
        <v>36</v>
      </c>
      <c r="H453" s="3">
        <v>64</v>
      </c>
      <c r="I453" s="8">
        <v>34505</v>
      </c>
      <c r="J453" s="4">
        <v>109456</v>
      </c>
      <c r="K453" s="1">
        <v>0.1</v>
      </c>
      <c r="L453" t="s">
        <v>21</v>
      </c>
      <c r="M453" t="s">
        <v>37</v>
      </c>
      <c r="O453" s="5">
        <f t="shared" si="7"/>
        <v>10945.6</v>
      </c>
      <c r="P453" s="6">
        <f>Table1[[#This Row],[Annual Salary]]+Table1[[#This Row],[Bonus Amount]]</f>
        <v>120401.60000000001</v>
      </c>
      <c r="Q453" t="str">
        <f>IF(Table1[[#This Row],[Exit Date]]="", "Active","Exited")</f>
        <v>Active</v>
      </c>
      <c r="R453" s="2">
        <f ca="1">IFERROR(DATEDIF(Table1[[#This Row],[Hire Date]],IF(Table1[[#This Row],[Exit Date]]="",TODAY(),Table1[[#This Row],[Exit Date]]),"Y"),"")</f>
        <v>31</v>
      </c>
      <c r="S453" t="str" cm="1">
        <f t="array" ref="S453">_xlfn.IFS(Table1[[#This Row],[Age]]&lt;30,"Under 30",Table1[[#This Row],[Age]]&lt;=40,"30-40",Table1[[#This Row],[Age]]&lt;50,"41-50",TRUE,"50+")</f>
        <v>50+</v>
      </c>
    </row>
    <row r="454" spans="1:19" x14ac:dyDescent="0.35">
      <c r="A454" t="s">
        <v>966</v>
      </c>
      <c r="B454" t="s">
        <v>967</v>
      </c>
      <c r="C454" t="s">
        <v>33</v>
      </c>
      <c r="D454" t="s">
        <v>34</v>
      </c>
      <c r="E454" t="s">
        <v>18</v>
      </c>
      <c r="F454" t="s">
        <v>19</v>
      </c>
      <c r="G454" t="s">
        <v>85</v>
      </c>
      <c r="H454" s="3">
        <v>65</v>
      </c>
      <c r="I454" s="8">
        <v>39728</v>
      </c>
      <c r="J454" s="4">
        <v>170221</v>
      </c>
      <c r="K454" s="1">
        <v>0.15</v>
      </c>
      <c r="L454" t="s">
        <v>93</v>
      </c>
      <c r="M454" t="s">
        <v>94</v>
      </c>
      <c r="O454" s="5">
        <f t="shared" si="7"/>
        <v>25533.149999999998</v>
      </c>
      <c r="P454" s="6">
        <f>Table1[[#This Row],[Annual Salary]]+Table1[[#This Row],[Bonus Amount]]</f>
        <v>195754.15</v>
      </c>
      <c r="Q454" t="str">
        <f>IF(Table1[[#This Row],[Exit Date]]="", "Active","Exited")</f>
        <v>Active</v>
      </c>
      <c r="R454" s="2">
        <f ca="1">IFERROR(DATEDIF(Table1[[#This Row],[Hire Date]],IF(Table1[[#This Row],[Exit Date]]="",TODAY(),Table1[[#This Row],[Exit Date]]),"Y"),"")</f>
        <v>17</v>
      </c>
      <c r="S454" t="str" cm="1">
        <f t="array" ref="S454">_xlfn.IFS(Table1[[#This Row],[Age]]&lt;30,"Under 30",Table1[[#This Row],[Age]]&lt;=40,"30-40",Table1[[#This Row],[Age]]&lt;50,"41-50",TRUE,"50+")</f>
        <v>50+</v>
      </c>
    </row>
    <row r="455" spans="1:19" x14ac:dyDescent="0.35">
      <c r="A455" t="s">
        <v>721</v>
      </c>
      <c r="B455" t="s">
        <v>968</v>
      </c>
      <c r="C455" t="s">
        <v>40</v>
      </c>
      <c r="D455" t="s">
        <v>17</v>
      </c>
      <c r="E455" t="s">
        <v>18</v>
      </c>
      <c r="F455" t="s">
        <v>19</v>
      </c>
      <c r="G455" t="s">
        <v>36</v>
      </c>
      <c r="H455" s="3">
        <v>42</v>
      </c>
      <c r="I455" s="8">
        <v>38777</v>
      </c>
      <c r="J455" s="4">
        <v>97433</v>
      </c>
      <c r="K455" s="1">
        <v>0.05</v>
      </c>
      <c r="L455" t="s">
        <v>21</v>
      </c>
      <c r="M455" t="s">
        <v>22</v>
      </c>
      <c r="N455" s="7">
        <v>42224</v>
      </c>
      <c r="O455" s="5">
        <f t="shared" si="7"/>
        <v>4871.6500000000005</v>
      </c>
      <c r="P455" s="6">
        <f>Table1[[#This Row],[Annual Salary]]+Table1[[#This Row],[Bonus Amount]]</f>
        <v>102304.65</v>
      </c>
      <c r="Q455" t="str">
        <f>IF(Table1[[#This Row],[Exit Date]]="", "Active","Exited")</f>
        <v>Exited</v>
      </c>
      <c r="R455" s="2">
        <f ca="1">IFERROR(DATEDIF(Table1[[#This Row],[Hire Date]],IF(Table1[[#This Row],[Exit Date]]="",TODAY(),Table1[[#This Row],[Exit Date]]),"Y"),"")</f>
        <v>9</v>
      </c>
      <c r="S455" t="str" cm="1">
        <f t="array" ref="S455">_xlfn.IFS(Table1[[#This Row],[Age]]&lt;30,"Under 30",Table1[[#This Row],[Age]]&lt;=40,"30-40",Table1[[#This Row],[Age]]&lt;50,"41-50",TRUE,"50+")</f>
        <v>41-50</v>
      </c>
    </row>
    <row r="456" spans="1:19" x14ac:dyDescent="0.35">
      <c r="A456" t="s">
        <v>969</v>
      </c>
      <c r="B456" t="s">
        <v>970</v>
      </c>
      <c r="C456" t="s">
        <v>47</v>
      </c>
      <c r="D456" t="s">
        <v>48</v>
      </c>
      <c r="E456" t="s">
        <v>26</v>
      </c>
      <c r="F456" t="s">
        <v>27</v>
      </c>
      <c r="G456" t="s">
        <v>28</v>
      </c>
      <c r="H456" s="3">
        <v>35</v>
      </c>
      <c r="I456" s="8">
        <v>41516</v>
      </c>
      <c r="J456" s="4">
        <v>59646</v>
      </c>
      <c r="K456" s="1">
        <v>0</v>
      </c>
      <c r="L456" t="s">
        <v>29</v>
      </c>
      <c r="M456" t="s">
        <v>74</v>
      </c>
      <c r="O456" s="5">
        <f t="shared" si="7"/>
        <v>0</v>
      </c>
      <c r="P456" s="6">
        <f>Table1[[#This Row],[Annual Salary]]+Table1[[#This Row],[Bonus Amount]]</f>
        <v>59646</v>
      </c>
      <c r="Q456" t="str">
        <f>IF(Table1[[#This Row],[Exit Date]]="", "Active","Exited")</f>
        <v>Active</v>
      </c>
      <c r="R456" s="2">
        <f ca="1">IFERROR(DATEDIF(Table1[[#This Row],[Hire Date]],IF(Table1[[#This Row],[Exit Date]]="",TODAY(),Table1[[#This Row],[Exit Date]]),"Y"),"")</f>
        <v>12</v>
      </c>
      <c r="S456" t="str" cm="1">
        <f t="array" ref="S456">_xlfn.IFS(Table1[[#This Row],[Age]]&lt;30,"Under 30",Table1[[#This Row],[Age]]&lt;=40,"30-40",Table1[[#This Row],[Age]]&lt;50,"41-50",TRUE,"50+")</f>
        <v>30-40</v>
      </c>
    </row>
    <row r="457" spans="1:19" x14ac:dyDescent="0.35">
      <c r="A457" t="s">
        <v>971</v>
      </c>
      <c r="B457" t="s">
        <v>972</v>
      </c>
      <c r="C457" t="s">
        <v>33</v>
      </c>
      <c r="D457" t="s">
        <v>69</v>
      </c>
      <c r="E457" t="s">
        <v>35</v>
      </c>
      <c r="F457" t="s">
        <v>27</v>
      </c>
      <c r="G457" t="s">
        <v>28</v>
      </c>
      <c r="H457" s="3">
        <v>64</v>
      </c>
      <c r="I457" s="8">
        <v>34940</v>
      </c>
      <c r="J457" s="4">
        <v>158787</v>
      </c>
      <c r="K457" s="1">
        <v>0.18</v>
      </c>
      <c r="L457" t="s">
        <v>29</v>
      </c>
      <c r="M457" t="s">
        <v>134</v>
      </c>
      <c r="O457" s="5">
        <f t="shared" si="7"/>
        <v>28581.66</v>
      </c>
      <c r="P457" s="6">
        <f>Table1[[#This Row],[Annual Salary]]+Table1[[#This Row],[Bonus Amount]]</f>
        <v>187368.66</v>
      </c>
      <c r="Q457" t="str">
        <f>IF(Table1[[#This Row],[Exit Date]]="", "Active","Exited")</f>
        <v>Active</v>
      </c>
      <c r="R457" s="2">
        <f ca="1">IFERROR(DATEDIF(Table1[[#This Row],[Hire Date]],IF(Table1[[#This Row],[Exit Date]]="",TODAY(),Table1[[#This Row],[Exit Date]]),"Y"),"")</f>
        <v>30</v>
      </c>
      <c r="S457" t="str" cm="1">
        <f t="array" ref="S457">_xlfn.IFS(Table1[[#This Row],[Age]]&lt;30,"Under 30",Table1[[#This Row],[Age]]&lt;=40,"30-40",Table1[[#This Row],[Age]]&lt;50,"41-50",TRUE,"50+")</f>
        <v>50+</v>
      </c>
    </row>
    <row r="458" spans="1:19" x14ac:dyDescent="0.35">
      <c r="A458" t="s">
        <v>973</v>
      </c>
      <c r="B458" t="s">
        <v>974</v>
      </c>
      <c r="C458" t="s">
        <v>68</v>
      </c>
      <c r="D458" t="s">
        <v>69</v>
      </c>
      <c r="E458" t="s">
        <v>18</v>
      </c>
      <c r="F458" t="s">
        <v>27</v>
      </c>
      <c r="G458" t="s">
        <v>28</v>
      </c>
      <c r="H458" s="3">
        <v>55</v>
      </c>
      <c r="I458" s="8">
        <v>43219</v>
      </c>
      <c r="J458" s="4">
        <v>83378</v>
      </c>
      <c r="K458" s="1">
        <v>0</v>
      </c>
      <c r="L458" t="s">
        <v>29</v>
      </c>
      <c r="M458" t="s">
        <v>114</v>
      </c>
      <c r="O458" s="5">
        <f t="shared" si="7"/>
        <v>0</v>
      </c>
      <c r="P458" s="6">
        <f>Table1[[#This Row],[Annual Salary]]+Table1[[#This Row],[Bonus Amount]]</f>
        <v>83378</v>
      </c>
      <c r="Q458" t="str">
        <f>IF(Table1[[#This Row],[Exit Date]]="", "Active","Exited")</f>
        <v>Active</v>
      </c>
      <c r="R458" s="2">
        <f ca="1">IFERROR(DATEDIF(Table1[[#This Row],[Hire Date]],IF(Table1[[#This Row],[Exit Date]]="",TODAY(),Table1[[#This Row],[Exit Date]]),"Y"),"")</f>
        <v>7</v>
      </c>
      <c r="S458" t="str" cm="1">
        <f t="array" ref="S458">_xlfn.IFS(Table1[[#This Row],[Age]]&lt;30,"Under 30",Table1[[#This Row],[Age]]&lt;=40,"30-40",Table1[[#This Row],[Age]]&lt;50,"41-50",TRUE,"50+")</f>
        <v>50+</v>
      </c>
    </row>
    <row r="459" spans="1:19" x14ac:dyDescent="0.35">
      <c r="A459" t="s">
        <v>975</v>
      </c>
      <c r="B459" t="s">
        <v>976</v>
      </c>
      <c r="C459" t="s">
        <v>43</v>
      </c>
      <c r="D459" t="s">
        <v>80</v>
      </c>
      <c r="E459" t="s">
        <v>49</v>
      </c>
      <c r="F459" t="s">
        <v>19</v>
      </c>
      <c r="G459" t="s">
        <v>85</v>
      </c>
      <c r="H459" s="3">
        <v>32</v>
      </c>
      <c r="I459" s="8">
        <v>41590</v>
      </c>
      <c r="J459" s="4">
        <v>88895</v>
      </c>
      <c r="K459" s="1">
        <v>0</v>
      </c>
      <c r="L459" t="s">
        <v>21</v>
      </c>
      <c r="M459" t="s">
        <v>37</v>
      </c>
      <c r="O459" s="5">
        <f t="shared" si="7"/>
        <v>0</v>
      </c>
      <c r="P459" s="6">
        <f>Table1[[#This Row],[Annual Salary]]+Table1[[#This Row],[Bonus Amount]]</f>
        <v>88895</v>
      </c>
      <c r="Q459" t="str">
        <f>IF(Table1[[#This Row],[Exit Date]]="", "Active","Exited")</f>
        <v>Active</v>
      </c>
      <c r="R459" s="2">
        <f ca="1">IFERROR(DATEDIF(Table1[[#This Row],[Hire Date]],IF(Table1[[#This Row],[Exit Date]]="",TODAY(),Table1[[#This Row],[Exit Date]]),"Y"),"")</f>
        <v>12</v>
      </c>
      <c r="S459" t="str" cm="1">
        <f t="array" ref="S459">_xlfn.IFS(Table1[[#This Row],[Age]]&lt;30,"Under 30",Table1[[#This Row],[Age]]&lt;=40,"30-40",Table1[[#This Row],[Age]]&lt;50,"41-50",TRUE,"50+")</f>
        <v>30-40</v>
      </c>
    </row>
    <row r="460" spans="1:19" x14ac:dyDescent="0.35">
      <c r="A460" t="s">
        <v>977</v>
      </c>
      <c r="B460" t="s">
        <v>978</v>
      </c>
      <c r="C460" t="s">
        <v>33</v>
      </c>
      <c r="D460" t="s">
        <v>80</v>
      </c>
      <c r="E460" t="s">
        <v>49</v>
      </c>
      <c r="F460" t="s">
        <v>27</v>
      </c>
      <c r="G460" t="s">
        <v>28</v>
      </c>
      <c r="H460" s="3">
        <v>45</v>
      </c>
      <c r="I460" s="8">
        <v>38332</v>
      </c>
      <c r="J460" s="4">
        <v>168846</v>
      </c>
      <c r="K460" s="1">
        <v>0.24</v>
      </c>
      <c r="L460" t="s">
        <v>29</v>
      </c>
      <c r="M460" t="s">
        <v>30</v>
      </c>
      <c r="O460" s="5">
        <f t="shared" si="7"/>
        <v>40523.040000000001</v>
      </c>
      <c r="P460" s="6">
        <f>Table1[[#This Row],[Annual Salary]]+Table1[[#This Row],[Bonus Amount]]</f>
        <v>209369.04</v>
      </c>
      <c r="Q460" t="str">
        <f>IF(Table1[[#This Row],[Exit Date]]="", "Active","Exited")</f>
        <v>Active</v>
      </c>
      <c r="R460" s="2">
        <f ca="1">IFERROR(DATEDIF(Table1[[#This Row],[Hire Date]],IF(Table1[[#This Row],[Exit Date]]="",TODAY(),Table1[[#This Row],[Exit Date]]),"Y"),"")</f>
        <v>21</v>
      </c>
      <c r="S460" t="str" cm="1">
        <f t="array" ref="S460">_xlfn.IFS(Table1[[#This Row],[Age]]&lt;30,"Under 30",Table1[[#This Row],[Age]]&lt;=40,"30-40",Table1[[#This Row],[Age]]&lt;50,"41-50",TRUE,"50+")</f>
        <v>41-50</v>
      </c>
    </row>
    <row r="461" spans="1:19" x14ac:dyDescent="0.35">
      <c r="A461" t="s">
        <v>979</v>
      </c>
      <c r="B461" t="s">
        <v>980</v>
      </c>
      <c r="C461" t="s">
        <v>184</v>
      </c>
      <c r="D461" t="s">
        <v>65</v>
      </c>
      <c r="E461" t="s">
        <v>18</v>
      </c>
      <c r="F461" t="s">
        <v>27</v>
      </c>
      <c r="G461" t="s">
        <v>28</v>
      </c>
      <c r="H461" s="3">
        <v>35</v>
      </c>
      <c r="I461" s="8">
        <v>40596</v>
      </c>
      <c r="J461" s="4">
        <v>43336</v>
      </c>
      <c r="K461" s="1">
        <v>0</v>
      </c>
      <c r="L461" t="s">
        <v>21</v>
      </c>
      <c r="M461" t="s">
        <v>60</v>
      </c>
      <c r="N461" s="7">
        <v>44024</v>
      </c>
      <c r="O461" s="5">
        <f t="shared" si="7"/>
        <v>0</v>
      </c>
      <c r="P461" s="6">
        <f>Table1[[#This Row],[Annual Salary]]+Table1[[#This Row],[Bonus Amount]]</f>
        <v>43336</v>
      </c>
      <c r="Q461" t="str">
        <f>IF(Table1[[#This Row],[Exit Date]]="", "Active","Exited")</f>
        <v>Exited</v>
      </c>
      <c r="R461" s="2">
        <f ca="1">IFERROR(DATEDIF(Table1[[#This Row],[Hire Date]],IF(Table1[[#This Row],[Exit Date]]="",TODAY(),Table1[[#This Row],[Exit Date]]),"Y"),"")</f>
        <v>9</v>
      </c>
      <c r="S461" t="str" cm="1">
        <f t="array" ref="S461">_xlfn.IFS(Table1[[#This Row],[Age]]&lt;30,"Under 30",Table1[[#This Row],[Age]]&lt;=40,"30-40",Table1[[#This Row],[Age]]&lt;50,"41-50",TRUE,"50+")</f>
        <v>30-40</v>
      </c>
    </row>
    <row r="462" spans="1:19" x14ac:dyDescent="0.35">
      <c r="A462" t="s">
        <v>981</v>
      </c>
      <c r="B462" t="s">
        <v>982</v>
      </c>
      <c r="C462" t="s">
        <v>16</v>
      </c>
      <c r="D462" t="s">
        <v>65</v>
      </c>
      <c r="E462" t="s">
        <v>49</v>
      </c>
      <c r="F462" t="s">
        <v>27</v>
      </c>
      <c r="G462" t="s">
        <v>85</v>
      </c>
      <c r="H462" s="3">
        <v>38</v>
      </c>
      <c r="I462" s="8">
        <v>40083</v>
      </c>
      <c r="J462" s="4">
        <v>127801</v>
      </c>
      <c r="K462" s="1">
        <v>0.15</v>
      </c>
      <c r="L462" t="s">
        <v>21</v>
      </c>
      <c r="M462" t="s">
        <v>44</v>
      </c>
      <c r="O462" s="5">
        <f t="shared" si="7"/>
        <v>19170.149999999998</v>
      </c>
      <c r="P462" s="6">
        <f>Table1[[#This Row],[Annual Salary]]+Table1[[#This Row],[Bonus Amount]]</f>
        <v>146971.15</v>
      </c>
      <c r="Q462" t="str">
        <f>IF(Table1[[#This Row],[Exit Date]]="", "Active","Exited")</f>
        <v>Active</v>
      </c>
      <c r="R462" s="2">
        <f ca="1">IFERROR(DATEDIF(Table1[[#This Row],[Hire Date]],IF(Table1[[#This Row],[Exit Date]]="",TODAY(),Table1[[#This Row],[Exit Date]]),"Y"),"")</f>
        <v>16</v>
      </c>
      <c r="S462" t="str" cm="1">
        <f t="array" ref="S462">_xlfn.IFS(Table1[[#This Row],[Age]]&lt;30,"Under 30",Table1[[#This Row],[Age]]&lt;=40,"30-40",Table1[[#This Row],[Age]]&lt;50,"41-50",TRUE,"50+")</f>
        <v>30-40</v>
      </c>
    </row>
    <row r="463" spans="1:19" x14ac:dyDescent="0.35">
      <c r="A463" t="s">
        <v>983</v>
      </c>
      <c r="B463" t="s">
        <v>984</v>
      </c>
      <c r="C463" t="s">
        <v>485</v>
      </c>
      <c r="D463" t="s">
        <v>17</v>
      </c>
      <c r="E463" t="s">
        <v>49</v>
      </c>
      <c r="F463" t="s">
        <v>27</v>
      </c>
      <c r="G463" t="s">
        <v>20</v>
      </c>
      <c r="H463" s="3">
        <v>54</v>
      </c>
      <c r="I463" s="8">
        <v>36617</v>
      </c>
      <c r="J463" s="4">
        <v>76352</v>
      </c>
      <c r="K463" s="1">
        <v>0</v>
      </c>
      <c r="L463" t="s">
        <v>21</v>
      </c>
      <c r="M463" t="s">
        <v>60</v>
      </c>
      <c r="O463" s="5">
        <f t="shared" si="7"/>
        <v>0</v>
      </c>
      <c r="P463" s="6">
        <f>Table1[[#This Row],[Annual Salary]]+Table1[[#This Row],[Bonus Amount]]</f>
        <v>76352</v>
      </c>
      <c r="Q463" t="str">
        <f>IF(Table1[[#This Row],[Exit Date]]="", "Active","Exited")</f>
        <v>Active</v>
      </c>
      <c r="R463" s="2">
        <f ca="1">IFERROR(DATEDIF(Table1[[#This Row],[Hire Date]],IF(Table1[[#This Row],[Exit Date]]="",TODAY(),Table1[[#This Row],[Exit Date]]),"Y"),"")</f>
        <v>25</v>
      </c>
      <c r="S463" t="str" cm="1">
        <f t="array" ref="S463">_xlfn.IFS(Table1[[#This Row],[Age]]&lt;30,"Under 30",Table1[[#This Row],[Age]]&lt;=40,"30-40",Table1[[#This Row],[Age]]&lt;50,"41-50",TRUE,"50+")</f>
        <v>50+</v>
      </c>
    </row>
    <row r="464" spans="1:19" x14ac:dyDescent="0.35">
      <c r="A464" t="s">
        <v>985</v>
      </c>
      <c r="B464" t="s">
        <v>986</v>
      </c>
      <c r="C464" t="s">
        <v>79</v>
      </c>
      <c r="D464" t="s">
        <v>34</v>
      </c>
      <c r="E464" t="s">
        <v>49</v>
      </c>
      <c r="F464" t="s">
        <v>27</v>
      </c>
      <c r="G464" t="s">
        <v>36</v>
      </c>
      <c r="H464" s="3">
        <v>28</v>
      </c>
      <c r="I464" s="8">
        <v>43638</v>
      </c>
      <c r="J464" s="4">
        <v>250767</v>
      </c>
      <c r="K464" s="1">
        <v>0.38</v>
      </c>
      <c r="L464" t="s">
        <v>21</v>
      </c>
      <c r="M464" t="s">
        <v>22</v>
      </c>
      <c r="O464" s="5">
        <f t="shared" si="7"/>
        <v>95291.46</v>
      </c>
      <c r="P464" s="6">
        <f>Table1[[#This Row],[Annual Salary]]+Table1[[#This Row],[Bonus Amount]]</f>
        <v>346058.46</v>
      </c>
      <c r="Q464" t="str">
        <f>IF(Table1[[#This Row],[Exit Date]]="", "Active","Exited")</f>
        <v>Active</v>
      </c>
      <c r="R464" s="2">
        <f ca="1">IFERROR(DATEDIF(Table1[[#This Row],[Hire Date]],IF(Table1[[#This Row],[Exit Date]]="",TODAY(),Table1[[#This Row],[Exit Date]]),"Y"),"")</f>
        <v>6</v>
      </c>
      <c r="S464" t="str" cm="1">
        <f t="array" ref="S464">_xlfn.IFS(Table1[[#This Row],[Age]]&lt;30,"Under 30",Table1[[#This Row],[Age]]&lt;=40,"30-40",Table1[[#This Row],[Age]]&lt;50,"41-50",TRUE,"50+")</f>
        <v>Under 30</v>
      </c>
    </row>
    <row r="465" spans="1:19" x14ac:dyDescent="0.35">
      <c r="A465" t="s">
        <v>987</v>
      </c>
      <c r="B465" t="s">
        <v>988</v>
      </c>
      <c r="C465" t="s">
        <v>79</v>
      </c>
      <c r="D465" t="s">
        <v>80</v>
      </c>
      <c r="E465" t="s">
        <v>49</v>
      </c>
      <c r="F465" t="s">
        <v>27</v>
      </c>
      <c r="G465" t="s">
        <v>36</v>
      </c>
      <c r="H465" s="3">
        <v>26</v>
      </c>
      <c r="I465" s="8">
        <v>44101</v>
      </c>
      <c r="J465" s="4">
        <v>223055</v>
      </c>
      <c r="K465" s="1">
        <v>0.3</v>
      </c>
      <c r="L465" t="s">
        <v>21</v>
      </c>
      <c r="M465" t="s">
        <v>88</v>
      </c>
      <c r="O465" s="5">
        <f t="shared" si="7"/>
        <v>66916.5</v>
      </c>
      <c r="P465" s="6">
        <f>Table1[[#This Row],[Annual Salary]]+Table1[[#This Row],[Bonus Amount]]</f>
        <v>289971.5</v>
      </c>
      <c r="Q465" t="str">
        <f>IF(Table1[[#This Row],[Exit Date]]="", "Active","Exited")</f>
        <v>Active</v>
      </c>
      <c r="R465" s="2">
        <f ca="1">IFERROR(DATEDIF(Table1[[#This Row],[Hire Date]],IF(Table1[[#This Row],[Exit Date]]="",TODAY(),Table1[[#This Row],[Exit Date]]),"Y"),"")</f>
        <v>5</v>
      </c>
      <c r="S465" t="str" cm="1">
        <f t="array" ref="S465">_xlfn.IFS(Table1[[#This Row],[Age]]&lt;30,"Under 30",Table1[[#This Row],[Age]]&lt;=40,"30-40",Table1[[#This Row],[Age]]&lt;50,"41-50",TRUE,"50+")</f>
        <v>Under 30</v>
      </c>
    </row>
    <row r="466" spans="1:19" x14ac:dyDescent="0.35">
      <c r="A466" t="s">
        <v>989</v>
      </c>
      <c r="B466" t="s">
        <v>990</v>
      </c>
      <c r="C466" t="s">
        <v>33</v>
      </c>
      <c r="D466" t="s">
        <v>69</v>
      </c>
      <c r="E466" t="s">
        <v>49</v>
      </c>
      <c r="F466" t="s">
        <v>27</v>
      </c>
      <c r="G466" t="s">
        <v>85</v>
      </c>
      <c r="H466" s="3">
        <v>45</v>
      </c>
      <c r="I466" s="8">
        <v>39185</v>
      </c>
      <c r="J466" s="4">
        <v>189680</v>
      </c>
      <c r="K466" s="1">
        <v>0.23</v>
      </c>
      <c r="L466" t="s">
        <v>93</v>
      </c>
      <c r="M466" t="s">
        <v>218</v>
      </c>
      <c r="O466" s="5">
        <f t="shared" si="7"/>
        <v>43626.400000000001</v>
      </c>
      <c r="P466" s="6">
        <f>Table1[[#This Row],[Annual Salary]]+Table1[[#This Row],[Bonus Amount]]</f>
        <v>233306.4</v>
      </c>
      <c r="Q466" t="str">
        <f>IF(Table1[[#This Row],[Exit Date]]="", "Active","Exited")</f>
        <v>Active</v>
      </c>
      <c r="R466" s="2">
        <f ca="1">IFERROR(DATEDIF(Table1[[#This Row],[Hire Date]],IF(Table1[[#This Row],[Exit Date]]="",TODAY(),Table1[[#This Row],[Exit Date]]),"Y"),"")</f>
        <v>18</v>
      </c>
      <c r="S466" t="str" cm="1">
        <f t="array" ref="S466">_xlfn.IFS(Table1[[#This Row],[Age]]&lt;30,"Under 30",Table1[[#This Row],[Age]]&lt;=40,"30-40",Table1[[#This Row],[Age]]&lt;50,"41-50",TRUE,"50+")</f>
        <v>41-50</v>
      </c>
    </row>
    <row r="467" spans="1:19" x14ac:dyDescent="0.35">
      <c r="A467" t="s">
        <v>991</v>
      </c>
      <c r="B467" t="s">
        <v>992</v>
      </c>
      <c r="C467" t="s">
        <v>223</v>
      </c>
      <c r="D467" t="s">
        <v>69</v>
      </c>
      <c r="E467" t="s">
        <v>26</v>
      </c>
      <c r="F467" t="s">
        <v>27</v>
      </c>
      <c r="G467" t="s">
        <v>36</v>
      </c>
      <c r="H467" s="3">
        <v>57</v>
      </c>
      <c r="I467" s="8">
        <v>43299</v>
      </c>
      <c r="J467" s="4">
        <v>71167</v>
      </c>
      <c r="K467" s="1">
        <v>0</v>
      </c>
      <c r="L467" t="s">
        <v>21</v>
      </c>
      <c r="M467" t="s">
        <v>88</v>
      </c>
      <c r="O467" s="5">
        <f t="shared" si="7"/>
        <v>0</v>
      </c>
      <c r="P467" s="6">
        <f>Table1[[#This Row],[Annual Salary]]+Table1[[#This Row],[Bonus Amount]]</f>
        <v>71167</v>
      </c>
      <c r="Q467" t="str">
        <f>IF(Table1[[#This Row],[Exit Date]]="", "Active","Exited")</f>
        <v>Active</v>
      </c>
      <c r="R467" s="2">
        <f ca="1">IFERROR(DATEDIF(Table1[[#This Row],[Hire Date]],IF(Table1[[#This Row],[Exit Date]]="",TODAY(),Table1[[#This Row],[Exit Date]]),"Y"),"")</f>
        <v>7</v>
      </c>
      <c r="S467" t="str" cm="1">
        <f t="array" ref="S467">_xlfn.IFS(Table1[[#This Row],[Age]]&lt;30,"Under 30",Table1[[#This Row],[Age]]&lt;=40,"30-40",Table1[[#This Row],[Age]]&lt;50,"41-50",TRUE,"50+")</f>
        <v>50+</v>
      </c>
    </row>
    <row r="468" spans="1:19" x14ac:dyDescent="0.35">
      <c r="A468" t="s">
        <v>993</v>
      </c>
      <c r="B468" t="s">
        <v>994</v>
      </c>
      <c r="C468" t="s">
        <v>25</v>
      </c>
      <c r="D468" t="s">
        <v>17</v>
      </c>
      <c r="E468" t="s">
        <v>35</v>
      </c>
      <c r="F468" t="s">
        <v>19</v>
      </c>
      <c r="G468" t="s">
        <v>36</v>
      </c>
      <c r="H468" s="3">
        <v>59</v>
      </c>
      <c r="I468" s="8">
        <v>40272</v>
      </c>
      <c r="J468" s="4">
        <v>76027</v>
      </c>
      <c r="K468" s="1">
        <v>0</v>
      </c>
      <c r="L468" t="s">
        <v>21</v>
      </c>
      <c r="M468" t="s">
        <v>22</v>
      </c>
      <c r="O468" s="5">
        <f t="shared" si="7"/>
        <v>0</v>
      </c>
      <c r="P468" s="6">
        <f>Table1[[#This Row],[Annual Salary]]+Table1[[#This Row],[Bonus Amount]]</f>
        <v>76027</v>
      </c>
      <c r="Q468" t="str">
        <f>IF(Table1[[#This Row],[Exit Date]]="", "Active","Exited")</f>
        <v>Active</v>
      </c>
      <c r="R468" s="2">
        <f ca="1">IFERROR(DATEDIF(Table1[[#This Row],[Hire Date]],IF(Table1[[#This Row],[Exit Date]]="",TODAY(),Table1[[#This Row],[Exit Date]]),"Y"),"")</f>
        <v>15</v>
      </c>
      <c r="S468" t="str" cm="1">
        <f t="array" ref="S468">_xlfn.IFS(Table1[[#This Row],[Age]]&lt;30,"Under 30",Table1[[#This Row],[Age]]&lt;=40,"30-40",Table1[[#This Row],[Age]]&lt;50,"41-50",TRUE,"50+")</f>
        <v>50+</v>
      </c>
    </row>
    <row r="469" spans="1:19" x14ac:dyDescent="0.35">
      <c r="A469" t="s">
        <v>995</v>
      </c>
      <c r="B469" t="s">
        <v>996</v>
      </c>
      <c r="C469" t="s">
        <v>33</v>
      </c>
      <c r="D469" t="s">
        <v>69</v>
      </c>
      <c r="E469" t="s">
        <v>49</v>
      </c>
      <c r="F469" t="s">
        <v>27</v>
      </c>
      <c r="G469" t="s">
        <v>85</v>
      </c>
      <c r="H469" s="3">
        <v>48</v>
      </c>
      <c r="I469" s="8">
        <v>43809</v>
      </c>
      <c r="J469" s="4">
        <v>183113</v>
      </c>
      <c r="K469" s="1">
        <v>0.24</v>
      </c>
      <c r="L469" t="s">
        <v>93</v>
      </c>
      <c r="M469" t="s">
        <v>99</v>
      </c>
      <c r="O469" s="5">
        <f t="shared" si="7"/>
        <v>43947.119999999995</v>
      </c>
      <c r="P469" s="6">
        <f>Table1[[#This Row],[Annual Salary]]+Table1[[#This Row],[Bonus Amount]]</f>
        <v>227060.12</v>
      </c>
      <c r="Q469" t="str">
        <f>IF(Table1[[#This Row],[Exit Date]]="", "Active","Exited")</f>
        <v>Active</v>
      </c>
      <c r="R469" s="2">
        <f ca="1">IFERROR(DATEDIF(Table1[[#This Row],[Hire Date]],IF(Table1[[#This Row],[Exit Date]]="",TODAY(),Table1[[#This Row],[Exit Date]]),"Y"),"")</f>
        <v>6</v>
      </c>
      <c r="S469" t="str" cm="1">
        <f t="array" ref="S469">_xlfn.IFS(Table1[[#This Row],[Age]]&lt;30,"Under 30",Table1[[#This Row],[Age]]&lt;=40,"30-40",Table1[[#This Row],[Age]]&lt;50,"41-50",TRUE,"50+")</f>
        <v>41-50</v>
      </c>
    </row>
    <row r="470" spans="1:19" x14ac:dyDescent="0.35">
      <c r="A470" t="s">
        <v>997</v>
      </c>
      <c r="B470" t="s">
        <v>998</v>
      </c>
      <c r="C470" t="s">
        <v>124</v>
      </c>
      <c r="D470" t="s">
        <v>59</v>
      </c>
      <c r="E470" t="s">
        <v>26</v>
      </c>
      <c r="F470" t="s">
        <v>27</v>
      </c>
      <c r="G470" t="s">
        <v>20</v>
      </c>
      <c r="H470" s="3">
        <v>30</v>
      </c>
      <c r="I470" s="8">
        <v>44124</v>
      </c>
      <c r="J470" s="4">
        <v>67753</v>
      </c>
      <c r="K470" s="1">
        <v>0</v>
      </c>
      <c r="L470" t="s">
        <v>21</v>
      </c>
      <c r="M470" t="s">
        <v>44</v>
      </c>
      <c r="O470" s="5">
        <f t="shared" si="7"/>
        <v>0</v>
      </c>
      <c r="P470" s="6">
        <f>Table1[[#This Row],[Annual Salary]]+Table1[[#This Row],[Bonus Amount]]</f>
        <v>67753</v>
      </c>
      <c r="Q470" t="str">
        <f>IF(Table1[[#This Row],[Exit Date]]="", "Active","Exited")</f>
        <v>Active</v>
      </c>
      <c r="R470" s="2">
        <f ca="1">IFERROR(DATEDIF(Table1[[#This Row],[Hire Date]],IF(Table1[[#This Row],[Exit Date]]="",TODAY(),Table1[[#This Row],[Exit Date]]),"Y"),"")</f>
        <v>5</v>
      </c>
      <c r="S470" t="str" cm="1">
        <f t="array" ref="S470">_xlfn.IFS(Table1[[#This Row],[Age]]&lt;30,"Under 30",Table1[[#This Row],[Age]]&lt;=40,"30-40",Table1[[#This Row],[Age]]&lt;50,"41-50",TRUE,"50+")</f>
        <v>30-40</v>
      </c>
    </row>
    <row r="471" spans="1:19" x14ac:dyDescent="0.35">
      <c r="A471" t="s">
        <v>999</v>
      </c>
      <c r="B471" t="s">
        <v>1000</v>
      </c>
      <c r="C471" t="s">
        <v>40</v>
      </c>
      <c r="D471" t="s">
        <v>17</v>
      </c>
      <c r="E471" t="s">
        <v>49</v>
      </c>
      <c r="F471" t="s">
        <v>27</v>
      </c>
      <c r="G471" t="s">
        <v>20</v>
      </c>
      <c r="H471" s="3">
        <v>31</v>
      </c>
      <c r="I471" s="8">
        <v>42656</v>
      </c>
      <c r="J471" s="4">
        <v>63744</v>
      </c>
      <c r="K471" s="1">
        <v>0.08</v>
      </c>
      <c r="L471" t="s">
        <v>21</v>
      </c>
      <c r="M471" t="s">
        <v>60</v>
      </c>
      <c r="O471" s="5">
        <f t="shared" si="7"/>
        <v>5099.5200000000004</v>
      </c>
      <c r="P471" s="6">
        <f>Table1[[#This Row],[Annual Salary]]+Table1[[#This Row],[Bonus Amount]]</f>
        <v>68843.520000000004</v>
      </c>
      <c r="Q471" t="str">
        <f>IF(Table1[[#This Row],[Exit Date]]="", "Active","Exited")</f>
        <v>Active</v>
      </c>
      <c r="R471" s="2">
        <f ca="1">IFERROR(DATEDIF(Table1[[#This Row],[Hire Date]],IF(Table1[[#This Row],[Exit Date]]="",TODAY(),Table1[[#This Row],[Exit Date]]),"Y"),"")</f>
        <v>9</v>
      </c>
      <c r="S471" t="str" cm="1">
        <f t="array" ref="S471">_xlfn.IFS(Table1[[#This Row],[Age]]&lt;30,"Under 30",Table1[[#This Row],[Age]]&lt;=40,"30-40",Table1[[#This Row],[Age]]&lt;50,"41-50",TRUE,"50+")</f>
        <v>30-40</v>
      </c>
    </row>
    <row r="472" spans="1:19" x14ac:dyDescent="0.35">
      <c r="A472" t="s">
        <v>341</v>
      </c>
      <c r="B472" t="s">
        <v>1001</v>
      </c>
      <c r="C472" t="s">
        <v>108</v>
      </c>
      <c r="D472" t="s">
        <v>69</v>
      </c>
      <c r="E472" t="s">
        <v>26</v>
      </c>
      <c r="F472" t="s">
        <v>19</v>
      </c>
      <c r="G472" t="s">
        <v>28</v>
      </c>
      <c r="H472" s="3">
        <v>50</v>
      </c>
      <c r="I472" s="8">
        <v>37446</v>
      </c>
      <c r="J472" s="4">
        <v>92209</v>
      </c>
      <c r="K472" s="1">
        <v>0</v>
      </c>
      <c r="L472" t="s">
        <v>29</v>
      </c>
      <c r="M472" t="s">
        <v>74</v>
      </c>
      <c r="O472" s="5">
        <f t="shared" si="7"/>
        <v>0</v>
      </c>
      <c r="P472" s="6">
        <f>Table1[[#This Row],[Annual Salary]]+Table1[[#This Row],[Bonus Amount]]</f>
        <v>92209</v>
      </c>
      <c r="Q472" t="str">
        <f>IF(Table1[[#This Row],[Exit Date]]="", "Active","Exited")</f>
        <v>Active</v>
      </c>
      <c r="R472" s="2">
        <f ca="1">IFERROR(DATEDIF(Table1[[#This Row],[Hire Date]],IF(Table1[[#This Row],[Exit Date]]="",TODAY(),Table1[[#This Row],[Exit Date]]),"Y"),"")</f>
        <v>23</v>
      </c>
      <c r="S472" t="str" cm="1">
        <f t="array" ref="S472">_xlfn.IFS(Table1[[#This Row],[Age]]&lt;30,"Under 30",Table1[[#This Row],[Age]]&lt;=40,"30-40",Table1[[#This Row],[Age]]&lt;50,"41-50",TRUE,"50+")</f>
        <v>50+</v>
      </c>
    </row>
    <row r="473" spans="1:19" x14ac:dyDescent="0.35">
      <c r="A473" t="s">
        <v>1002</v>
      </c>
      <c r="B473" t="s">
        <v>1003</v>
      </c>
      <c r="C473" t="s">
        <v>16</v>
      </c>
      <c r="D473" t="s">
        <v>48</v>
      </c>
      <c r="E473" t="s">
        <v>49</v>
      </c>
      <c r="F473" t="s">
        <v>27</v>
      </c>
      <c r="G473" t="s">
        <v>20</v>
      </c>
      <c r="H473" s="3">
        <v>51</v>
      </c>
      <c r="I473" s="8">
        <v>36770</v>
      </c>
      <c r="J473" s="4">
        <v>157487</v>
      </c>
      <c r="K473" s="1">
        <v>0.12</v>
      </c>
      <c r="L473" t="s">
        <v>21</v>
      </c>
      <c r="M473" t="s">
        <v>44</v>
      </c>
      <c r="O473" s="5">
        <f t="shared" si="7"/>
        <v>18898.439999999999</v>
      </c>
      <c r="P473" s="6">
        <f>Table1[[#This Row],[Annual Salary]]+Table1[[#This Row],[Bonus Amount]]</f>
        <v>176385.44</v>
      </c>
      <c r="Q473" t="str">
        <f>IF(Table1[[#This Row],[Exit Date]]="", "Active","Exited")</f>
        <v>Active</v>
      </c>
      <c r="R473" s="2">
        <f ca="1">IFERROR(DATEDIF(Table1[[#This Row],[Hire Date]],IF(Table1[[#This Row],[Exit Date]]="",TODAY(),Table1[[#This Row],[Exit Date]]),"Y"),"")</f>
        <v>25</v>
      </c>
      <c r="S473" t="str" cm="1">
        <f t="array" ref="S473">_xlfn.IFS(Table1[[#This Row],[Age]]&lt;30,"Under 30",Table1[[#This Row],[Age]]&lt;=40,"30-40",Table1[[#This Row],[Age]]&lt;50,"41-50",TRUE,"50+")</f>
        <v>50+</v>
      </c>
    </row>
    <row r="474" spans="1:19" x14ac:dyDescent="0.35">
      <c r="A474" t="s">
        <v>1004</v>
      </c>
      <c r="B474" t="s">
        <v>1005</v>
      </c>
      <c r="C474" t="s">
        <v>43</v>
      </c>
      <c r="D474" t="s">
        <v>80</v>
      </c>
      <c r="E474" t="s">
        <v>18</v>
      </c>
      <c r="F474" t="s">
        <v>27</v>
      </c>
      <c r="G474" t="s">
        <v>85</v>
      </c>
      <c r="H474" s="3">
        <v>42</v>
      </c>
      <c r="I474" s="8">
        <v>42101</v>
      </c>
      <c r="J474" s="4">
        <v>99697</v>
      </c>
      <c r="K474" s="1">
        <v>0</v>
      </c>
      <c r="L474" t="s">
        <v>93</v>
      </c>
      <c r="M474" t="s">
        <v>99</v>
      </c>
      <c r="O474" s="5">
        <f t="shared" si="7"/>
        <v>0</v>
      </c>
      <c r="P474" s="6">
        <f>Table1[[#This Row],[Annual Salary]]+Table1[[#This Row],[Bonus Amount]]</f>
        <v>99697</v>
      </c>
      <c r="Q474" t="str">
        <f>IF(Table1[[#This Row],[Exit Date]]="", "Active","Exited")</f>
        <v>Active</v>
      </c>
      <c r="R474" s="2">
        <f ca="1">IFERROR(DATEDIF(Table1[[#This Row],[Hire Date]],IF(Table1[[#This Row],[Exit Date]]="",TODAY(),Table1[[#This Row],[Exit Date]]),"Y"),"")</f>
        <v>10</v>
      </c>
      <c r="S474" t="str" cm="1">
        <f t="array" ref="S474">_xlfn.IFS(Table1[[#This Row],[Age]]&lt;30,"Under 30",Table1[[#This Row],[Age]]&lt;=40,"30-40",Table1[[#This Row],[Age]]&lt;50,"41-50",TRUE,"50+")</f>
        <v>41-50</v>
      </c>
    </row>
    <row r="475" spans="1:19" x14ac:dyDescent="0.35">
      <c r="A475" t="s">
        <v>1006</v>
      </c>
      <c r="B475" t="s">
        <v>1007</v>
      </c>
      <c r="C475" t="s">
        <v>485</v>
      </c>
      <c r="D475" t="s">
        <v>17</v>
      </c>
      <c r="E475" t="s">
        <v>18</v>
      </c>
      <c r="F475" t="s">
        <v>27</v>
      </c>
      <c r="G475" t="s">
        <v>28</v>
      </c>
      <c r="H475" s="3">
        <v>45</v>
      </c>
      <c r="I475" s="8">
        <v>40235</v>
      </c>
      <c r="J475" s="4">
        <v>90770</v>
      </c>
      <c r="K475" s="1">
        <v>0</v>
      </c>
      <c r="L475" t="s">
        <v>21</v>
      </c>
      <c r="M475" t="s">
        <v>88</v>
      </c>
      <c r="O475" s="5">
        <f t="shared" si="7"/>
        <v>0</v>
      </c>
      <c r="P475" s="6">
        <f>Table1[[#This Row],[Annual Salary]]+Table1[[#This Row],[Bonus Amount]]</f>
        <v>90770</v>
      </c>
      <c r="Q475" t="str">
        <f>IF(Table1[[#This Row],[Exit Date]]="", "Active","Exited")</f>
        <v>Active</v>
      </c>
      <c r="R475" s="2">
        <f ca="1">IFERROR(DATEDIF(Table1[[#This Row],[Hire Date]],IF(Table1[[#This Row],[Exit Date]]="",TODAY(),Table1[[#This Row],[Exit Date]]),"Y"),"")</f>
        <v>16</v>
      </c>
      <c r="S475" t="str" cm="1">
        <f t="array" ref="S475">_xlfn.IFS(Table1[[#This Row],[Age]]&lt;30,"Under 30",Table1[[#This Row],[Age]]&lt;=40,"30-40",Table1[[#This Row],[Age]]&lt;50,"41-50",TRUE,"50+")</f>
        <v>41-50</v>
      </c>
    </row>
    <row r="476" spans="1:19" x14ac:dyDescent="0.35">
      <c r="A476" t="s">
        <v>1008</v>
      </c>
      <c r="B476" t="s">
        <v>1009</v>
      </c>
      <c r="C476" t="s">
        <v>55</v>
      </c>
      <c r="D476" t="s">
        <v>48</v>
      </c>
      <c r="E476" t="s">
        <v>35</v>
      </c>
      <c r="F476" t="s">
        <v>19</v>
      </c>
      <c r="G476" t="s">
        <v>28</v>
      </c>
      <c r="H476" s="3">
        <v>64</v>
      </c>
      <c r="I476" s="8">
        <v>38380</v>
      </c>
      <c r="J476" s="4">
        <v>55369</v>
      </c>
      <c r="K476" s="1">
        <v>0</v>
      </c>
      <c r="L476" t="s">
        <v>21</v>
      </c>
      <c r="M476" t="s">
        <v>44</v>
      </c>
      <c r="O476" s="5">
        <f t="shared" si="7"/>
        <v>0</v>
      </c>
      <c r="P476" s="6">
        <f>Table1[[#This Row],[Annual Salary]]+Table1[[#This Row],[Bonus Amount]]</f>
        <v>55369</v>
      </c>
      <c r="Q476" t="str">
        <f>IF(Table1[[#This Row],[Exit Date]]="", "Active","Exited")</f>
        <v>Active</v>
      </c>
      <c r="R476" s="2">
        <f ca="1">IFERROR(DATEDIF(Table1[[#This Row],[Hire Date]],IF(Table1[[#This Row],[Exit Date]]="",TODAY(),Table1[[#This Row],[Exit Date]]),"Y"),"")</f>
        <v>21</v>
      </c>
      <c r="S476" t="str" cm="1">
        <f t="array" ref="S476">_xlfn.IFS(Table1[[#This Row],[Age]]&lt;30,"Under 30",Table1[[#This Row],[Age]]&lt;=40,"30-40",Table1[[#This Row],[Age]]&lt;50,"41-50",TRUE,"50+")</f>
        <v>50+</v>
      </c>
    </row>
    <row r="477" spans="1:19" x14ac:dyDescent="0.35">
      <c r="A477" t="s">
        <v>1010</v>
      </c>
      <c r="B477" t="s">
        <v>1011</v>
      </c>
      <c r="C477" t="s">
        <v>175</v>
      </c>
      <c r="D477" t="s">
        <v>69</v>
      </c>
      <c r="E477" t="s">
        <v>35</v>
      </c>
      <c r="F477" t="s">
        <v>19</v>
      </c>
      <c r="G477" t="s">
        <v>85</v>
      </c>
      <c r="H477" s="3">
        <v>59</v>
      </c>
      <c r="I477" s="8">
        <v>41898</v>
      </c>
      <c r="J477" s="4">
        <v>69578</v>
      </c>
      <c r="K477" s="1">
        <v>0</v>
      </c>
      <c r="L477" t="s">
        <v>93</v>
      </c>
      <c r="M477" t="s">
        <v>99</v>
      </c>
      <c r="O477" s="5">
        <f t="shared" si="7"/>
        <v>0</v>
      </c>
      <c r="P477" s="6">
        <f>Table1[[#This Row],[Annual Salary]]+Table1[[#This Row],[Bonus Amount]]</f>
        <v>69578</v>
      </c>
      <c r="Q477" t="str">
        <f>IF(Table1[[#This Row],[Exit Date]]="", "Active","Exited")</f>
        <v>Active</v>
      </c>
      <c r="R477" s="2">
        <f ca="1">IFERROR(DATEDIF(Table1[[#This Row],[Hire Date]],IF(Table1[[#This Row],[Exit Date]]="",TODAY(),Table1[[#This Row],[Exit Date]]),"Y"),"")</f>
        <v>11</v>
      </c>
      <c r="S477" t="str" cm="1">
        <f t="array" ref="S477">_xlfn.IFS(Table1[[#This Row],[Age]]&lt;30,"Under 30",Table1[[#This Row],[Age]]&lt;=40,"30-40",Table1[[#This Row],[Age]]&lt;50,"41-50",TRUE,"50+")</f>
        <v>50+</v>
      </c>
    </row>
    <row r="478" spans="1:19" x14ac:dyDescent="0.35">
      <c r="A478" t="s">
        <v>1012</v>
      </c>
      <c r="B478" t="s">
        <v>1013</v>
      </c>
      <c r="C478" t="s">
        <v>33</v>
      </c>
      <c r="D478" t="s">
        <v>59</v>
      </c>
      <c r="E478" t="s">
        <v>35</v>
      </c>
      <c r="F478" t="s">
        <v>27</v>
      </c>
      <c r="G478" t="s">
        <v>36</v>
      </c>
      <c r="H478" s="3">
        <v>41</v>
      </c>
      <c r="I478" s="8">
        <v>41429</v>
      </c>
      <c r="J478" s="4">
        <v>167526</v>
      </c>
      <c r="K478" s="1">
        <v>0.26</v>
      </c>
      <c r="L478" t="s">
        <v>21</v>
      </c>
      <c r="M478" t="s">
        <v>56</v>
      </c>
      <c r="O478" s="5">
        <f t="shared" si="7"/>
        <v>43556.76</v>
      </c>
      <c r="P478" s="6">
        <f>Table1[[#This Row],[Annual Salary]]+Table1[[#This Row],[Bonus Amount]]</f>
        <v>211082.76</v>
      </c>
      <c r="Q478" t="str">
        <f>IF(Table1[[#This Row],[Exit Date]]="", "Active","Exited")</f>
        <v>Active</v>
      </c>
      <c r="R478" s="2">
        <f ca="1">IFERROR(DATEDIF(Table1[[#This Row],[Hire Date]],IF(Table1[[#This Row],[Exit Date]]="",TODAY(),Table1[[#This Row],[Exit Date]]),"Y"),"")</f>
        <v>12</v>
      </c>
      <c r="S478" t="str" cm="1">
        <f t="array" ref="S478">_xlfn.IFS(Table1[[#This Row],[Age]]&lt;30,"Under 30",Table1[[#This Row],[Age]]&lt;=40,"30-40",Table1[[#This Row],[Age]]&lt;50,"41-50",TRUE,"50+")</f>
        <v>41-50</v>
      </c>
    </row>
    <row r="479" spans="1:19" x14ac:dyDescent="0.35">
      <c r="A479" t="s">
        <v>1014</v>
      </c>
      <c r="B479" t="s">
        <v>1015</v>
      </c>
      <c r="C479" t="s">
        <v>175</v>
      </c>
      <c r="D479" t="s">
        <v>69</v>
      </c>
      <c r="E479" t="s">
        <v>35</v>
      </c>
      <c r="F479" t="s">
        <v>19</v>
      </c>
      <c r="G479" t="s">
        <v>85</v>
      </c>
      <c r="H479" s="3">
        <v>42</v>
      </c>
      <c r="I479" s="8">
        <v>44232</v>
      </c>
      <c r="J479" s="4">
        <v>65507</v>
      </c>
      <c r="K479" s="1">
        <v>0</v>
      </c>
      <c r="L479" t="s">
        <v>93</v>
      </c>
      <c r="M479" t="s">
        <v>94</v>
      </c>
      <c r="O479" s="5">
        <f t="shared" si="7"/>
        <v>0</v>
      </c>
      <c r="P479" s="6">
        <f>Table1[[#This Row],[Annual Salary]]+Table1[[#This Row],[Bonus Amount]]</f>
        <v>65507</v>
      </c>
      <c r="Q479" t="str">
        <f>IF(Table1[[#This Row],[Exit Date]]="", "Active","Exited")</f>
        <v>Active</v>
      </c>
      <c r="R479" s="2">
        <f ca="1">IFERROR(DATEDIF(Table1[[#This Row],[Hire Date]],IF(Table1[[#This Row],[Exit Date]]="",TODAY(),Table1[[#This Row],[Exit Date]]),"Y"),"")</f>
        <v>5</v>
      </c>
      <c r="S479" t="str" cm="1">
        <f t="array" ref="S479">_xlfn.IFS(Table1[[#This Row],[Age]]&lt;30,"Under 30",Table1[[#This Row],[Age]]&lt;=40,"30-40",Table1[[#This Row],[Age]]&lt;50,"41-50",TRUE,"50+")</f>
        <v>41-50</v>
      </c>
    </row>
    <row r="480" spans="1:19" x14ac:dyDescent="0.35">
      <c r="A480" t="s">
        <v>1016</v>
      </c>
      <c r="B480" t="s">
        <v>1017</v>
      </c>
      <c r="C480" t="s">
        <v>52</v>
      </c>
      <c r="D480" t="s">
        <v>34</v>
      </c>
      <c r="E480" t="s">
        <v>18</v>
      </c>
      <c r="F480" t="s">
        <v>27</v>
      </c>
      <c r="G480" t="s">
        <v>85</v>
      </c>
      <c r="H480" s="3">
        <v>54</v>
      </c>
      <c r="I480" s="8">
        <v>35913</v>
      </c>
      <c r="J480" s="4">
        <v>108268</v>
      </c>
      <c r="K480" s="1">
        <v>0.09</v>
      </c>
      <c r="L480" t="s">
        <v>93</v>
      </c>
      <c r="M480" t="s">
        <v>218</v>
      </c>
      <c r="N480" s="7">
        <v>38122</v>
      </c>
      <c r="O480" s="5">
        <f t="shared" si="7"/>
        <v>9744.119999999999</v>
      </c>
      <c r="P480" s="6">
        <f>Table1[[#This Row],[Annual Salary]]+Table1[[#This Row],[Bonus Amount]]</f>
        <v>118012.12</v>
      </c>
      <c r="Q480" t="str">
        <f>IF(Table1[[#This Row],[Exit Date]]="", "Active","Exited")</f>
        <v>Exited</v>
      </c>
      <c r="R480" s="2">
        <f ca="1">IFERROR(DATEDIF(Table1[[#This Row],[Hire Date]],IF(Table1[[#This Row],[Exit Date]]="",TODAY(),Table1[[#This Row],[Exit Date]]),"Y"),"")</f>
        <v>6</v>
      </c>
      <c r="S480" t="str" cm="1">
        <f t="array" ref="S480">_xlfn.IFS(Table1[[#This Row],[Age]]&lt;30,"Under 30",Table1[[#This Row],[Age]]&lt;=40,"30-40",Table1[[#This Row],[Age]]&lt;50,"41-50",TRUE,"50+")</f>
        <v>50+</v>
      </c>
    </row>
    <row r="481" spans="1:19" x14ac:dyDescent="0.35">
      <c r="A481" t="s">
        <v>1018</v>
      </c>
      <c r="B481" t="s">
        <v>1019</v>
      </c>
      <c r="C481" t="s">
        <v>25</v>
      </c>
      <c r="D481" t="s">
        <v>17</v>
      </c>
      <c r="E481" t="s">
        <v>18</v>
      </c>
      <c r="F481" t="s">
        <v>27</v>
      </c>
      <c r="G481" t="s">
        <v>28</v>
      </c>
      <c r="H481" s="3">
        <v>37</v>
      </c>
      <c r="I481" s="8">
        <v>42405</v>
      </c>
      <c r="J481" s="4">
        <v>80055</v>
      </c>
      <c r="K481" s="1">
        <v>0</v>
      </c>
      <c r="L481" t="s">
        <v>29</v>
      </c>
      <c r="M481" t="s">
        <v>114</v>
      </c>
      <c r="O481" s="5">
        <f t="shared" si="7"/>
        <v>0</v>
      </c>
      <c r="P481" s="6">
        <f>Table1[[#This Row],[Annual Salary]]+Table1[[#This Row],[Bonus Amount]]</f>
        <v>80055</v>
      </c>
      <c r="Q481" t="str">
        <f>IF(Table1[[#This Row],[Exit Date]]="", "Active","Exited")</f>
        <v>Active</v>
      </c>
      <c r="R481" s="2">
        <f ca="1">IFERROR(DATEDIF(Table1[[#This Row],[Hire Date]],IF(Table1[[#This Row],[Exit Date]]="",TODAY(),Table1[[#This Row],[Exit Date]]),"Y"),"")</f>
        <v>10</v>
      </c>
      <c r="S481" t="str" cm="1">
        <f t="array" ref="S481">_xlfn.IFS(Table1[[#This Row],[Age]]&lt;30,"Under 30",Table1[[#This Row],[Age]]&lt;=40,"30-40",Table1[[#This Row],[Age]]&lt;50,"41-50",TRUE,"50+")</f>
        <v>30-40</v>
      </c>
    </row>
    <row r="482" spans="1:19" x14ac:dyDescent="0.35">
      <c r="A482" t="s">
        <v>1020</v>
      </c>
      <c r="B482" t="s">
        <v>1021</v>
      </c>
      <c r="C482" t="s">
        <v>43</v>
      </c>
      <c r="D482" t="s">
        <v>48</v>
      </c>
      <c r="E482" t="s">
        <v>18</v>
      </c>
      <c r="F482" t="s">
        <v>27</v>
      </c>
      <c r="G482" t="s">
        <v>85</v>
      </c>
      <c r="H482" s="3">
        <v>58</v>
      </c>
      <c r="I482" s="8">
        <v>39930</v>
      </c>
      <c r="J482" s="4">
        <v>76802</v>
      </c>
      <c r="K482" s="1">
        <v>0</v>
      </c>
      <c r="L482" t="s">
        <v>93</v>
      </c>
      <c r="M482" t="s">
        <v>94</v>
      </c>
      <c r="O482" s="5">
        <f t="shared" si="7"/>
        <v>0</v>
      </c>
      <c r="P482" s="6">
        <f>Table1[[#This Row],[Annual Salary]]+Table1[[#This Row],[Bonus Amount]]</f>
        <v>76802</v>
      </c>
      <c r="Q482" t="str">
        <f>IF(Table1[[#This Row],[Exit Date]]="", "Active","Exited")</f>
        <v>Active</v>
      </c>
      <c r="R482" s="2">
        <f ca="1">IFERROR(DATEDIF(Table1[[#This Row],[Hire Date]],IF(Table1[[#This Row],[Exit Date]]="",TODAY(),Table1[[#This Row],[Exit Date]]),"Y"),"")</f>
        <v>16</v>
      </c>
      <c r="S482" t="str" cm="1">
        <f t="array" ref="S482">_xlfn.IFS(Table1[[#This Row],[Age]]&lt;30,"Under 30",Table1[[#This Row],[Age]]&lt;=40,"30-40",Table1[[#This Row],[Age]]&lt;50,"41-50",TRUE,"50+")</f>
        <v>50+</v>
      </c>
    </row>
    <row r="483" spans="1:19" x14ac:dyDescent="0.35">
      <c r="A483" t="s">
        <v>1022</v>
      </c>
      <c r="B483" t="s">
        <v>1023</v>
      </c>
      <c r="C483" t="s">
        <v>79</v>
      </c>
      <c r="D483" t="s">
        <v>48</v>
      </c>
      <c r="E483" t="s">
        <v>35</v>
      </c>
      <c r="F483" t="s">
        <v>27</v>
      </c>
      <c r="G483" t="s">
        <v>28</v>
      </c>
      <c r="H483" s="3">
        <v>47</v>
      </c>
      <c r="I483" s="8">
        <v>42696</v>
      </c>
      <c r="J483" s="4">
        <v>253249</v>
      </c>
      <c r="K483" s="1">
        <v>0.31</v>
      </c>
      <c r="L483" t="s">
        <v>21</v>
      </c>
      <c r="M483" t="s">
        <v>60</v>
      </c>
      <c r="O483" s="5">
        <f t="shared" si="7"/>
        <v>78507.19</v>
      </c>
      <c r="P483" s="6">
        <f>Table1[[#This Row],[Annual Salary]]+Table1[[#This Row],[Bonus Amount]]</f>
        <v>331756.19</v>
      </c>
      <c r="Q483" t="str">
        <f>IF(Table1[[#This Row],[Exit Date]]="", "Active","Exited")</f>
        <v>Active</v>
      </c>
      <c r="R483" s="2">
        <f ca="1">IFERROR(DATEDIF(Table1[[#This Row],[Hire Date]],IF(Table1[[#This Row],[Exit Date]]="",TODAY(),Table1[[#This Row],[Exit Date]]),"Y"),"")</f>
        <v>9</v>
      </c>
      <c r="S483" t="str" cm="1">
        <f t="array" ref="S483">_xlfn.IFS(Table1[[#This Row],[Age]]&lt;30,"Under 30",Table1[[#This Row],[Age]]&lt;=40,"30-40",Table1[[#This Row],[Age]]&lt;50,"41-50",TRUE,"50+")</f>
        <v>41-50</v>
      </c>
    </row>
    <row r="484" spans="1:19" x14ac:dyDescent="0.35">
      <c r="A484" t="s">
        <v>154</v>
      </c>
      <c r="B484" t="s">
        <v>1024</v>
      </c>
      <c r="C484" t="s">
        <v>143</v>
      </c>
      <c r="D484" t="s">
        <v>65</v>
      </c>
      <c r="E484" t="s">
        <v>18</v>
      </c>
      <c r="F484" t="s">
        <v>19</v>
      </c>
      <c r="G484" t="s">
        <v>28</v>
      </c>
      <c r="H484" s="3">
        <v>60</v>
      </c>
      <c r="I484" s="8">
        <v>38667</v>
      </c>
      <c r="J484" s="4">
        <v>78388</v>
      </c>
      <c r="K484" s="1">
        <v>0</v>
      </c>
      <c r="L484" t="s">
        <v>29</v>
      </c>
      <c r="M484" t="s">
        <v>30</v>
      </c>
      <c r="O484" s="5">
        <f t="shared" si="7"/>
        <v>0</v>
      </c>
      <c r="P484" s="6">
        <f>Table1[[#This Row],[Annual Salary]]+Table1[[#This Row],[Bonus Amount]]</f>
        <v>78388</v>
      </c>
      <c r="Q484" t="str">
        <f>IF(Table1[[#This Row],[Exit Date]]="", "Active","Exited")</f>
        <v>Active</v>
      </c>
      <c r="R484" s="2">
        <f ca="1">IFERROR(DATEDIF(Table1[[#This Row],[Hire Date]],IF(Table1[[#This Row],[Exit Date]]="",TODAY(),Table1[[#This Row],[Exit Date]]),"Y"),"")</f>
        <v>20</v>
      </c>
      <c r="S484" t="str" cm="1">
        <f t="array" ref="S484">_xlfn.IFS(Table1[[#This Row],[Age]]&lt;30,"Under 30",Table1[[#This Row],[Age]]&lt;=40,"30-40",Table1[[#This Row],[Age]]&lt;50,"41-50",TRUE,"50+")</f>
        <v>50+</v>
      </c>
    </row>
    <row r="485" spans="1:19" x14ac:dyDescent="0.35">
      <c r="A485" t="s">
        <v>540</v>
      </c>
      <c r="B485" t="s">
        <v>1025</v>
      </c>
      <c r="C485" t="s">
        <v>79</v>
      </c>
      <c r="D485" t="s">
        <v>17</v>
      </c>
      <c r="E485" t="s">
        <v>49</v>
      </c>
      <c r="F485" t="s">
        <v>27</v>
      </c>
      <c r="G485" t="s">
        <v>36</v>
      </c>
      <c r="H485" s="3">
        <v>38</v>
      </c>
      <c r="I485" s="8">
        <v>42543</v>
      </c>
      <c r="J485" s="4">
        <v>249870</v>
      </c>
      <c r="K485" s="1">
        <v>0.34</v>
      </c>
      <c r="L485" t="s">
        <v>21</v>
      </c>
      <c r="M485" t="s">
        <v>37</v>
      </c>
      <c r="O485" s="5">
        <f t="shared" si="7"/>
        <v>84955.8</v>
      </c>
      <c r="P485" s="6">
        <f>Table1[[#This Row],[Annual Salary]]+Table1[[#This Row],[Bonus Amount]]</f>
        <v>334825.8</v>
      </c>
      <c r="Q485" t="str">
        <f>IF(Table1[[#This Row],[Exit Date]]="", "Active","Exited")</f>
        <v>Active</v>
      </c>
      <c r="R485" s="2">
        <f ca="1">IFERROR(DATEDIF(Table1[[#This Row],[Hire Date]],IF(Table1[[#This Row],[Exit Date]]="",TODAY(),Table1[[#This Row],[Exit Date]]),"Y"),"")</f>
        <v>9</v>
      </c>
      <c r="S485" t="str" cm="1">
        <f t="array" ref="S485">_xlfn.IFS(Table1[[#This Row],[Age]]&lt;30,"Under 30",Table1[[#This Row],[Age]]&lt;=40,"30-40",Table1[[#This Row],[Age]]&lt;50,"41-50",TRUE,"50+")</f>
        <v>30-40</v>
      </c>
    </row>
    <row r="486" spans="1:19" x14ac:dyDescent="0.35">
      <c r="A486" t="s">
        <v>742</v>
      </c>
      <c r="B486" t="s">
        <v>1026</v>
      </c>
      <c r="C486" t="s">
        <v>16</v>
      </c>
      <c r="D486" t="s">
        <v>80</v>
      </c>
      <c r="E486" t="s">
        <v>26</v>
      </c>
      <c r="F486" t="s">
        <v>27</v>
      </c>
      <c r="G486" t="s">
        <v>28</v>
      </c>
      <c r="H486" s="3">
        <v>63</v>
      </c>
      <c r="I486" s="8">
        <v>42064</v>
      </c>
      <c r="J486" s="4">
        <v>148321</v>
      </c>
      <c r="K486" s="1">
        <v>0.15</v>
      </c>
      <c r="L486" t="s">
        <v>29</v>
      </c>
      <c r="M486" t="s">
        <v>114</v>
      </c>
      <c r="O486" s="5">
        <f t="shared" si="7"/>
        <v>22248.149999999998</v>
      </c>
      <c r="P486" s="6">
        <f>Table1[[#This Row],[Annual Salary]]+Table1[[#This Row],[Bonus Amount]]</f>
        <v>170569.15</v>
      </c>
      <c r="Q486" t="str">
        <f>IF(Table1[[#This Row],[Exit Date]]="", "Active","Exited")</f>
        <v>Active</v>
      </c>
      <c r="R486" s="2">
        <f ca="1">IFERROR(DATEDIF(Table1[[#This Row],[Hire Date]],IF(Table1[[#This Row],[Exit Date]]="",TODAY(),Table1[[#This Row],[Exit Date]]),"Y"),"")</f>
        <v>11</v>
      </c>
      <c r="S486" t="str" cm="1">
        <f t="array" ref="S486">_xlfn.IFS(Table1[[#This Row],[Age]]&lt;30,"Under 30",Table1[[#This Row],[Age]]&lt;=40,"30-40",Table1[[#This Row],[Age]]&lt;50,"41-50",TRUE,"50+")</f>
        <v>50+</v>
      </c>
    </row>
    <row r="487" spans="1:19" x14ac:dyDescent="0.35">
      <c r="A487" t="s">
        <v>1027</v>
      </c>
      <c r="B487" t="s">
        <v>1028</v>
      </c>
      <c r="C487" t="s">
        <v>462</v>
      </c>
      <c r="D487" t="s">
        <v>17</v>
      </c>
      <c r="E487" t="s">
        <v>49</v>
      </c>
      <c r="F487" t="s">
        <v>19</v>
      </c>
      <c r="G487" t="s">
        <v>28</v>
      </c>
      <c r="H487" s="3">
        <v>60</v>
      </c>
      <c r="I487" s="8">
        <v>38027</v>
      </c>
      <c r="J487" s="4">
        <v>90258</v>
      </c>
      <c r="K487" s="1">
        <v>0</v>
      </c>
      <c r="L487" t="s">
        <v>29</v>
      </c>
      <c r="M487" t="s">
        <v>30</v>
      </c>
      <c r="O487" s="5">
        <f t="shared" si="7"/>
        <v>0</v>
      </c>
      <c r="P487" s="6">
        <f>Table1[[#This Row],[Annual Salary]]+Table1[[#This Row],[Bonus Amount]]</f>
        <v>90258</v>
      </c>
      <c r="Q487" t="str">
        <f>IF(Table1[[#This Row],[Exit Date]]="", "Active","Exited")</f>
        <v>Active</v>
      </c>
      <c r="R487" s="2">
        <f ca="1">IFERROR(DATEDIF(Table1[[#This Row],[Hire Date]],IF(Table1[[#This Row],[Exit Date]]="",TODAY(),Table1[[#This Row],[Exit Date]]),"Y"),"")</f>
        <v>22</v>
      </c>
      <c r="S487" t="str" cm="1">
        <f t="array" ref="S487">_xlfn.IFS(Table1[[#This Row],[Age]]&lt;30,"Under 30",Table1[[#This Row],[Age]]&lt;=40,"30-40",Table1[[#This Row],[Age]]&lt;50,"41-50",TRUE,"50+")</f>
        <v>50+</v>
      </c>
    </row>
    <row r="488" spans="1:19" x14ac:dyDescent="0.35">
      <c r="A488" t="s">
        <v>1029</v>
      </c>
      <c r="B488" t="s">
        <v>1030</v>
      </c>
      <c r="C488" t="s">
        <v>299</v>
      </c>
      <c r="D488" t="s">
        <v>17</v>
      </c>
      <c r="E488" t="s">
        <v>26</v>
      </c>
      <c r="F488" t="s">
        <v>19</v>
      </c>
      <c r="G488" t="s">
        <v>20</v>
      </c>
      <c r="H488" s="3">
        <v>42</v>
      </c>
      <c r="I488" s="8">
        <v>40593</v>
      </c>
      <c r="J488" s="4">
        <v>72486</v>
      </c>
      <c r="K488" s="1">
        <v>0</v>
      </c>
      <c r="L488" t="s">
        <v>21</v>
      </c>
      <c r="M488" t="s">
        <v>22</v>
      </c>
      <c r="O488" s="5">
        <f t="shared" si="7"/>
        <v>0</v>
      </c>
      <c r="P488" s="6">
        <f>Table1[[#This Row],[Annual Salary]]+Table1[[#This Row],[Bonus Amount]]</f>
        <v>72486</v>
      </c>
      <c r="Q488" t="str">
        <f>IF(Table1[[#This Row],[Exit Date]]="", "Active","Exited")</f>
        <v>Active</v>
      </c>
      <c r="R488" s="2">
        <f ca="1">IFERROR(DATEDIF(Table1[[#This Row],[Hire Date]],IF(Table1[[#This Row],[Exit Date]]="",TODAY(),Table1[[#This Row],[Exit Date]]),"Y"),"")</f>
        <v>15</v>
      </c>
      <c r="S488" t="str" cm="1">
        <f t="array" ref="S488">_xlfn.IFS(Table1[[#This Row],[Age]]&lt;30,"Under 30",Table1[[#This Row],[Age]]&lt;=40,"30-40",Table1[[#This Row],[Age]]&lt;50,"41-50",TRUE,"50+")</f>
        <v>41-50</v>
      </c>
    </row>
    <row r="489" spans="1:19" x14ac:dyDescent="0.35">
      <c r="A489" t="s">
        <v>1031</v>
      </c>
      <c r="B489" t="s">
        <v>1032</v>
      </c>
      <c r="C489" t="s">
        <v>43</v>
      </c>
      <c r="D489" t="s">
        <v>34</v>
      </c>
      <c r="E489" t="s">
        <v>49</v>
      </c>
      <c r="F489" t="s">
        <v>27</v>
      </c>
      <c r="G489" t="s">
        <v>85</v>
      </c>
      <c r="H489" s="3">
        <v>34</v>
      </c>
      <c r="I489" s="8">
        <v>41886</v>
      </c>
      <c r="J489" s="4">
        <v>95499</v>
      </c>
      <c r="K489" s="1">
        <v>0</v>
      </c>
      <c r="L489" t="s">
        <v>93</v>
      </c>
      <c r="M489" t="s">
        <v>218</v>
      </c>
      <c r="N489" s="7">
        <v>42958</v>
      </c>
      <c r="O489" s="5">
        <f t="shared" si="7"/>
        <v>0</v>
      </c>
      <c r="P489" s="6">
        <f>Table1[[#This Row],[Annual Salary]]+Table1[[#This Row],[Bonus Amount]]</f>
        <v>95499</v>
      </c>
      <c r="Q489" t="str">
        <f>IF(Table1[[#This Row],[Exit Date]]="", "Active","Exited")</f>
        <v>Exited</v>
      </c>
      <c r="R489" s="2">
        <f ca="1">IFERROR(DATEDIF(Table1[[#This Row],[Hire Date]],IF(Table1[[#This Row],[Exit Date]]="",TODAY(),Table1[[#This Row],[Exit Date]]),"Y"),"")</f>
        <v>2</v>
      </c>
      <c r="S489" t="str" cm="1">
        <f t="array" ref="S489">_xlfn.IFS(Table1[[#This Row],[Age]]&lt;30,"Under 30",Table1[[#This Row],[Age]]&lt;=40,"30-40",Table1[[#This Row],[Age]]&lt;50,"41-50",TRUE,"50+")</f>
        <v>30-40</v>
      </c>
    </row>
    <row r="490" spans="1:19" x14ac:dyDescent="0.35">
      <c r="A490" t="s">
        <v>1033</v>
      </c>
      <c r="B490" t="s">
        <v>1034</v>
      </c>
      <c r="C490" t="s">
        <v>43</v>
      </c>
      <c r="D490" t="s">
        <v>59</v>
      </c>
      <c r="E490" t="s">
        <v>18</v>
      </c>
      <c r="F490" t="s">
        <v>19</v>
      </c>
      <c r="G490" t="s">
        <v>85</v>
      </c>
      <c r="H490" s="3">
        <v>53</v>
      </c>
      <c r="I490" s="8">
        <v>38344</v>
      </c>
      <c r="J490" s="4">
        <v>90212</v>
      </c>
      <c r="K490" s="1">
        <v>0</v>
      </c>
      <c r="L490" t="s">
        <v>93</v>
      </c>
      <c r="M490" t="s">
        <v>218</v>
      </c>
      <c r="O490" s="5">
        <f t="shared" si="7"/>
        <v>0</v>
      </c>
      <c r="P490" s="6">
        <f>Table1[[#This Row],[Annual Salary]]+Table1[[#This Row],[Bonus Amount]]</f>
        <v>90212</v>
      </c>
      <c r="Q490" t="str">
        <f>IF(Table1[[#This Row],[Exit Date]]="", "Active","Exited")</f>
        <v>Active</v>
      </c>
      <c r="R490" s="2">
        <f ca="1">IFERROR(DATEDIF(Table1[[#This Row],[Hire Date]],IF(Table1[[#This Row],[Exit Date]]="",TODAY(),Table1[[#This Row],[Exit Date]]),"Y"),"")</f>
        <v>21</v>
      </c>
      <c r="S490" t="str" cm="1">
        <f t="array" ref="S490">_xlfn.IFS(Table1[[#This Row],[Age]]&lt;30,"Under 30",Table1[[#This Row],[Age]]&lt;=40,"30-40",Table1[[#This Row],[Age]]&lt;50,"41-50",TRUE,"50+")</f>
        <v>50+</v>
      </c>
    </row>
    <row r="491" spans="1:19" x14ac:dyDescent="0.35">
      <c r="A491" t="s">
        <v>1035</v>
      </c>
      <c r="B491" t="s">
        <v>1036</v>
      </c>
      <c r="C491" t="s">
        <v>79</v>
      </c>
      <c r="D491" t="s">
        <v>80</v>
      </c>
      <c r="E491" t="s">
        <v>18</v>
      </c>
      <c r="F491" t="s">
        <v>27</v>
      </c>
      <c r="G491" t="s">
        <v>28</v>
      </c>
      <c r="H491" s="3">
        <v>39</v>
      </c>
      <c r="I491" s="8">
        <v>43804</v>
      </c>
      <c r="J491" s="4">
        <v>254057</v>
      </c>
      <c r="K491" s="1">
        <v>0.39</v>
      </c>
      <c r="L491" t="s">
        <v>29</v>
      </c>
      <c r="M491" t="s">
        <v>74</v>
      </c>
      <c r="O491" s="5">
        <f t="shared" si="7"/>
        <v>99082.23000000001</v>
      </c>
      <c r="P491" s="6">
        <f>Table1[[#This Row],[Annual Salary]]+Table1[[#This Row],[Bonus Amount]]</f>
        <v>353139.23</v>
      </c>
      <c r="Q491" t="str">
        <f>IF(Table1[[#This Row],[Exit Date]]="", "Active","Exited")</f>
        <v>Active</v>
      </c>
      <c r="R491" s="2">
        <f ca="1">IFERROR(DATEDIF(Table1[[#This Row],[Hire Date]],IF(Table1[[#This Row],[Exit Date]]="",TODAY(),Table1[[#This Row],[Exit Date]]),"Y"),"")</f>
        <v>6</v>
      </c>
      <c r="S491" t="str" cm="1">
        <f t="array" ref="S491">_xlfn.IFS(Table1[[#This Row],[Age]]&lt;30,"Under 30",Table1[[#This Row],[Age]]&lt;=40,"30-40",Table1[[#This Row],[Age]]&lt;50,"41-50",TRUE,"50+")</f>
        <v>30-40</v>
      </c>
    </row>
    <row r="492" spans="1:19" x14ac:dyDescent="0.35">
      <c r="A492" t="s">
        <v>1037</v>
      </c>
      <c r="B492" t="s">
        <v>1038</v>
      </c>
      <c r="C492" t="s">
        <v>184</v>
      </c>
      <c r="D492" t="s">
        <v>65</v>
      </c>
      <c r="E492" t="s">
        <v>26</v>
      </c>
      <c r="F492" t="s">
        <v>19</v>
      </c>
      <c r="G492" t="s">
        <v>85</v>
      </c>
      <c r="H492" s="3">
        <v>58</v>
      </c>
      <c r="I492" s="8">
        <v>40463</v>
      </c>
      <c r="J492" s="4">
        <v>43001</v>
      </c>
      <c r="K492" s="1">
        <v>0</v>
      </c>
      <c r="L492" t="s">
        <v>21</v>
      </c>
      <c r="M492" t="s">
        <v>60</v>
      </c>
      <c r="O492" s="5">
        <f t="shared" si="7"/>
        <v>0</v>
      </c>
      <c r="P492" s="6">
        <f>Table1[[#This Row],[Annual Salary]]+Table1[[#This Row],[Bonus Amount]]</f>
        <v>43001</v>
      </c>
      <c r="Q492" t="str">
        <f>IF(Table1[[#This Row],[Exit Date]]="", "Active","Exited")</f>
        <v>Active</v>
      </c>
      <c r="R492" s="2">
        <f ca="1">IFERROR(DATEDIF(Table1[[#This Row],[Hire Date]],IF(Table1[[#This Row],[Exit Date]]="",TODAY(),Table1[[#This Row],[Exit Date]]),"Y"),"")</f>
        <v>15</v>
      </c>
      <c r="S492" t="str" cm="1">
        <f t="array" ref="S492">_xlfn.IFS(Table1[[#This Row],[Age]]&lt;30,"Under 30",Table1[[#This Row],[Age]]&lt;=40,"30-40",Table1[[#This Row],[Age]]&lt;50,"41-50",TRUE,"50+")</f>
        <v>50+</v>
      </c>
    </row>
    <row r="493" spans="1:19" x14ac:dyDescent="0.35">
      <c r="A493" t="s">
        <v>199</v>
      </c>
      <c r="B493" t="s">
        <v>1039</v>
      </c>
      <c r="C493" t="s">
        <v>40</v>
      </c>
      <c r="D493" t="s">
        <v>17</v>
      </c>
      <c r="E493" t="s">
        <v>26</v>
      </c>
      <c r="F493" t="s">
        <v>27</v>
      </c>
      <c r="G493" t="s">
        <v>85</v>
      </c>
      <c r="H493" s="3">
        <v>60</v>
      </c>
      <c r="I493" s="8">
        <v>36010</v>
      </c>
      <c r="J493" s="4">
        <v>85120</v>
      </c>
      <c r="K493" s="1">
        <v>0.09</v>
      </c>
      <c r="L493" t="s">
        <v>21</v>
      </c>
      <c r="M493" t="s">
        <v>22</v>
      </c>
      <c r="O493" s="5">
        <f t="shared" si="7"/>
        <v>7660.7999999999993</v>
      </c>
      <c r="P493" s="6">
        <f>Table1[[#This Row],[Annual Salary]]+Table1[[#This Row],[Bonus Amount]]</f>
        <v>92780.800000000003</v>
      </c>
      <c r="Q493" t="str">
        <f>IF(Table1[[#This Row],[Exit Date]]="", "Active","Exited")</f>
        <v>Active</v>
      </c>
      <c r="R493" s="2">
        <f ca="1">IFERROR(DATEDIF(Table1[[#This Row],[Hire Date]],IF(Table1[[#This Row],[Exit Date]]="",TODAY(),Table1[[#This Row],[Exit Date]]),"Y"),"")</f>
        <v>27</v>
      </c>
      <c r="S493" t="str" cm="1">
        <f t="array" ref="S493">_xlfn.IFS(Table1[[#This Row],[Age]]&lt;30,"Under 30",Table1[[#This Row],[Age]]&lt;=40,"30-40",Table1[[#This Row],[Age]]&lt;50,"41-50",TRUE,"50+")</f>
        <v>50+</v>
      </c>
    </row>
    <row r="494" spans="1:19" x14ac:dyDescent="0.35">
      <c r="A494" t="s">
        <v>1040</v>
      </c>
      <c r="B494" t="s">
        <v>1041</v>
      </c>
      <c r="C494" t="s">
        <v>184</v>
      </c>
      <c r="D494" t="s">
        <v>65</v>
      </c>
      <c r="E494" t="s">
        <v>26</v>
      </c>
      <c r="F494" t="s">
        <v>27</v>
      </c>
      <c r="G494" t="s">
        <v>85</v>
      </c>
      <c r="H494" s="3">
        <v>34</v>
      </c>
      <c r="I494" s="8">
        <v>42219</v>
      </c>
      <c r="J494" s="4">
        <v>52200</v>
      </c>
      <c r="K494" s="1">
        <v>0</v>
      </c>
      <c r="L494" t="s">
        <v>21</v>
      </c>
      <c r="M494" t="s">
        <v>88</v>
      </c>
      <c r="O494" s="5">
        <f t="shared" si="7"/>
        <v>0</v>
      </c>
      <c r="P494" s="6">
        <f>Table1[[#This Row],[Annual Salary]]+Table1[[#This Row],[Bonus Amount]]</f>
        <v>52200</v>
      </c>
      <c r="Q494" t="str">
        <f>IF(Table1[[#This Row],[Exit Date]]="", "Active","Exited")</f>
        <v>Active</v>
      </c>
      <c r="R494" s="2">
        <f ca="1">IFERROR(DATEDIF(Table1[[#This Row],[Hire Date]],IF(Table1[[#This Row],[Exit Date]]="",TODAY(),Table1[[#This Row],[Exit Date]]),"Y"),"")</f>
        <v>10</v>
      </c>
      <c r="S494" t="str" cm="1">
        <f t="array" ref="S494">_xlfn.IFS(Table1[[#This Row],[Age]]&lt;30,"Under 30",Table1[[#This Row],[Age]]&lt;=40,"30-40",Table1[[#This Row],[Age]]&lt;50,"41-50",TRUE,"50+")</f>
        <v>30-40</v>
      </c>
    </row>
    <row r="495" spans="1:19" x14ac:dyDescent="0.35">
      <c r="A495" t="s">
        <v>1042</v>
      </c>
      <c r="B495" t="s">
        <v>1043</v>
      </c>
      <c r="C495" t="s">
        <v>16</v>
      </c>
      <c r="D495" t="s">
        <v>65</v>
      </c>
      <c r="E495" t="s">
        <v>49</v>
      </c>
      <c r="F495" t="s">
        <v>19</v>
      </c>
      <c r="G495" t="s">
        <v>36</v>
      </c>
      <c r="H495" s="3">
        <v>60</v>
      </c>
      <c r="I495" s="8">
        <v>39739</v>
      </c>
      <c r="J495" s="4">
        <v>150855</v>
      </c>
      <c r="K495" s="1">
        <v>0.11</v>
      </c>
      <c r="L495" t="s">
        <v>21</v>
      </c>
      <c r="M495" t="s">
        <v>44</v>
      </c>
      <c r="O495" s="5">
        <f t="shared" si="7"/>
        <v>16594.05</v>
      </c>
      <c r="P495" s="6">
        <f>Table1[[#This Row],[Annual Salary]]+Table1[[#This Row],[Bonus Amount]]</f>
        <v>167449.04999999999</v>
      </c>
      <c r="Q495" t="str">
        <f>IF(Table1[[#This Row],[Exit Date]]="", "Active","Exited")</f>
        <v>Active</v>
      </c>
      <c r="R495" s="2">
        <f ca="1">IFERROR(DATEDIF(Table1[[#This Row],[Hire Date]],IF(Table1[[#This Row],[Exit Date]]="",TODAY(),Table1[[#This Row],[Exit Date]]),"Y"),"")</f>
        <v>17</v>
      </c>
      <c r="S495" t="str" cm="1">
        <f t="array" ref="S495">_xlfn.IFS(Table1[[#This Row],[Age]]&lt;30,"Under 30",Table1[[#This Row],[Age]]&lt;=40,"30-40",Table1[[#This Row],[Age]]&lt;50,"41-50",TRUE,"50+")</f>
        <v>50+</v>
      </c>
    </row>
    <row r="496" spans="1:19" x14ac:dyDescent="0.35">
      <c r="A496" t="s">
        <v>1044</v>
      </c>
      <c r="B496" t="s">
        <v>1045</v>
      </c>
      <c r="C496" t="s">
        <v>131</v>
      </c>
      <c r="D496" t="s">
        <v>17</v>
      </c>
      <c r="E496" t="s">
        <v>26</v>
      </c>
      <c r="F496" t="s">
        <v>19</v>
      </c>
      <c r="G496" t="s">
        <v>85</v>
      </c>
      <c r="H496" s="3">
        <v>53</v>
      </c>
      <c r="I496" s="8">
        <v>38188</v>
      </c>
      <c r="J496" s="4">
        <v>65702</v>
      </c>
      <c r="K496" s="1">
        <v>0</v>
      </c>
      <c r="L496" t="s">
        <v>21</v>
      </c>
      <c r="M496" t="s">
        <v>88</v>
      </c>
      <c r="O496" s="5">
        <f t="shared" si="7"/>
        <v>0</v>
      </c>
      <c r="P496" s="6">
        <f>Table1[[#This Row],[Annual Salary]]+Table1[[#This Row],[Bonus Amount]]</f>
        <v>65702</v>
      </c>
      <c r="Q496" t="str">
        <f>IF(Table1[[#This Row],[Exit Date]]="", "Active","Exited")</f>
        <v>Active</v>
      </c>
      <c r="R496" s="2">
        <f ca="1">IFERROR(DATEDIF(Table1[[#This Row],[Hire Date]],IF(Table1[[#This Row],[Exit Date]]="",TODAY(),Table1[[#This Row],[Exit Date]]),"Y"),"")</f>
        <v>21</v>
      </c>
      <c r="S496" t="str" cm="1">
        <f t="array" ref="S496">_xlfn.IFS(Table1[[#This Row],[Age]]&lt;30,"Under 30",Table1[[#This Row],[Age]]&lt;=40,"30-40",Table1[[#This Row],[Age]]&lt;50,"41-50",TRUE,"50+")</f>
        <v>50+</v>
      </c>
    </row>
    <row r="497" spans="1:19" x14ac:dyDescent="0.35">
      <c r="A497" t="s">
        <v>1046</v>
      </c>
      <c r="B497" t="s">
        <v>1047</v>
      </c>
      <c r="C497" t="s">
        <v>33</v>
      </c>
      <c r="D497" t="s">
        <v>34</v>
      </c>
      <c r="E497" t="s">
        <v>49</v>
      </c>
      <c r="F497" t="s">
        <v>27</v>
      </c>
      <c r="G497" t="s">
        <v>28</v>
      </c>
      <c r="H497" s="3">
        <v>58</v>
      </c>
      <c r="I497" s="8">
        <v>39367</v>
      </c>
      <c r="J497" s="4">
        <v>162038</v>
      </c>
      <c r="K497" s="1">
        <v>0.24</v>
      </c>
      <c r="L497" t="s">
        <v>29</v>
      </c>
      <c r="M497" t="s">
        <v>30</v>
      </c>
      <c r="O497" s="5">
        <f t="shared" si="7"/>
        <v>38889.119999999995</v>
      </c>
      <c r="P497" s="6">
        <f>Table1[[#This Row],[Annual Salary]]+Table1[[#This Row],[Bonus Amount]]</f>
        <v>200927.12</v>
      </c>
      <c r="Q497" t="str">
        <f>IF(Table1[[#This Row],[Exit Date]]="", "Active","Exited")</f>
        <v>Active</v>
      </c>
      <c r="R497" s="2">
        <f ca="1">IFERROR(DATEDIF(Table1[[#This Row],[Hire Date]],IF(Table1[[#This Row],[Exit Date]]="",TODAY(),Table1[[#This Row],[Exit Date]]),"Y"),"")</f>
        <v>18</v>
      </c>
      <c r="S497" t="str" cm="1">
        <f t="array" ref="S497">_xlfn.IFS(Table1[[#This Row],[Age]]&lt;30,"Under 30",Table1[[#This Row],[Age]]&lt;=40,"30-40",Table1[[#This Row],[Age]]&lt;50,"41-50",TRUE,"50+")</f>
        <v>50+</v>
      </c>
    </row>
    <row r="498" spans="1:19" x14ac:dyDescent="0.35">
      <c r="A498" t="s">
        <v>1048</v>
      </c>
      <c r="B498" t="s">
        <v>1049</v>
      </c>
      <c r="C498" t="s">
        <v>16</v>
      </c>
      <c r="D498" t="s">
        <v>80</v>
      </c>
      <c r="E498" t="s">
        <v>18</v>
      </c>
      <c r="F498" t="s">
        <v>19</v>
      </c>
      <c r="G498" t="s">
        <v>28</v>
      </c>
      <c r="H498" s="3">
        <v>25</v>
      </c>
      <c r="I498" s="8">
        <v>43930</v>
      </c>
      <c r="J498" s="4">
        <v>157057</v>
      </c>
      <c r="K498" s="1">
        <v>0.1</v>
      </c>
      <c r="L498" t="s">
        <v>21</v>
      </c>
      <c r="M498" t="s">
        <v>88</v>
      </c>
      <c r="O498" s="5">
        <f t="shared" si="7"/>
        <v>15705.7</v>
      </c>
      <c r="P498" s="6">
        <f>Table1[[#This Row],[Annual Salary]]+Table1[[#This Row],[Bonus Amount]]</f>
        <v>172762.7</v>
      </c>
      <c r="Q498" t="str">
        <f>IF(Table1[[#This Row],[Exit Date]]="", "Active","Exited")</f>
        <v>Active</v>
      </c>
      <c r="R498" s="2">
        <f ca="1">IFERROR(DATEDIF(Table1[[#This Row],[Hire Date]],IF(Table1[[#This Row],[Exit Date]]="",TODAY(),Table1[[#This Row],[Exit Date]]),"Y"),"")</f>
        <v>5</v>
      </c>
      <c r="S498" t="str" cm="1">
        <f t="array" ref="S498">_xlfn.IFS(Table1[[#This Row],[Age]]&lt;30,"Under 30",Table1[[#This Row],[Age]]&lt;=40,"30-40",Table1[[#This Row],[Age]]&lt;50,"41-50",TRUE,"50+")</f>
        <v>Under 30</v>
      </c>
    </row>
    <row r="499" spans="1:19" x14ac:dyDescent="0.35">
      <c r="A499" t="s">
        <v>1050</v>
      </c>
      <c r="B499" t="s">
        <v>1051</v>
      </c>
      <c r="C499" t="s">
        <v>52</v>
      </c>
      <c r="D499" t="s">
        <v>17</v>
      </c>
      <c r="E499" t="s">
        <v>18</v>
      </c>
      <c r="F499" t="s">
        <v>27</v>
      </c>
      <c r="G499" t="s">
        <v>36</v>
      </c>
      <c r="H499" s="3">
        <v>46</v>
      </c>
      <c r="I499" s="8">
        <v>44419</v>
      </c>
      <c r="J499" s="4">
        <v>127559</v>
      </c>
      <c r="K499" s="1">
        <v>0.1</v>
      </c>
      <c r="L499" t="s">
        <v>21</v>
      </c>
      <c r="M499" t="s">
        <v>60</v>
      </c>
      <c r="O499" s="5">
        <f t="shared" si="7"/>
        <v>12755.900000000001</v>
      </c>
      <c r="P499" s="6">
        <f>Table1[[#This Row],[Annual Salary]]+Table1[[#This Row],[Bonus Amount]]</f>
        <v>140314.9</v>
      </c>
      <c r="Q499" t="str">
        <f>IF(Table1[[#This Row],[Exit Date]]="", "Active","Exited")</f>
        <v>Active</v>
      </c>
      <c r="R499" s="2">
        <f ca="1">IFERROR(DATEDIF(Table1[[#This Row],[Hire Date]],IF(Table1[[#This Row],[Exit Date]]="",TODAY(),Table1[[#This Row],[Exit Date]]),"Y"),"")</f>
        <v>4</v>
      </c>
      <c r="S499" t="str" cm="1">
        <f t="array" ref="S499">_xlfn.IFS(Table1[[#This Row],[Age]]&lt;30,"Under 30",Table1[[#This Row],[Age]]&lt;=40,"30-40",Table1[[#This Row],[Age]]&lt;50,"41-50",TRUE,"50+")</f>
        <v>41-50</v>
      </c>
    </row>
    <row r="500" spans="1:19" x14ac:dyDescent="0.35">
      <c r="A500" t="s">
        <v>1052</v>
      </c>
      <c r="B500" t="s">
        <v>1053</v>
      </c>
      <c r="C500" t="s">
        <v>175</v>
      </c>
      <c r="D500" t="s">
        <v>69</v>
      </c>
      <c r="E500" t="s">
        <v>49</v>
      </c>
      <c r="F500" t="s">
        <v>19</v>
      </c>
      <c r="G500" t="s">
        <v>36</v>
      </c>
      <c r="H500" s="3">
        <v>39</v>
      </c>
      <c r="I500" s="8">
        <v>43536</v>
      </c>
      <c r="J500" s="4">
        <v>62644</v>
      </c>
      <c r="K500" s="1">
        <v>0</v>
      </c>
      <c r="L500" t="s">
        <v>21</v>
      </c>
      <c r="M500" t="s">
        <v>22</v>
      </c>
      <c r="O500" s="5">
        <f t="shared" si="7"/>
        <v>0</v>
      </c>
      <c r="P500" s="6">
        <f>Table1[[#This Row],[Annual Salary]]+Table1[[#This Row],[Bonus Amount]]</f>
        <v>62644</v>
      </c>
      <c r="Q500" t="str">
        <f>IF(Table1[[#This Row],[Exit Date]]="", "Active","Exited")</f>
        <v>Active</v>
      </c>
      <c r="R500" s="2">
        <f ca="1">IFERROR(DATEDIF(Table1[[#This Row],[Hire Date]],IF(Table1[[#This Row],[Exit Date]]="",TODAY(),Table1[[#This Row],[Exit Date]]),"Y"),"")</f>
        <v>7</v>
      </c>
      <c r="S500" t="str" cm="1">
        <f t="array" ref="S500">_xlfn.IFS(Table1[[#This Row],[Age]]&lt;30,"Under 30",Table1[[#This Row],[Age]]&lt;=40,"30-40",Table1[[#This Row],[Age]]&lt;50,"41-50",TRUE,"50+")</f>
        <v>30-40</v>
      </c>
    </row>
    <row r="501" spans="1:19" x14ac:dyDescent="0.35">
      <c r="A501" t="s">
        <v>1054</v>
      </c>
      <c r="B501" t="s">
        <v>1055</v>
      </c>
      <c r="C501" t="s">
        <v>248</v>
      </c>
      <c r="D501" t="s">
        <v>17</v>
      </c>
      <c r="E501" t="s">
        <v>26</v>
      </c>
      <c r="F501" t="s">
        <v>27</v>
      </c>
      <c r="G501" t="s">
        <v>28</v>
      </c>
      <c r="H501" s="3">
        <v>50</v>
      </c>
      <c r="I501" s="8">
        <v>36956</v>
      </c>
      <c r="J501" s="4">
        <v>73907</v>
      </c>
      <c r="K501" s="1">
        <v>0</v>
      </c>
      <c r="L501" t="s">
        <v>29</v>
      </c>
      <c r="M501" t="s">
        <v>74</v>
      </c>
      <c r="O501" s="5">
        <f t="shared" si="7"/>
        <v>0</v>
      </c>
      <c r="P501" s="6">
        <f>Table1[[#This Row],[Annual Salary]]+Table1[[#This Row],[Bonus Amount]]</f>
        <v>73907</v>
      </c>
      <c r="Q501" t="str">
        <f>IF(Table1[[#This Row],[Exit Date]]="", "Active","Exited")</f>
        <v>Active</v>
      </c>
      <c r="R501" s="2">
        <f ca="1">IFERROR(DATEDIF(Table1[[#This Row],[Hire Date]],IF(Table1[[#This Row],[Exit Date]]="",TODAY(),Table1[[#This Row],[Exit Date]]),"Y"),"")</f>
        <v>25</v>
      </c>
      <c r="S501" t="str" cm="1">
        <f t="array" ref="S501">_xlfn.IFS(Table1[[#This Row],[Age]]&lt;30,"Under 30",Table1[[#This Row],[Age]]&lt;=40,"30-40",Table1[[#This Row],[Age]]&lt;50,"41-50",TRUE,"50+")</f>
        <v>50+</v>
      </c>
    </row>
    <row r="502" spans="1:19" x14ac:dyDescent="0.35">
      <c r="A502" t="s">
        <v>1056</v>
      </c>
      <c r="B502" t="s">
        <v>1057</v>
      </c>
      <c r="C502" t="s">
        <v>43</v>
      </c>
      <c r="D502" t="s">
        <v>59</v>
      </c>
      <c r="E502" t="s">
        <v>26</v>
      </c>
      <c r="F502" t="s">
        <v>19</v>
      </c>
      <c r="G502" t="s">
        <v>36</v>
      </c>
      <c r="H502" s="3">
        <v>56</v>
      </c>
      <c r="I502" s="8">
        <v>43169</v>
      </c>
      <c r="J502" s="4">
        <v>90040</v>
      </c>
      <c r="K502" s="1">
        <v>0</v>
      </c>
      <c r="L502" t="s">
        <v>21</v>
      </c>
      <c r="M502" t="s">
        <v>37</v>
      </c>
      <c r="O502" s="5">
        <f t="shared" si="7"/>
        <v>0</v>
      </c>
      <c r="P502" s="6">
        <f>Table1[[#This Row],[Annual Salary]]+Table1[[#This Row],[Bonus Amount]]</f>
        <v>90040</v>
      </c>
      <c r="Q502" t="str">
        <f>IF(Table1[[#This Row],[Exit Date]]="", "Active","Exited")</f>
        <v>Active</v>
      </c>
      <c r="R502" s="2">
        <f ca="1">IFERROR(DATEDIF(Table1[[#This Row],[Hire Date]],IF(Table1[[#This Row],[Exit Date]]="",TODAY(),Table1[[#This Row],[Exit Date]]),"Y"),"")</f>
        <v>8</v>
      </c>
      <c r="S502" t="str" cm="1">
        <f t="array" ref="S502">_xlfn.IFS(Table1[[#This Row],[Age]]&lt;30,"Under 30",Table1[[#This Row],[Age]]&lt;=40,"30-40",Table1[[#This Row],[Age]]&lt;50,"41-50",TRUE,"50+")</f>
        <v>50+</v>
      </c>
    </row>
    <row r="503" spans="1:19" x14ac:dyDescent="0.35">
      <c r="A503" t="s">
        <v>1058</v>
      </c>
      <c r="B503" t="s">
        <v>1059</v>
      </c>
      <c r="C503" t="s">
        <v>277</v>
      </c>
      <c r="D503" t="s">
        <v>69</v>
      </c>
      <c r="E503" t="s">
        <v>26</v>
      </c>
      <c r="F503" t="s">
        <v>19</v>
      </c>
      <c r="G503" t="s">
        <v>85</v>
      </c>
      <c r="H503" s="3">
        <v>30</v>
      </c>
      <c r="I503" s="8">
        <v>42516</v>
      </c>
      <c r="J503" s="4">
        <v>91134</v>
      </c>
      <c r="K503" s="1">
        <v>0</v>
      </c>
      <c r="L503" t="s">
        <v>93</v>
      </c>
      <c r="M503" t="s">
        <v>218</v>
      </c>
      <c r="O503" s="5">
        <f t="shared" si="7"/>
        <v>0</v>
      </c>
      <c r="P503" s="6">
        <f>Table1[[#This Row],[Annual Salary]]+Table1[[#This Row],[Bonus Amount]]</f>
        <v>91134</v>
      </c>
      <c r="Q503" t="str">
        <f>IF(Table1[[#This Row],[Exit Date]]="", "Active","Exited")</f>
        <v>Active</v>
      </c>
      <c r="R503" s="2">
        <f ca="1">IFERROR(DATEDIF(Table1[[#This Row],[Hire Date]],IF(Table1[[#This Row],[Exit Date]]="",TODAY(),Table1[[#This Row],[Exit Date]]),"Y"),"")</f>
        <v>9</v>
      </c>
      <c r="S503" t="str" cm="1">
        <f t="array" ref="S503">_xlfn.IFS(Table1[[#This Row],[Age]]&lt;30,"Under 30",Table1[[#This Row],[Age]]&lt;=40,"30-40",Table1[[#This Row],[Age]]&lt;50,"41-50",TRUE,"50+")</f>
        <v>30-40</v>
      </c>
    </row>
    <row r="504" spans="1:19" x14ac:dyDescent="0.35">
      <c r="A504" t="s">
        <v>1060</v>
      </c>
      <c r="B504" t="s">
        <v>1061</v>
      </c>
      <c r="C504" t="s">
        <v>79</v>
      </c>
      <c r="D504" t="s">
        <v>65</v>
      </c>
      <c r="E504" t="s">
        <v>35</v>
      </c>
      <c r="F504" t="s">
        <v>19</v>
      </c>
      <c r="G504" t="s">
        <v>28</v>
      </c>
      <c r="H504" s="3">
        <v>45</v>
      </c>
      <c r="I504" s="8">
        <v>44461</v>
      </c>
      <c r="J504" s="4">
        <v>201396</v>
      </c>
      <c r="K504" s="1">
        <v>0.32</v>
      </c>
      <c r="L504" t="s">
        <v>21</v>
      </c>
      <c r="M504" t="s">
        <v>56</v>
      </c>
      <c r="O504" s="5">
        <f t="shared" si="7"/>
        <v>64446.720000000001</v>
      </c>
      <c r="P504" s="6">
        <f>Table1[[#This Row],[Annual Salary]]+Table1[[#This Row],[Bonus Amount]]</f>
        <v>265842.71999999997</v>
      </c>
      <c r="Q504" t="str">
        <f>IF(Table1[[#This Row],[Exit Date]]="", "Active","Exited")</f>
        <v>Active</v>
      </c>
      <c r="R504" s="2">
        <f ca="1">IFERROR(DATEDIF(Table1[[#This Row],[Hire Date]],IF(Table1[[#This Row],[Exit Date]]="",TODAY(),Table1[[#This Row],[Exit Date]]),"Y"),"")</f>
        <v>4</v>
      </c>
      <c r="S504" t="str" cm="1">
        <f t="array" ref="S504">_xlfn.IFS(Table1[[#This Row],[Age]]&lt;30,"Under 30",Table1[[#This Row],[Age]]&lt;=40,"30-40",Table1[[#This Row],[Age]]&lt;50,"41-50",TRUE,"50+")</f>
        <v>41-50</v>
      </c>
    </row>
    <row r="505" spans="1:19" x14ac:dyDescent="0.35">
      <c r="A505" t="s">
        <v>1062</v>
      </c>
      <c r="B505" t="s">
        <v>1063</v>
      </c>
      <c r="C505" t="s">
        <v>55</v>
      </c>
      <c r="D505" t="s">
        <v>59</v>
      </c>
      <c r="E505" t="s">
        <v>49</v>
      </c>
      <c r="F505" t="s">
        <v>19</v>
      </c>
      <c r="G505" t="s">
        <v>28</v>
      </c>
      <c r="H505" s="3">
        <v>55</v>
      </c>
      <c r="I505" s="8">
        <v>40899</v>
      </c>
      <c r="J505" s="4">
        <v>54733</v>
      </c>
      <c r="K505" s="1">
        <v>0</v>
      </c>
      <c r="L505" t="s">
        <v>29</v>
      </c>
      <c r="M505" t="s">
        <v>30</v>
      </c>
      <c r="O505" s="5">
        <f t="shared" si="7"/>
        <v>0</v>
      </c>
      <c r="P505" s="6">
        <f>Table1[[#This Row],[Annual Salary]]+Table1[[#This Row],[Bonus Amount]]</f>
        <v>54733</v>
      </c>
      <c r="Q505" t="str">
        <f>IF(Table1[[#This Row],[Exit Date]]="", "Active","Exited")</f>
        <v>Active</v>
      </c>
      <c r="R505" s="2">
        <f ca="1">IFERROR(DATEDIF(Table1[[#This Row],[Hire Date]],IF(Table1[[#This Row],[Exit Date]]="",TODAY(),Table1[[#This Row],[Exit Date]]),"Y"),"")</f>
        <v>14</v>
      </c>
      <c r="S505" t="str" cm="1">
        <f t="array" ref="S505">_xlfn.IFS(Table1[[#This Row],[Age]]&lt;30,"Under 30",Table1[[#This Row],[Age]]&lt;=40,"30-40",Table1[[#This Row],[Age]]&lt;50,"41-50",TRUE,"50+")</f>
        <v>50+</v>
      </c>
    </row>
    <row r="506" spans="1:19" x14ac:dyDescent="0.35">
      <c r="A506" t="s">
        <v>1064</v>
      </c>
      <c r="B506" t="s">
        <v>1065</v>
      </c>
      <c r="C506" t="s">
        <v>299</v>
      </c>
      <c r="D506" t="s">
        <v>17</v>
      </c>
      <c r="E506" t="s">
        <v>49</v>
      </c>
      <c r="F506" t="s">
        <v>27</v>
      </c>
      <c r="G506" t="s">
        <v>20</v>
      </c>
      <c r="H506" s="3">
        <v>28</v>
      </c>
      <c r="I506" s="8">
        <v>43633</v>
      </c>
      <c r="J506" s="4">
        <v>65341</v>
      </c>
      <c r="K506" s="1">
        <v>0</v>
      </c>
      <c r="L506" t="s">
        <v>21</v>
      </c>
      <c r="M506" t="s">
        <v>56</v>
      </c>
      <c r="N506" s="7">
        <v>44662</v>
      </c>
      <c r="O506" s="5">
        <f t="shared" si="7"/>
        <v>0</v>
      </c>
      <c r="P506" s="6">
        <f>Table1[[#This Row],[Annual Salary]]+Table1[[#This Row],[Bonus Amount]]</f>
        <v>65341</v>
      </c>
      <c r="Q506" t="str">
        <f>IF(Table1[[#This Row],[Exit Date]]="", "Active","Exited")</f>
        <v>Exited</v>
      </c>
      <c r="R506" s="2">
        <f ca="1">IFERROR(DATEDIF(Table1[[#This Row],[Hire Date]],IF(Table1[[#This Row],[Exit Date]]="",TODAY(),Table1[[#This Row],[Exit Date]]),"Y"),"")</f>
        <v>2</v>
      </c>
      <c r="S506" t="str" cm="1">
        <f t="array" ref="S506">_xlfn.IFS(Table1[[#This Row],[Age]]&lt;30,"Under 30",Table1[[#This Row],[Age]]&lt;=40,"30-40",Table1[[#This Row],[Age]]&lt;50,"41-50",TRUE,"50+")</f>
        <v>Under 30</v>
      </c>
    </row>
    <row r="507" spans="1:19" x14ac:dyDescent="0.35">
      <c r="A507" t="s">
        <v>1066</v>
      </c>
      <c r="B507" t="s">
        <v>1067</v>
      </c>
      <c r="C507" t="s">
        <v>16</v>
      </c>
      <c r="D507" t="s">
        <v>34</v>
      </c>
      <c r="E507" t="s">
        <v>49</v>
      </c>
      <c r="F507" t="s">
        <v>19</v>
      </c>
      <c r="G507" t="s">
        <v>20</v>
      </c>
      <c r="H507" s="3">
        <v>59</v>
      </c>
      <c r="I507" s="8">
        <v>43400</v>
      </c>
      <c r="J507" s="4">
        <v>139208</v>
      </c>
      <c r="K507" s="1">
        <v>0.11</v>
      </c>
      <c r="L507" t="s">
        <v>21</v>
      </c>
      <c r="M507" t="s">
        <v>60</v>
      </c>
      <c r="O507" s="5">
        <f t="shared" si="7"/>
        <v>15312.88</v>
      </c>
      <c r="P507" s="6">
        <f>Table1[[#This Row],[Annual Salary]]+Table1[[#This Row],[Bonus Amount]]</f>
        <v>154520.88</v>
      </c>
      <c r="Q507" t="str">
        <f>IF(Table1[[#This Row],[Exit Date]]="", "Active","Exited")</f>
        <v>Active</v>
      </c>
      <c r="R507" s="2">
        <f ca="1">IFERROR(DATEDIF(Table1[[#This Row],[Hire Date]],IF(Table1[[#This Row],[Exit Date]]="",TODAY(),Table1[[#This Row],[Exit Date]]),"Y"),"")</f>
        <v>7</v>
      </c>
      <c r="S507" t="str" cm="1">
        <f t="array" ref="S507">_xlfn.IFS(Table1[[#This Row],[Age]]&lt;30,"Under 30",Table1[[#This Row],[Age]]&lt;=40,"30-40",Table1[[#This Row],[Age]]&lt;50,"41-50",TRUE,"50+")</f>
        <v>50+</v>
      </c>
    </row>
    <row r="508" spans="1:19" x14ac:dyDescent="0.35">
      <c r="A508" t="s">
        <v>1068</v>
      </c>
      <c r="B508" t="s">
        <v>1069</v>
      </c>
      <c r="C508" t="s">
        <v>43</v>
      </c>
      <c r="D508" t="s">
        <v>48</v>
      </c>
      <c r="E508" t="s">
        <v>35</v>
      </c>
      <c r="F508" t="s">
        <v>27</v>
      </c>
      <c r="G508" t="s">
        <v>28</v>
      </c>
      <c r="H508" s="3">
        <v>63</v>
      </c>
      <c r="I508" s="8">
        <v>43171</v>
      </c>
      <c r="J508" s="4">
        <v>73200</v>
      </c>
      <c r="K508" s="1">
        <v>0</v>
      </c>
      <c r="L508" t="s">
        <v>29</v>
      </c>
      <c r="M508" t="s">
        <v>74</v>
      </c>
      <c r="O508" s="5">
        <f t="shared" si="7"/>
        <v>0</v>
      </c>
      <c r="P508" s="6">
        <f>Table1[[#This Row],[Annual Salary]]+Table1[[#This Row],[Bonus Amount]]</f>
        <v>73200</v>
      </c>
      <c r="Q508" t="str">
        <f>IF(Table1[[#This Row],[Exit Date]]="", "Active","Exited")</f>
        <v>Active</v>
      </c>
      <c r="R508" s="2">
        <f ca="1">IFERROR(DATEDIF(Table1[[#This Row],[Hire Date]],IF(Table1[[#This Row],[Exit Date]]="",TODAY(),Table1[[#This Row],[Exit Date]]),"Y"),"")</f>
        <v>8</v>
      </c>
      <c r="S508" t="str" cm="1">
        <f t="array" ref="S508">_xlfn.IFS(Table1[[#This Row],[Age]]&lt;30,"Under 30",Table1[[#This Row],[Age]]&lt;=40,"30-40",Table1[[#This Row],[Age]]&lt;50,"41-50",TRUE,"50+")</f>
        <v>50+</v>
      </c>
    </row>
    <row r="509" spans="1:19" x14ac:dyDescent="0.35">
      <c r="A509" t="s">
        <v>1070</v>
      </c>
      <c r="B509" t="s">
        <v>1071</v>
      </c>
      <c r="C509" t="s">
        <v>52</v>
      </c>
      <c r="D509" t="s">
        <v>59</v>
      </c>
      <c r="E509" t="s">
        <v>35</v>
      </c>
      <c r="F509" t="s">
        <v>19</v>
      </c>
      <c r="G509" t="s">
        <v>85</v>
      </c>
      <c r="H509" s="3">
        <v>46</v>
      </c>
      <c r="I509" s="8">
        <v>40292</v>
      </c>
      <c r="J509" s="4">
        <v>102636</v>
      </c>
      <c r="K509" s="1">
        <v>0.06</v>
      </c>
      <c r="L509" t="s">
        <v>21</v>
      </c>
      <c r="M509" t="s">
        <v>22</v>
      </c>
      <c r="O509" s="5">
        <f t="shared" si="7"/>
        <v>6158.16</v>
      </c>
      <c r="P509" s="6">
        <f>Table1[[#This Row],[Annual Salary]]+Table1[[#This Row],[Bonus Amount]]</f>
        <v>108794.16</v>
      </c>
      <c r="Q509" t="str">
        <f>IF(Table1[[#This Row],[Exit Date]]="", "Active","Exited")</f>
        <v>Active</v>
      </c>
      <c r="R509" s="2">
        <f ca="1">IFERROR(DATEDIF(Table1[[#This Row],[Hire Date]],IF(Table1[[#This Row],[Exit Date]]="",TODAY(),Table1[[#This Row],[Exit Date]]),"Y"),"")</f>
        <v>15</v>
      </c>
      <c r="S509" t="str" cm="1">
        <f t="array" ref="S509">_xlfn.IFS(Table1[[#This Row],[Age]]&lt;30,"Under 30",Table1[[#This Row],[Age]]&lt;=40,"30-40",Table1[[#This Row],[Age]]&lt;50,"41-50",TRUE,"50+")</f>
        <v>41-50</v>
      </c>
    </row>
    <row r="510" spans="1:19" x14ac:dyDescent="0.35">
      <c r="A510" t="s">
        <v>1072</v>
      </c>
      <c r="B510" t="s">
        <v>1073</v>
      </c>
      <c r="C510" t="s">
        <v>294</v>
      </c>
      <c r="D510" t="s">
        <v>48</v>
      </c>
      <c r="E510" t="s">
        <v>35</v>
      </c>
      <c r="F510" t="s">
        <v>19</v>
      </c>
      <c r="G510" t="s">
        <v>85</v>
      </c>
      <c r="H510" s="3">
        <v>26</v>
      </c>
      <c r="I510" s="8">
        <v>44236</v>
      </c>
      <c r="J510" s="4">
        <v>87427</v>
      </c>
      <c r="K510" s="1">
        <v>0</v>
      </c>
      <c r="L510" t="s">
        <v>93</v>
      </c>
      <c r="M510" t="s">
        <v>218</v>
      </c>
      <c r="O510" s="5">
        <f t="shared" si="7"/>
        <v>0</v>
      </c>
      <c r="P510" s="6">
        <f>Table1[[#This Row],[Annual Salary]]+Table1[[#This Row],[Bonus Amount]]</f>
        <v>87427</v>
      </c>
      <c r="Q510" t="str">
        <f>IF(Table1[[#This Row],[Exit Date]]="", "Active","Exited")</f>
        <v>Active</v>
      </c>
      <c r="R510" s="2">
        <f ca="1">IFERROR(DATEDIF(Table1[[#This Row],[Hire Date]],IF(Table1[[#This Row],[Exit Date]]="",TODAY(),Table1[[#This Row],[Exit Date]]),"Y"),"")</f>
        <v>5</v>
      </c>
      <c r="S510" t="str" cm="1">
        <f t="array" ref="S510">_xlfn.IFS(Table1[[#This Row],[Age]]&lt;30,"Under 30",Table1[[#This Row],[Age]]&lt;=40,"30-40",Table1[[#This Row],[Age]]&lt;50,"41-50",TRUE,"50+")</f>
        <v>Under 30</v>
      </c>
    </row>
    <row r="511" spans="1:19" x14ac:dyDescent="0.35">
      <c r="A511" t="s">
        <v>1074</v>
      </c>
      <c r="B511" t="s">
        <v>1075</v>
      </c>
      <c r="C511" t="s">
        <v>119</v>
      </c>
      <c r="D511" t="s">
        <v>17</v>
      </c>
      <c r="E511" t="s">
        <v>18</v>
      </c>
      <c r="F511" t="s">
        <v>27</v>
      </c>
      <c r="G511" t="s">
        <v>36</v>
      </c>
      <c r="H511" s="3">
        <v>45</v>
      </c>
      <c r="I511" s="8">
        <v>43248</v>
      </c>
      <c r="J511" s="4">
        <v>49219</v>
      </c>
      <c r="K511" s="1">
        <v>0</v>
      </c>
      <c r="L511" t="s">
        <v>21</v>
      </c>
      <c r="M511" t="s">
        <v>88</v>
      </c>
      <c r="O511" s="5">
        <f t="shared" si="7"/>
        <v>0</v>
      </c>
      <c r="P511" s="6">
        <f>Table1[[#This Row],[Annual Salary]]+Table1[[#This Row],[Bonus Amount]]</f>
        <v>49219</v>
      </c>
      <c r="Q511" t="str">
        <f>IF(Table1[[#This Row],[Exit Date]]="", "Active","Exited")</f>
        <v>Active</v>
      </c>
      <c r="R511" s="2">
        <f ca="1">IFERROR(DATEDIF(Table1[[#This Row],[Hire Date]],IF(Table1[[#This Row],[Exit Date]]="",TODAY(),Table1[[#This Row],[Exit Date]]),"Y"),"")</f>
        <v>7</v>
      </c>
      <c r="S511" t="str" cm="1">
        <f t="array" ref="S511">_xlfn.IFS(Table1[[#This Row],[Age]]&lt;30,"Under 30",Table1[[#This Row],[Age]]&lt;=40,"30-40",Table1[[#This Row],[Age]]&lt;50,"41-50",TRUE,"50+")</f>
        <v>41-50</v>
      </c>
    </row>
    <row r="512" spans="1:19" x14ac:dyDescent="0.35">
      <c r="A512" t="s">
        <v>1076</v>
      </c>
      <c r="B512" t="s">
        <v>624</v>
      </c>
      <c r="C512" t="s">
        <v>52</v>
      </c>
      <c r="D512" t="s">
        <v>34</v>
      </c>
      <c r="E512" t="s">
        <v>26</v>
      </c>
      <c r="F512" t="s">
        <v>27</v>
      </c>
      <c r="G512" t="s">
        <v>28</v>
      </c>
      <c r="H512" s="3">
        <v>50</v>
      </c>
      <c r="I512" s="8">
        <v>43239</v>
      </c>
      <c r="J512" s="4">
        <v>106437</v>
      </c>
      <c r="K512" s="1">
        <v>7.0000000000000007E-2</v>
      </c>
      <c r="L512" t="s">
        <v>29</v>
      </c>
      <c r="M512" t="s">
        <v>30</v>
      </c>
      <c r="O512" s="5">
        <f t="shared" si="7"/>
        <v>7450.5900000000011</v>
      </c>
      <c r="P512" s="6">
        <f>Table1[[#This Row],[Annual Salary]]+Table1[[#This Row],[Bonus Amount]]</f>
        <v>113887.59</v>
      </c>
      <c r="Q512" t="str">
        <f>IF(Table1[[#This Row],[Exit Date]]="", "Active","Exited")</f>
        <v>Active</v>
      </c>
      <c r="R512" s="2">
        <f ca="1">IFERROR(DATEDIF(Table1[[#This Row],[Hire Date]],IF(Table1[[#This Row],[Exit Date]]="",TODAY(),Table1[[#This Row],[Exit Date]]),"Y"),"")</f>
        <v>7</v>
      </c>
      <c r="S512" t="str" cm="1">
        <f t="array" ref="S512">_xlfn.IFS(Table1[[#This Row],[Age]]&lt;30,"Under 30",Table1[[#This Row],[Age]]&lt;=40,"30-40",Table1[[#This Row],[Age]]&lt;50,"41-50",TRUE,"50+")</f>
        <v>50+</v>
      </c>
    </row>
    <row r="513" spans="1:19" x14ac:dyDescent="0.35">
      <c r="A513" t="s">
        <v>1077</v>
      </c>
      <c r="B513" t="s">
        <v>1078</v>
      </c>
      <c r="C513" t="s">
        <v>124</v>
      </c>
      <c r="D513" t="s">
        <v>34</v>
      </c>
      <c r="E513" t="s">
        <v>26</v>
      </c>
      <c r="F513" t="s">
        <v>27</v>
      </c>
      <c r="G513" t="s">
        <v>85</v>
      </c>
      <c r="H513" s="3">
        <v>46</v>
      </c>
      <c r="I513" s="8">
        <v>42129</v>
      </c>
      <c r="J513" s="4">
        <v>64364</v>
      </c>
      <c r="K513" s="1">
        <v>0</v>
      </c>
      <c r="L513" t="s">
        <v>93</v>
      </c>
      <c r="M513" t="s">
        <v>218</v>
      </c>
      <c r="O513" s="5">
        <f t="shared" si="7"/>
        <v>0</v>
      </c>
      <c r="P513" s="6">
        <f>Table1[[#This Row],[Annual Salary]]+Table1[[#This Row],[Bonus Amount]]</f>
        <v>64364</v>
      </c>
      <c r="Q513" t="str">
        <f>IF(Table1[[#This Row],[Exit Date]]="", "Active","Exited")</f>
        <v>Active</v>
      </c>
      <c r="R513" s="2">
        <f ca="1">IFERROR(DATEDIF(Table1[[#This Row],[Hire Date]],IF(Table1[[#This Row],[Exit Date]]="",TODAY(),Table1[[#This Row],[Exit Date]]),"Y"),"")</f>
        <v>10</v>
      </c>
      <c r="S513" t="str" cm="1">
        <f t="array" ref="S513">_xlfn.IFS(Table1[[#This Row],[Age]]&lt;30,"Under 30",Table1[[#This Row],[Age]]&lt;=40,"30-40",Table1[[#This Row],[Age]]&lt;50,"41-50",TRUE,"50+")</f>
        <v>41-50</v>
      </c>
    </row>
    <row r="514" spans="1:19" x14ac:dyDescent="0.35">
      <c r="A514" t="s">
        <v>1079</v>
      </c>
      <c r="B514" t="s">
        <v>1080</v>
      </c>
      <c r="C514" t="s">
        <v>33</v>
      </c>
      <c r="D514" t="s">
        <v>65</v>
      </c>
      <c r="E514" t="s">
        <v>26</v>
      </c>
      <c r="F514" t="s">
        <v>27</v>
      </c>
      <c r="G514" t="s">
        <v>36</v>
      </c>
      <c r="H514" s="3">
        <v>50</v>
      </c>
      <c r="I514" s="8">
        <v>44486</v>
      </c>
      <c r="J514" s="4">
        <v>172180</v>
      </c>
      <c r="K514" s="1">
        <v>0.3</v>
      </c>
      <c r="L514" t="s">
        <v>21</v>
      </c>
      <c r="M514" t="s">
        <v>88</v>
      </c>
      <c r="O514" s="5">
        <f t="shared" si="7"/>
        <v>51654</v>
      </c>
      <c r="P514" s="6">
        <f>Table1[[#This Row],[Annual Salary]]+Table1[[#This Row],[Bonus Amount]]</f>
        <v>223834</v>
      </c>
      <c r="Q514" t="str">
        <f>IF(Table1[[#This Row],[Exit Date]]="", "Active","Exited")</f>
        <v>Active</v>
      </c>
      <c r="R514" s="2">
        <f ca="1">IFERROR(DATEDIF(Table1[[#This Row],[Hire Date]],IF(Table1[[#This Row],[Exit Date]]="",TODAY(),Table1[[#This Row],[Exit Date]]),"Y"),"")</f>
        <v>4</v>
      </c>
      <c r="S514" t="str" cm="1">
        <f t="array" ref="S514">_xlfn.IFS(Table1[[#This Row],[Age]]&lt;30,"Under 30",Table1[[#This Row],[Age]]&lt;=40,"30-40",Table1[[#This Row],[Age]]&lt;50,"41-50",TRUE,"50+")</f>
        <v>50+</v>
      </c>
    </row>
    <row r="515" spans="1:19" x14ac:dyDescent="0.35">
      <c r="A515" t="s">
        <v>1081</v>
      </c>
      <c r="B515" t="s">
        <v>1082</v>
      </c>
      <c r="C515" t="s">
        <v>43</v>
      </c>
      <c r="D515" t="s">
        <v>48</v>
      </c>
      <c r="E515" t="s">
        <v>26</v>
      </c>
      <c r="F515" t="s">
        <v>19</v>
      </c>
      <c r="G515" t="s">
        <v>85</v>
      </c>
      <c r="H515" s="3">
        <v>33</v>
      </c>
      <c r="I515" s="8">
        <v>41043</v>
      </c>
      <c r="J515" s="4">
        <v>88343</v>
      </c>
      <c r="K515" s="1">
        <v>0</v>
      </c>
      <c r="L515" t="s">
        <v>93</v>
      </c>
      <c r="M515" t="s">
        <v>99</v>
      </c>
      <c r="O515" s="5">
        <f t="shared" ref="O515:O578" si="8">J515*K515</f>
        <v>0</v>
      </c>
      <c r="P515" s="6">
        <f>Table1[[#This Row],[Annual Salary]]+Table1[[#This Row],[Bonus Amount]]</f>
        <v>88343</v>
      </c>
      <c r="Q515" t="str">
        <f>IF(Table1[[#This Row],[Exit Date]]="", "Active","Exited")</f>
        <v>Active</v>
      </c>
      <c r="R515" s="2">
        <f ca="1">IFERROR(DATEDIF(Table1[[#This Row],[Hire Date]],IF(Table1[[#This Row],[Exit Date]]="",TODAY(),Table1[[#This Row],[Exit Date]]),"Y"),"")</f>
        <v>13</v>
      </c>
      <c r="S515" t="str" cm="1">
        <f t="array" ref="S515">_xlfn.IFS(Table1[[#This Row],[Age]]&lt;30,"Under 30",Table1[[#This Row],[Age]]&lt;=40,"30-40",Table1[[#This Row],[Age]]&lt;50,"41-50",TRUE,"50+")</f>
        <v>30-40</v>
      </c>
    </row>
    <row r="516" spans="1:19" x14ac:dyDescent="0.35">
      <c r="A516" t="s">
        <v>1083</v>
      </c>
      <c r="B516" t="s">
        <v>1084</v>
      </c>
      <c r="C516" t="s">
        <v>372</v>
      </c>
      <c r="D516" t="s">
        <v>17</v>
      </c>
      <c r="E516" t="s">
        <v>35</v>
      </c>
      <c r="F516" t="s">
        <v>27</v>
      </c>
      <c r="G516" t="s">
        <v>85</v>
      </c>
      <c r="H516" s="3">
        <v>57</v>
      </c>
      <c r="I516" s="8">
        <v>41830</v>
      </c>
      <c r="J516" s="4">
        <v>66649</v>
      </c>
      <c r="K516" s="1">
        <v>0</v>
      </c>
      <c r="L516" t="s">
        <v>93</v>
      </c>
      <c r="M516" t="s">
        <v>99</v>
      </c>
      <c r="O516" s="5">
        <f t="shared" si="8"/>
        <v>0</v>
      </c>
      <c r="P516" s="6">
        <f>Table1[[#This Row],[Annual Salary]]+Table1[[#This Row],[Bonus Amount]]</f>
        <v>66649</v>
      </c>
      <c r="Q516" t="str">
        <f>IF(Table1[[#This Row],[Exit Date]]="", "Active","Exited")</f>
        <v>Active</v>
      </c>
      <c r="R516" s="2">
        <f ca="1">IFERROR(DATEDIF(Table1[[#This Row],[Hire Date]],IF(Table1[[#This Row],[Exit Date]]="",TODAY(),Table1[[#This Row],[Exit Date]]),"Y"),"")</f>
        <v>11</v>
      </c>
      <c r="S516" t="str" cm="1">
        <f t="array" ref="S516">_xlfn.IFS(Table1[[#This Row],[Age]]&lt;30,"Under 30",Table1[[#This Row],[Age]]&lt;=40,"30-40",Table1[[#This Row],[Age]]&lt;50,"41-50",TRUE,"50+")</f>
        <v>50+</v>
      </c>
    </row>
    <row r="517" spans="1:19" x14ac:dyDescent="0.35">
      <c r="A517" t="s">
        <v>158</v>
      </c>
      <c r="B517" t="s">
        <v>1085</v>
      </c>
      <c r="C517" t="s">
        <v>52</v>
      </c>
      <c r="D517" t="s">
        <v>34</v>
      </c>
      <c r="E517" t="s">
        <v>49</v>
      </c>
      <c r="F517" t="s">
        <v>19</v>
      </c>
      <c r="G517" t="s">
        <v>36</v>
      </c>
      <c r="H517" s="3">
        <v>48</v>
      </c>
      <c r="I517" s="8">
        <v>36272</v>
      </c>
      <c r="J517" s="4">
        <v>102847</v>
      </c>
      <c r="K517" s="1">
        <v>0.05</v>
      </c>
      <c r="L517" t="s">
        <v>21</v>
      </c>
      <c r="M517" t="s">
        <v>37</v>
      </c>
      <c r="O517" s="5">
        <f t="shared" si="8"/>
        <v>5142.3500000000004</v>
      </c>
      <c r="P517" s="6">
        <f>Table1[[#This Row],[Annual Salary]]+Table1[[#This Row],[Bonus Amount]]</f>
        <v>107989.35</v>
      </c>
      <c r="Q517" t="str">
        <f>IF(Table1[[#This Row],[Exit Date]]="", "Active","Exited")</f>
        <v>Active</v>
      </c>
      <c r="R517" s="2">
        <f ca="1">IFERROR(DATEDIF(Table1[[#This Row],[Hire Date]],IF(Table1[[#This Row],[Exit Date]]="",TODAY(),Table1[[#This Row],[Exit Date]]),"Y"),"")</f>
        <v>26</v>
      </c>
      <c r="S517" t="str" cm="1">
        <f t="array" ref="S517">_xlfn.IFS(Table1[[#This Row],[Age]]&lt;30,"Under 30",Table1[[#This Row],[Age]]&lt;=40,"30-40",Table1[[#This Row],[Age]]&lt;50,"41-50",TRUE,"50+")</f>
        <v>41-50</v>
      </c>
    </row>
    <row r="518" spans="1:19" x14ac:dyDescent="0.35">
      <c r="A518" t="s">
        <v>1086</v>
      </c>
      <c r="B518" t="s">
        <v>1087</v>
      </c>
      <c r="C518" t="s">
        <v>16</v>
      </c>
      <c r="D518" t="s">
        <v>34</v>
      </c>
      <c r="E518" t="s">
        <v>26</v>
      </c>
      <c r="F518" t="s">
        <v>27</v>
      </c>
      <c r="G518" t="s">
        <v>85</v>
      </c>
      <c r="H518" s="3">
        <v>46</v>
      </c>
      <c r="I518" s="8">
        <v>40378</v>
      </c>
      <c r="J518" s="4">
        <v>134881</v>
      </c>
      <c r="K518" s="1">
        <v>0.15</v>
      </c>
      <c r="L518" t="s">
        <v>93</v>
      </c>
      <c r="M518" t="s">
        <v>94</v>
      </c>
      <c r="O518" s="5">
        <f t="shared" si="8"/>
        <v>20232.149999999998</v>
      </c>
      <c r="P518" s="6">
        <f>Table1[[#This Row],[Annual Salary]]+Table1[[#This Row],[Bonus Amount]]</f>
        <v>155113.15</v>
      </c>
      <c r="Q518" t="str">
        <f>IF(Table1[[#This Row],[Exit Date]]="", "Active","Exited")</f>
        <v>Active</v>
      </c>
      <c r="R518" s="2">
        <f ca="1">IFERROR(DATEDIF(Table1[[#This Row],[Hire Date]],IF(Table1[[#This Row],[Exit Date]]="",TODAY(),Table1[[#This Row],[Exit Date]]),"Y"),"")</f>
        <v>15</v>
      </c>
      <c r="S518" t="str" cm="1">
        <f t="array" ref="S518">_xlfn.IFS(Table1[[#This Row],[Age]]&lt;30,"Under 30",Table1[[#This Row],[Age]]&lt;=40,"30-40",Table1[[#This Row],[Age]]&lt;50,"41-50",TRUE,"50+")</f>
        <v>41-50</v>
      </c>
    </row>
    <row r="519" spans="1:19" x14ac:dyDescent="0.35">
      <c r="A519" t="s">
        <v>1088</v>
      </c>
      <c r="B519" t="s">
        <v>1089</v>
      </c>
      <c r="C519" t="s">
        <v>124</v>
      </c>
      <c r="D519" t="s">
        <v>80</v>
      </c>
      <c r="E519" t="s">
        <v>26</v>
      </c>
      <c r="F519" t="s">
        <v>27</v>
      </c>
      <c r="G519" t="s">
        <v>28</v>
      </c>
      <c r="H519" s="3">
        <v>52</v>
      </c>
      <c r="I519" s="8">
        <v>36303</v>
      </c>
      <c r="J519" s="4">
        <v>68807</v>
      </c>
      <c r="K519" s="1">
        <v>0</v>
      </c>
      <c r="L519" t="s">
        <v>29</v>
      </c>
      <c r="M519" t="s">
        <v>134</v>
      </c>
      <c r="N519" s="7">
        <v>42338</v>
      </c>
      <c r="O519" s="5">
        <f t="shared" si="8"/>
        <v>0</v>
      </c>
      <c r="P519" s="6">
        <f>Table1[[#This Row],[Annual Salary]]+Table1[[#This Row],[Bonus Amount]]</f>
        <v>68807</v>
      </c>
      <c r="Q519" t="str">
        <f>IF(Table1[[#This Row],[Exit Date]]="", "Active","Exited")</f>
        <v>Exited</v>
      </c>
      <c r="R519" s="2">
        <f ca="1">IFERROR(DATEDIF(Table1[[#This Row],[Hire Date]],IF(Table1[[#This Row],[Exit Date]]="",TODAY(),Table1[[#This Row],[Exit Date]]),"Y"),"")</f>
        <v>16</v>
      </c>
      <c r="S519" t="str" cm="1">
        <f t="array" ref="S519">_xlfn.IFS(Table1[[#This Row],[Age]]&lt;30,"Under 30",Table1[[#This Row],[Age]]&lt;=40,"30-40",Table1[[#This Row],[Age]]&lt;50,"41-50",TRUE,"50+")</f>
        <v>50+</v>
      </c>
    </row>
    <row r="520" spans="1:19" x14ac:dyDescent="0.35">
      <c r="A520" t="s">
        <v>1090</v>
      </c>
      <c r="B520" t="s">
        <v>1091</v>
      </c>
      <c r="C520" t="s">
        <v>79</v>
      </c>
      <c r="D520" t="s">
        <v>17</v>
      </c>
      <c r="E520" t="s">
        <v>26</v>
      </c>
      <c r="F520" t="s">
        <v>27</v>
      </c>
      <c r="G520" t="s">
        <v>36</v>
      </c>
      <c r="H520" s="3">
        <v>56</v>
      </c>
      <c r="I520" s="8">
        <v>38866</v>
      </c>
      <c r="J520" s="4">
        <v>228822</v>
      </c>
      <c r="K520" s="1">
        <v>0.36</v>
      </c>
      <c r="L520" t="s">
        <v>21</v>
      </c>
      <c r="M520" t="s">
        <v>56</v>
      </c>
      <c r="O520" s="5">
        <f t="shared" si="8"/>
        <v>82375.92</v>
      </c>
      <c r="P520" s="6">
        <f>Table1[[#This Row],[Annual Salary]]+Table1[[#This Row],[Bonus Amount]]</f>
        <v>311197.92</v>
      </c>
      <c r="Q520" t="str">
        <f>IF(Table1[[#This Row],[Exit Date]]="", "Active","Exited")</f>
        <v>Active</v>
      </c>
      <c r="R520" s="2">
        <f ca="1">IFERROR(DATEDIF(Table1[[#This Row],[Hire Date]],IF(Table1[[#This Row],[Exit Date]]="",TODAY(),Table1[[#This Row],[Exit Date]]),"Y"),"")</f>
        <v>19</v>
      </c>
      <c r="S520" t="str" cm="1">
        <f t="array" ref="S520">_xlfn.IFS(Table1[[#This Row],[Age]]&lt;30,"Under 30",Table1[[#This Row],[Age]]&lt;=40,"30-40",Table1[[#This Row],[Age]]&lt;50,"41-50",TRUE,"50+")</f>
        <v>50+</v>
      </c>
    </row>
    <row r="521" spans="1:19" x14ac:dyDescent="0.35">
      <c r="A521" t="s">
        <v>1092</v>
      </c>
      <c r="B521" t="s">
        <v>1093</v>
      </c>
      <c r="C521" t="s">
        <v>55</v>
      </c>
      <c r="D521" t="s">
        <v>80</v>
      </c>
      <c r="E521" t="s">
        <v>26</v>
      </c>
      <c r="F521" t="s">
        <v>27</v>
      </c>
      <c r="G521" t="s">
        <v>36</v>
      </c>
      <c r="H521" s="3">
        <v>28</v>
      </c>
      <c r="I521" s="8">
        <v>44395</v>
      </c>
      <c r="J521" s="4">
        <v>43391</v>
      </c>
      <c r="K521" s="1">
        <v>0</v>
      </c>
      <c r="L521" t="s">
        <v>21</v>
      </c>
      <c r="M521" t="s">
        <v>88</v>
      </c>
      <c r="O521" s="5">
        <f t="shared" si="8"/>
        <v>0</v>
      </c>
      <c r="P521" s="6">
        <f>Table1[[#This Row],[Annual Salary]]+Table1[[#This Row],[Bonus Amount]]</f>
        <v>43391</v>
      </c>
      <c r="Q521" t="str">
        <f>IF(Table1[[#This Row],[Exit Date]]="", "Active","Exited")</f>
        <v>Active</v>
      </c>
      <c r="R521" s="2">
        <f ca="1">IFERROR(DATEDIF(Table1[[#This Row],[Hire Date]],IF(Table1[[#This Row],[Exit Date]]="",TODAY(),Table1[[#This Row],[Exit Date]]),"Y"),"")</f>
        <v>4</v>
      </c>
      <c r="S521" t="str" cm="1">
        <f t="array" ref="S521">_xlfn.IFS(Table1[[#This Row],[Age]]&lt;30,"Under 30",Table1[[#This Row],[Age]]&lt;=40,"30-40",Table1[[#This Row],[Age]]&lt;50,"41-50",TRUE,"50+")</f>
        <v>Under 30</v>
      </c>
    </row>
    <row r="522" spans="1:19" x14ac:dyDescent="0.35">
      <c r="A522" t="s">
        <v>1094</v>
      </c>
      <c r="B522" t="s">
        <v>1095</v>
      </c>
      <c r="C522" t="s">
        <v>108</v>
      </c>
      <c r="D522" t="s">
        <v>69</v>
      </c>
      <c r="E522" t="s">
        <v>35</v>
      </c>
      <c r="F522" t="s">
        <v>27</v>
      </c>
      <c r="G522" t="s">
        <v>28</v>
      </c>
      <c r="H522" s="3">
        <v>29</v>
      </c>
      <c r="I522" s="8">
        <v>44515</v>
      </c>
      <c r="J522" s="4">
        <v>91782</v>
      </c>
      <c r="K522" s="1">
        <v>0</v>
      </c>
      <c r="L522" t="s">
        <v>29</v>
      </c>
      <c r="M522" t="s">
        <v>30</v>
      </c>
      <c r="O522" s="5">
        <f t="shared" si="8"/>
        <v>0</v>
      </c>
      <c r="P522" s="6">
        <f>Table1[[#This Row],[Annual Salary]]+Table1[[#This Row],[Bonus Amount]]</f>
        <v>91782</v>
      </c>
      <c r="Q522" t="str">
        <f>IF(Table1[[#This Row],[Exit Date]]="", "Active","Exited")</f>
        <v>Active</v>
      </c>
      <c r="R522" s="2">
        <f ca="1">IFERROR(DATEDIF(Table1[[#This Row],[Hire Date]],IF(Table1[[#This Row],[Exit Date]]="",TODAY(),Table1[[#This Row],[Exit Date]]),"Y"),"")</f>
        <v>4</v>
      </c>
      <c r="S522" t="str" cm="1">
        <f t="array" ref="S522">_xlfn.IFS(Table1[[#This Row],[Age]]&lt;30,"Under 30",Table1[[#This Row],[Age]]&lt;=40,"30-40",Table1[[#This Row],[Age]]&lt;50,"41-50",TRUE,"50+")</f>
        <v>Under 30</v>
      </c>
    </row>
    <row r="523" spans="1:19" x14ac:dyDescent="0.35">
      <c r="A523" t="s">
        <v>1096</v>
      </c>
      <c r="B523" t="s">
        <v>1097</v>
      </c>
      <c r="C523" t="s">
        <v>79</v>
      </c>
      <c r="D523" t="s">
        <v>80</v>
      </c>
      <c r="E523" t="s">
        <v>49</v>
      </c>
      <c r="F523" t="s">
        <v>19</v>
      </c>
      <c r="G523" t="s">
        <v>28</v>
      </c>
      <c r="H523" s="3">
        <v>45</v>
      </c>
      <c r="I523" s="8">
        <v>42428</v>
      </c>
      <c r="J523" s="4">
        <v>211637</v>
      </c>
      <c r="K523" s="1">
        <v>0.31</v>
      </c>
      <c r="L523" t="s">
        <v>21</v>
      </c>
      <c r="M523" t="s">
        <v>37</v>
      </c>
      <c r="O523" s="5">
        <f t="shared" si="8"/>
        <v>65607.47</v>
      </c>
      <c r="P523" s="6">
        <f>Table1[[#This Row],[Annual Salary]]+Table1[[#This Row],[Bonus Amount]]</f>
        <v>277244.46999999997</v>
      </c>
      <c r="Q523" t="str">
        <f>IF(Table1[[#This Row],[Exit Date]]="", "Active","Exited")</f>
        <v>Active</v>
      </c>
      <c r="R523" s="2">
        <f ca="1">IFERROR(DATEDIF(Table1[[#This Row],[Hire Date]],IF(Table1[[#This Row],[Exit Date]]="",TODAY(),Table1[[#This Row],[Exit Date]]),"Y"),"")</f>
        <v>10</v>
      </c>
      <c r="S523" t="str" cm="1">
        <f t="array" ref="S523">_xlfn.IFS(Table1[[#This Row],[Age]]&lt;30,"Under 30",Table1[[#This Row],[Age]]&lt;=40,"30-40",Table1[[#This Row],[Age]]&lt;50,"41-50",TRUE,"50+")</f>
        <v>41-50</v>
      </c>
    </row>
    <row r="524" spans="1:19" x14ac:dyDescent="0.35">
      <c r="A524" t="s">
        <v>210</v>
      </c>
      <c r="B524" t="s">
        <v>1098</v>
      </c>
      <c r="C524" t="s">
        <v>40</v>
      </c>
      <c r="D524" t="s">
        <v>17</v>
      </c>
      <c r="E524" t="s">
        <v>26</v>
      </c>
      <c r="F524" t="s">
        <v>27</v>
      </c>
      <c r="G524" t="s">
        <v>36</v>
      </c>
      <c r="H524" s="3">
        <v>28</v>
      </c>
      <c r="I524" s="8">
        <v>44051</v>
      </c>
      <c r="J524" s="4">
        <v>73255</v>
      </c>
      <c r="K524" s="1">
        <v>0.09</v>
      </c>
      <c r="L524" t="s">
        <v>21</v>
      </c>
      <c r="M524" t="s">
        <v>44</v>
      </c>
      <c r="O524" s="5">
        <f t="shared" si="8"/>
        <v>6592.95</v>
      </c>
      <c r="P524" s="6">
        <f>Table1[[#This Row],[Annual Salary]]+Table1[[#This Row],[Bonus Amount]]</f>
        <v>79847.95</v>
      </c>
      <c r="Q524" t="str">
        <f>IF(Table1[[#This Row],[Exit Date]]="", "Active","Exited")</f>
        <v>Active</v>
      </c>
      <c r="R524" s="2">
        <f ca="1">IFERROR(DATEDIF(Table1[[#This Row],[Hire Date]],IF(Table1[[#This Row],[Exit Date]]="",TODAY(),Table1[[#This Row],[Exit Date]]),"Y"),"")</f>
        <v>5</v>
      </c>
      <c r="S524" t="str" cm="1">
        <f t="array" ref="S524">_xlfn.IFS(Table1[[#This Row],[Age]]&lt;30,"Under 30",Table1[[#This Row],[Age]]&lt;=40,"30-40",Table1[[#This Row],[Age]]&lt;50,"41-50",TRUE,"50+")</f>
        <v>Under 30</v>
      </c>
    </row>
    <row r="525" spans="1:19" x14ac:dyDescent="0.35">
      <c r="A525" t="s">
        <v>1099</v>
      </c>
      <c r="B525" t="s">
        <v>1100</v>
      </c>
      <c r="C525" t="s">
        <v>52</v>
      </c>
      <c r="D525" t="s">
        <v>48</v>
      </c>
      <c r="E525" t="s">
        <v>49</v>
      </c>
      <c r="F525" t="s">
        <v>27</v>
      </c>
      <c r="G525" t="s">
        <v>36</v>
      </c>
      <c r="H525" s="3">
        <v>28</v>
      </c>
      <c r="I525" s="8">
        <v>44204</v>
      </c>
      <c r="J525" s="4">
        <v>108826</v>
      </c>
      <c r="K525" s="1">
        <v>0.1</v>
      </c>
      <c r="L525" t="s">
        <v>21</v>
      </c>
      <c r="M525" t="s">
        <v>56</v>
      </c>
      <c r="O525" s="5">
        <f t="shared" si="8"/>
        <v>10882.6</v>
      </c>
      <c r="P525" s="6">
        <f>Table1[[#This Row],[Annual Salary]]+Table1[[#This Row],[Bonus Amount]]</f>
        <v>119708.6</v>
      </c>
      <c r="Q525" t="str">
        <f>IF(Table1[[#This Row],[Exit Date]]="", "Active","Exited")</f>
        <v>Active</v>
      </c>
      <c r="R525" s="2">
        <f ca="1">IFERROR(DATEDIF(Table1[[#This Row],[Hire Date]],IF(Table1[[#This Row],[Exit Date]]="",TODAY(),Table1[[#This Row],[Exit Date]]),"Y"),"")</f>
        <v>5</v>
      </c>
      <c r="S525" t="str" cm="1">
        <f t="array" ref="S525">_xlfn.IFS(Table1[[#This Row],[Age]]&lt;30,"Under 30",Table1[[#This Row],[Age]]&lt;=40,"30-40",Table1[[#This Row],[Age]]&lt;50,"41-50",TRUE,"50+")</f>
        <v>Under 30</v>
      </c>
    </row>
    <row r="526" spans="1:19" x14ac:dyDescent="0.35">
      <c r="A526" t="s">
        <v>1101</v>
      </c>
      <c r="B526" t="s">
        <v>1102</v>
      </c>
      <c r="C526" t="s">
        <v>372</v>
      </c>
      <c r="D526" t="s">
        <v>17</v>
      </c>
      <c r="E526" t="s">
        <v>35</v>
      </c>
      <c r="F526" t="s">
        <v>27</v>
      </c>
      <c r="G526" t="s">
        <v>36</v>
      </c>
      <c r="H526" s="3">
        <v>34</v>
      </c>
      <c r="I526" s="8">
        <v>42514</v>
      </c>
      <c r="J526" s="4">
        <v>94352</v>
      </c>
      <c r="K526" s="1">
        <v>0</v>
      </c>
      <c r="L526" t="s">
        <v>21</v>
      </c>
      <c r="M526" t="s">
        <v>56</v>
      </c>
      <c r="O526" s="5">
        <f t="shared" si="8"/>
        <v>0</v>
      </c>
      <c r="P526" s="6">
        <f>Table1[[#This Row],[Annual Salary]]+Table1[[#This Row],[Bonus Amount]]</f>
        <v>94352</v>
      </c>
      <c r="Q526" t="str">
        <f>IF(Table1[[#This Row],[Exit Date]]="", "Active","Exited")</f>
        <v>Active</v>
      </c>
      <c r="R526" s="2">
        <f ca="1">IFERROR(DATEDIF(Table1[[#This Row],[Hire Date]],IF(Table1[[#This Row],[Exit Date]]="",TODAY(),Table1[[#This Row],[Exit Date]]),"Y"),"")</f>
        <v>9</v>
      </c>
      <c r="S526" t="str" cm="1">
        <f t="array" ref="S526">_xlfn.IFS(Table1[[#This Row],[Age]]&lt;30,"Under 30",Table1[[#This Row],[Age]]&lt;=40,"30-40",Table1[[#This Row],[Age]]&lt;50,"41-50",TRUE,"50+")</f>
        <v>30-40</v>
      </c>
    </row>
    <row r="527" spans="1:19" x14ac:dyDescent="0.35">
      <c r="A527" t="s">
        <v>1103</v>
      </c>
      <c r="B527" t="s">
        <v>1104</v>
      </c>
      <c r="C527" t="s">
        <v>442</v>
      </c>
      <c r="D527" t="s">
        <v>17</v>
      </c>
      <c r="E527" t="s">
        <v>18</v>
      </c>
      <c r="F527" t="s">
        <v>19</v>
      </c>
      <c r="G527" t="s">
        <v>85</v>
      </c>
      <c r="H527" s="3">
        <v>55</v>
      </c>
      <c r="I527" s="8">
        <v>34576</v>
      </c>
      <c r="J527" s="4">
        <v>73955</v>
      </c>
      <c r="K527" s="1">
        <v>0</v>
      </c>
      <c r="L527" t="s">
        <v>21</v>
      </c>
      <c r="M527" t="s">
        <v>44</v>
      </c>
      <c r="O527" s="5">
        <f t="shared" si="8"/>
        <v>0</v>
      </c>
      <c r="P527" s="6">
        <f>Table1[[#This Row],[Annual Salary]]+Table1[[#This Row],[Bonus Amount]]</f>
        <v>73955</v>
      </c>
      <c r="Q527" t="str">
        <f>IF(Table1[[#This Row],[Exit Date]]="", "Active","Exited")</f>
        <v>Active</v>
      </c>
      <c r="R527" s="2">
        <f ca="1">IFERROR(DATEDIF(Table1[[#This Row],[Hire Date]],IF(Table1[[#This Row],[Exit Date]]="",TODAY(),Table1[[#This Row],[Exit Date]]),"Y"),"")</f>
        <v>31</v>
      </c>
      <c r="S527" t="str" cm="1">
        <f t="array" ref="S527">_xlfn.IFS(Table1[[#This Row],[Age]]&lt;30,"Under 30",Table1[[#This Row],[Age]]&lt;=40,"30-40",Table1[[#This Row],[Age]]&lt;50,"41-50",TRUE,"50+")</f>
        <v>50+</v>
      </c>
    </row>
    <row r="528" spans="1:19" x14ac:dyDescent="0.35">
      <c r="A528" t="s">
        <v>1105</v>
      </c>
      <c r="B528" t="s">
        <v>1106</v>
      </c>
      <c r="C528" t="s">
        <v>52</v>
      </c>
      <c r="D528" t="s">
        <v>65</v>
      </c>
      <c r="E528" t="s">
        <v>26</v>
      </c>
      <c r="F528" t="s">
        <v>27</v>
      </c>
      <c r="G528" t="s">
        <v>85</v>
      </c>
      <c r="H528" s="3">
        <v>34</v>
      </c>
      <c r="I528" s="8">
        <v>41499</v>
      </c>
      <c r="J528" s="4">
        <v>113909</v>
      </c>
      <c r="K528" s="1">
        <v>0.06</v>
      </c>
      <c r="L528" t="s">
        <v>93</v>
      </c>
      <c r="M528" t="s">
        <v>99</v>
      </c>
      <c r="O528" s="5">
        <f t="shared" si="8"/>
        <v>6834.54</v>
      </c>
      <c r="P528" s="6">
        <f>Table1[[#This Row],[Annual Salary]]+Table1[[#This Row],[Bonus Amount]]</f>
        <v>120743.54</v>
      </c>
      <c r="Q528" t="str">
        <f>IF(Table1[[#This Row],[Exit Date]]="", "Active","Exited")</f>
        <v>Active</v>
      </c>
      <c r="R528" s="2">
        <f ca="1">IFERROR(DATEDIF(Table1[[#This Row],[Hire Date]],IF(Table1[[#This Row],[Exit Date]]="",TODAY(),Table1[[#This Row],[Exit Date]]),"Y"),"")</f>
        <v>12</v>
      </c>
      <c r="S528" t="str" cm="1">
        <f t="array" ref="S528">_xlfn.IFS(Table1[[#This Row],[Age]]&lt;30,"Under 30",Table1[[#This Row],[Age]]&lt;=40,"30-40",Table1[[#This Row],[Age]]&lt;50,"41-50",TRUE,"50+")</f>
        <v>30-40</v>
      </c>
    </row>
    <row r="529" spans="1:19" x14ac:dyDescent="0.35">
      <c r="A529" t="s">
        <v>1107</v>
      </c>
      <c r="B529" t="s">
        <v>1108</v>
      </c>
      <c r="C529" t="s">
        <v>485</v>
      </c>
      <c r="D529" t="s">
        <v>17</v>
      </c>
      <c r="E529" t="s">
        <v>26</v>
      </c>
      <c r="F529" t="s">
        <v>27</v>
      </c>
      <c r="G529" t="s">
        <v>28</v>
      </c>
      <c r="H529" s="3">
        <v>27</v>
      </c>
      <c r="I529" s="8">
        <v>44189</v>
      </c>
      <c r="J529" s="4">
        <v>92321</v>
      </c>
      <c r="K529" s="1">
        <v>0</v>
      </c>
      <c r="L529" t="s">
        <v>21</v>
      </c>
      <c r="M529" t="s">
        <v>37</v>
      </c>
      <c r="O529" s="5">
        <f t="shared" si="8"/>
        <v>0</v>
      </c>
      <c r="P529" s="6">
        <f>Table1[[#This Row],[Annual Salary]]+Table1[[#This Row],[Bonus Amount]]</f>
        <v>92321</v>
      </c>
      <c r="Q529" t="str">
        <f>IF(Table1[[#This Row],[Exit Date]]="", "Active","Exited")</f>
        <v>Active</v>
      </c>
      <c r="R529" s="2">
        <f ca="1">IFERROR(DATEDIF(Table1[[#This Row],[Hire Date]],IF(Table1[[#This Row],[Exit Date]]="",TODAY(),Table1[[#This Row],[Exit Date]]),"Y"),"")</f>
        <v>5</v>
      </c>
      <c r="S529" t="str" cm="1">
        <f t="array" ref="S529">_xlfn.IFS(Table1[[#This Row],[Age]]&lt;30,"Under 30",Table1[[#This Row],[Age]]&lt;=40,"30-40",Table1[[#This Row],[Age]]&lt;50,"41-50",TRUE,"50+")</f>
        <v>Under 30</v>
      </c>
    </row>
    <row r="530" spans="1:19" x14ac:dyDescent="0.35">
      <c r="A530" t="s">
        <v>1046</v>
      </c>
      <c r="B530" t="s">
        <v>1109</v>
      </c>
      <c r="C530" t="s">
        <v>40</v>
      </c>
      <c r="D530" t="s">
        <v>17</v>
      </c>
      <c r="E530" t="s">
        <v>18</v>
      </c>
      <c r="F530" t="s">
        <v>27</v>
      </c>
      <c r="G530" t="s">
        <v>36</v>
      </c>
      <c r="H530" s="3">
        <v>52</v>
      </c>
      <c r="I530" s="8">
        <v>41417</v>
      </c>
      <c r="J530" s="4">
        <v>99557</v>
      </c>
      <c r="K530" s="1">
        <v>0.09</v>
      </c>
      <c r="L530" t="s">
        <v>21</v>
      </c>
      <c r="M530" t="s">
        <v>22</v>
      </c>
      <c r="O530" s="5">
        <f t="shared" si="8"/>
        <v>8960.1299999999992</v>
      </c>
      <c r="P530" s="6">
        <f>Table1[[#This Row],[Annual Salary]]+Table1[[#This Row],[Bonus Amount]]</f>
        <v>108517.13</v>
      </c>
      <c r="Q530" t="str">
        <f>IF(Table1[[#This Row],[Exit Date]]="", "Active","Exited")</f>
        <v>Active</v>
      </c>
      <c r="R530" s="2">
        <f ca="1">IFERROR(DATEDIF(Table1[[#This Row],[Hire Date]],IF(Table1[[#This Row],[Exit Date]]="",TODAY(),Table1[[#This Row],[Exit Date]]),"Y"),"")</f>
        <v>12</v>
      </c>
      <c r="S530" t="str" cm="1">
        <f t="array" ref="S530">_xlfn.IFS(Table1[[#This Row],[Age]]&lt;30,"Under 30",Table1[[#This Row],[Age]]&lt;=40,"30-40",Table1[[#This Row],[Age]]&lt;50,"41-50",TRUE,"50+")</f>
        <v>50+</v>
      </c>
    </row>
    <row r="531" spans="1:19" x14ac:dyDescent="0.35">
      <c r="A531" t="s">
        <v>1110</v>
      </c>
      <c r="B531" t="s">
        <v>1111</v>
      </c>
      <c r="C531" t="s">
        <v>178</v>
      </c>
      <c r="D531" t="s">
        <v>69</v>
      </c>
      <c r="E531" t="s">
        <v>35</v>
      </c>
      <c r="F531" t="s">
        <v>19</v>
      </c>
      <c r="G531" t="s">
        <v>36</v>
      </c>
      <c r="H531" s="3">
        <v>28</v>
      </c>
      <c r="I531" s="8">
        <v>43418</v>
      </c>
      <c r="J531" s="4">
        <v>115854</v>
      </c>
      <c r="K531" s="1">
        <v>0</v>
      </c>
      <c r="L531" t="s">
        <v>21</v>
      </c>
      <c r="M531" t="s">
        <v>44</v>
      </c>
      <c r="O531" s="5">
        <f t="shared" si="8"/>
        <v>0</v>
      </c>
      <c r="P531" s="6">
        <f>Table1[[#This Row],[Annual Salary]]+Table1[[#This Row],[Bonus Amount]]</f>
        <v>115854</v>
      </c>
      <c r="Q531" t="str">
        <f>IF(Table1[[#This Row],[Exit Date]]="", "Active","Exited")</f>
        <v>Active</v>
      </c>
      <c r="R531" s="2">
        <f ca="1">IFERROR(DATEDIF(Table1[[#This Row],[Hire Date]],IF(Table1[[#This Row],[Exit Date]]="",TODAY(),Table1[[#This Row],[Exit Date]]),"Y"),"")</f>
        <v>7</v>
      </c>
      <c r="S531" t="str" cm="1">
        <f t="array" ref="S531">_xlfn.IFS(Table1[[#This Row],[Age]]&lt;30,"Under 30",Table1[[#This Row],[Age]]&lt;=40,"30-40",Table1[[#This Row],[Age]]&lt;50,"41-50",TRUE,"50+")</f>
        <v>Under 30</v>
      </c>
    </row>
    <row r="532" spans="1:19" x14ac:dyDescent="0.35">
      <c r="A532" t="s">
        <v>1112</v>
      </c>
      <c r="B532" t="s">
        <v>1113</v>
      </c>
      <c r="C532" t="s">
        <v>442</v>
      </c>
      <c r="D532" t="s">
        <v>17</v>
      </c>
      <c r="E532" t="s">
        <v>26</v>
      </c>
      <c r="F532" t="s">
        <v>19</v>
      </c>
      <c r="G532" t="s">
        <v>85</v>
      </c>
      <c r="H532" s="3">
        <v>44</v>
      </c>
      <c r="I532" s="8">
        <v>40603</v>
      </c>
      <c r="J532" s="4">
        <v>82462</v>
      </c>
      <c r="K532" s="1">
        <v>0</v>
      </c>
      <c r="L532" t="s">
        <v>21</v>
      </c>
      <c r="M532" t="s">
        <v>60</v>
      </c>
      <c r="O532" s="5">
        <f t="shared" si="8"/>
        <v>0</v>
      </c>
      <c r="P532" s="6">
        <f>Table1[[#This Row],[Annual Salary]]+Table1[[#This Row],[Bonus Amount]]</f>
        <v>82462</v>
      </c>
      <c r="Q532" t="str">
        <f>IF(Table1[[#This Row],[Exit Date]]="", "Active","Exited")</f>
        <v>Active</v>
      </c>
      <c r="R532" s="2">
        <f ca="1">IFERROR(DATEDIF(Table1[[#This Row],[Hire Date]],IF(Table1[[#This Row],[Exit Date]]="",TODAY(),Table1[[#This Row],[Exit Date]]),"Y"),"")</f>
        <v>15</v>
      </c>
      <c r="S532" t="str" cm="1">
        <f t="array" ref="S532">_xlfn.IFS(Table1[[#This Row],[Age]]&lt;30,"Under 30",Table1[[#This Row],[Age]]&lt;=40,"30-40",Table1[[#This Row],[Age]]&lt;50,"41-50",TRUE,"50+")</f>
        <v>41-50</v>
      </c>
    </row>
    <row r="533" spans="1:19" x14ac:dyDescent="0.35">
      <c r="A533" t="s">
        <v>1114</v>
      </c>
      <c r="B533" t="s">
        <v>1115</v>
      </c>
      <c r="C533" t="s">
        <v>79</v>
      </c>
      <c r="D533" t="s">
        <v>17</v>
      </c>
      <c r="E533" t="s">
        <v>18</v>
      </c>
      <c r="F533" t="s">
        <v>19</v>
      </c>
      <c r="G533" t="s">
        <v>36</v>
      </c>
      <c r="H533" s="3">
        <v>53</v>
      </c>
      <c r="I533" s="8">
        <v>40856</v>
      </c>
      <c r="J533" s="4">
        <v>198473</v>
      </c>
      <c r="K533" s="1">
        <v>0.32</v>
      </c>
      <c r="L533" t="s">
        <v>21</v>
      </c>
      <c r="M533" t="s">
        <v>56</v>
      </c>
      <c r="O533" s="5">
        <f t="shared" si="8"/>
        <v>63511.360000000001</v>
      </c>
      <c r="P533" s="6">
        <f>Table1[[#This Row],[Annual Salary]]+Table1[[#This Row],[Bonus Amount]]</f>
        <v>261984.36</v>
      </c>
      <c r="Q533" t="str">
        <f>IF(Table1[[#This Row],[Exit Date]]="", "Active","Exited")</f>
        <v>Active</v>
      </c>
      <c r="R533" s="2">
        <f ca="1">IFERROR(DATEDIF(Table1[[#This Row],[Hire Date]],IF(Table1[[#This Row],[Exit Date]]="",TODAY(),Table1[[#This Row],[Exit Date]]),"Y"),"")</f>
        <v>14</v>
      </c>
      <c r="S533" t="str" cm="1">
        <f t="array" ref="S533">_xlfn.IFS(Table1[[#This Row],[Age]]&lt;30,"Under 30",Table1[[#This Row],[Age]]&lt;=40,"30-40",Table1[[#This Row],[Age]]&lt;50,"41-50",TRUE,"50+")</f>
        <v>50+</v>
      </c>
    </row>
    <row r="534" spans="1:19" x14ac:dyDescent="0.35">
      <c r="A534" t="s">
        <v>1116</v>
      </c>
      <c r="B534" t="s">
        <v>1117</v>
      </c>
      <c r="C534" t="s">
        <v>16</v>
      </c>
      <c r="D534" t="s">
        <v>34</v>
      </c>
      <c r="E534" t="s">
        <v>49</v>
      </c>
      <c r="F534" t="s">
        <v>19</v>
      </c>
      <c r="G534" t="s">
        <v>28</v>
      </c>
      <c r="H534" s="3">
        <v>43</v>
      </c>
      <c r="I534" s="8">
        <v>39005</v>
      </c>
      <c r="J534" s="4">
        <v>153492</v>
      </c>
      <c r="K534" s="1">
        <v>0.11</v>
      </c>
      <c r="L534" t="s">
        <v>21</v>
      </c>
      <c r="M534" t="s">
        <v>37</v>
      </c>
      <c r="O534" s="5">
        <f t="shared" si="8"/>
        <v>16884.12</v>
      </c>
      <c r="P534" s="6">
        <f>Table1[[#This Row],[Annual Salary]]+Table1[[#This Row],[Bonus Amount]]</f>
        <v>170376.12</v>
      </c>
      <c r="Q534" t="str">
        <f>IF(Table1[[#This Row],[Exit Date]]="", "Active","Exited")</f>
        <v>Active</v>
      </c>
      <c r="R534" s="2">
        <f ca="1">IFERROR(DATEDIF(Table1[[#This Row],[Hire Date]],IF(Table1[[#This Row],[Exit Date]]="",TODAY(),Table1[[#This Row],[Exit Date]]),"Y"),"")</f>
        <v>19</v>
      </c>
      <c r="S534" t="str" cm="1">
        <f t="array" ref="S534">_xlfn.IFS(Table1[[#This Row],[Age]]&lt;30,"Under 30",Table1[[#This Row],[Age]]&lt;=40,"30-40",Table1[[#This Row],[Age]]&lt;50,"41-50",TRUE,"50+")</f>
        <v>41-50</v>
      </c>
    </row>
    <row r="535" spans="1:19" x14ac:dyDescent="0.35">
      <c r="A535" t="s">
        <v>1118</v>
      </c>
      <c r="B535" t="s">
        <v>1119</v>
      </c>
      <c r="C535" t="s">
        <v>79</v>
      </c>
      <c r="D535" t="s">
        <v>65</v>
      </c>
      <c r="E535" t="s">
        <v>49</v>
      </c>
      <c r="F535" t="s">
        <v>19</v>
      </c>
      <c r="G535" t="s">
        <v>20</v>
      </c>
      <c r="H535" s="3">
        <v>28</v>
      </c>
      <c r="I535" s="8">
        <v>43121</v>
      </c>
      <c r="J535" s="4">
        <v>208210</v>
      </c>
      <c r="K535" s="1">
        <v>0.3</v>
      </c>
      <c r="L535" t="s">
        <v>21</v>
      </c>
      <c r="M535" t="s">
        <v>22</v>
      </c>
      <c r="O535" s="5">
        <f t="shared" si="8"/>
        <v>62463</v>
      </c>
      <c r="P535" s="6">
        <f>Table1[[#This Row],[Annual Salary]]+Table1[[#This Row],[Bonus Amount]]</f>
        <v>270673</v>
      </c>
      <c r="Q535" t="str">
        <f>IF(Table1[[#This Row],[Exit Date]]="", "Active","Exited")</f>
        <v>Active</v>
      </c>
      <c r="R535" s="2">
        <f ca="1">IFERROR(DATEDIF(Table1[[#This Row],[Hire Date]],IF(Table1[[#This Row],[Exit Date]]="",TODAY(),Table1[[#This Row],[Exit Date]]),"Y"),"")</f>
        <v>8</v>
      </c>
      <c r="S535" t="str" cm="1">
        <f t="array" ref="S535">_xlfn.IFS(Table1[[#This Row],[Age]]&lt;30,"Under 30",Table1[[#This Row],[Age]]&lt;=40,"30-40",Table1[[#This Row],[Age]]&lt;50,"41-50",TRUE,"50+")</f>
        <v>Under 30</v>
      </c>
    </row>
    <row r="536" spans="1:19" x14ac:dyDescent="0.35">
      <c r="A536" t="s">
        <v>1120</v>
      </c>
      <c r="B536" t="s">
        <v>1121</v>
      </c>
      <c r="C536" t="s">
        <v>43</v>
      </c>
      <c r="D536" t="s">
        <v>80</v>
      </c>
      <c r="E536" t="s">
        <v>49</v>
      </c>
      <c r="F536" t="s">
        <v>27</v>
      </c>
      <c r="G536" t="s">
        <v>36</v>
      </c>
      <c r="H536" s="3">
        <v>33</v>
      </c>
      <c r="I536" s="8">
        <v>42325</v>
      </c>
      <c r="J536" s="4">
        <v>91632</v>
      </c>
      <c r="K536" s="1">
        <v>0</v>
      </c>
      <c r="L536" t="s">
        <v>21</v>
      </c>
      <c r="M536" t="s">
        <v>44</v>
      </c>
      <c r="O536" s="5">
        <f t="shared" si="8"/>
        <v>0</v>
      </c>
      <c r="P536" s="6">
        <f>Table1[[#This Row],[Annual Salary]]+Table1[[#This Row],[Bonus Amount]]</f>
        <v>91632</v>
      </c>
      <c r="Q536" t="str">
        <f>IF(Table1[[#This Row],[Exit Date]]="", "Active","Exited")</f>
        <v>Active</v>
      </c>
      <c r="R536" s="2">
        <f ca="1">IFERROR(DATEDIF(Table1[[#This Row],[Hire Date]],IF(Table1[[#This Row],[Exit Date]]="",TODAY(),Table1[[#This Row],[Exit Date]]),"Y"),"")</f>
        <v>10</v>
      </c>
      <c r="S536" t="str" cm="1">
        <f t="array" ref="S536">_xlfn.IFS(Table1[[#This Row],[Age]]&lt;30,"Under 30",Table1[[#This Row],[Age]]&lt;=40,"30-40",Table1[[#This Row],[Age]]&lt;50,"41-50",TRUE,"50+")</f>
        <v>30-40</v>
      </c>
    </row>
    <row r="537" spans="1:19" x14ac:dyDescent="0.35">
      <c r="A537" t="s">
        <v>1122</v>
      </c>
      <c r="B537" t="s">
        <v>1123</v>
      </c>
      <c r="C537" t="s">
        <v>164</v>
      </c>
      <c r="D537" t="s">
        <v>65</v>
      </c>
      <c r="E537" t="s">
        <v>49</v>
      </c>
      <c r="F537" t="s">
        <v>27</v>
      </c>
      <c r="G537" t="s">
        <v>28</v>
      </c>
      <c r="H537" s="3">
        <v>31</v>
      </c>
      <c r="I537" s="8">
        <v>43002</v>
      </c>
      <c r="J537" s="4">
        <v>71755</v>
      </c>
      <c r="K537" s="1">
        <v>0</v>
      </c>
      <c r="L537" t="s">
        <v>29</v>
      </c>
      <c r="M537" t="s">
        <v>30</v>
      </c>
      <c r="O537" s="5">
        <f t="shared" si="8"/>
        <v>0</v>
      </c>
      <c r="P537" s="6">
        <f>Table1[[#This Row],[Annual Salary]]+Table1[[#This Row],[Bonus Amount]]</f>
        <v>71755</v>
      </c>
      <c r="Q537" t="str">
        <f>IF(Table1[[#This Row],[Exit Date]]="", "Active","Exited")</f>
        <v>Active</v>
      </c>
      <c r="R537" s="2">
        <f ca="1">IFERROR(DATEDIF(Table1[[#This Row],[Hire Date]],IF(Table1[[#This Row],[Exit Date]]="",TODAY(),Table1[[#This Row],[Exit Date]]),"Y"),"")</f>
        <v>8</v>
      </c>
      <c r="S537" t="str" cm="1">
        <f t="array" ref="S537">_xlfn.IFS(Table1[[#This Row],[Age]]&lt;30,"Under 30",Table1[[#This Row],[Age]]&lt;=40,"30-40",Table1[[#This Row],[Age]]&lt;50,"41-50",TRUE,"50+")</f>
        <v>30-40</v>
      </c>
    </row>
    <row r="538" spans="1:19" x14ac:dyDescent="0.35">
      <c r="A538" t="s">
        <v>1124</v>
      </c>
      <c r="B538" t="s">
        <v>1125</v>
      </c>
      <c r="C538" t="s">
        <v>52</v>
      </c>
      <c r="D538" t="s">
        <v>59</v>
      </c>
      <c r="E538" t="s">
        <v>49</v>
      </c>
      <c r="F538" t="s">
        <v>19</v>
      </c>
      <c r="G538" t="s">
        <v>28</v>
      </c>
      <c r="H538" s="3">
        <v>52</v>
      </c>
      <c r="I538" s="8">
        <v>44519</v>
      </c>
      <c r="J538" s="4">
        <v>111006</v>
      </c>
      <c r="K538" s="1">
        <v>0.08</v>
      </c>
      <c r="L538" t="s">
        <v>29</v>
      </c>
      <c r="M538" t="s">
        <v>30</v>
      </c>
      <c r="O538" s="5">
        <f t="shared" si="8"/>
        <v>8880.48</v>
      </c>
      <c r="P538" s="6">
        <f>Table1[[#This Row],[Annual Salary]]+Table1[[#This Row],[Bonus Amount]]</f>
        <v>119886.48</v>
      </c>
      <c r="Q538" t="str">
        <f>IF(Table1[[#This Row],[Exit Date]]="", "Active","Exited")</f>
        <v>Active</v>
      </c>
      <c r="R538" s="2">
        <f ca="1">IFERROR(DATEDIF(Table1[[#This Row],[Hire Date]],IF(Table1[[#This Row],[Exit Date]]="",TODAY(),Table1[[#This Row],[Exit Date]]),"Y"),"")</f>
        <v>4</v>
      </c>
      <c r="S538" t="str" cm="1">
        <f t="array" ref="S538">_xlfn.IFS(Table1[[#This Row],[Age]]&lt;30,"Under 30",Table1[[#This Row],[Age]]&lt;=40,"30-40",Table1[[#This Row],[Age]]&lt;50,"41-50",TRUE,"50+")</f>
        <v>50+</v>
      </c>
    </row>
    <row r="539" spans="1:19" x14ac:dyDescent="0.35">
      <c r="A539" t="s">
        <v>1126</v>
      </c>
      <c r="B539" t="s">
        <v>1127</v>
      </c>
      <c r="C539" t="s">
        <v>207</v>
      </c>
      <c r="D539" t="s">
        <v>17</v>
      </c>
      <c r="E539" t="s">
        <v>49</v>
      </c>
      <c r="F539" t="s">
        <v>27</v>
      </c>
      <c r="G539" t="s">
        <v>28</v>
      </c>
      <c r="H539" s="3">
        <v>55</v>
      </c>
      <c r="I539" s="8">
        <v>34692</v>
      </c>
      <c r="J539" s="4">
        <v>99774</v>
      </c>
      <c r="K539" s="1">
        <v>0</v>
      </c>
      <c r="L539" t="s">
        <v>21</v>
      </c>
      <c r="M539" t="s">
        <v>60</v>
      </c>
      <c r="O539" s="5">
        <f t="shared" si="8"/>
        <v>0</v>
      </c>
      <c r="P539" s="6">
        <f>Table1[[#This Row],[Annual Salary]]+Table1[[#This Row],[Bonus Amount]]</f>
        <v>99774</v>
      </c>
      <c r="Q539" t="str">
        <f>IF(Table1[[#This Row],[Exit Date]]="", "Active","Exited")</f>
        <v>Active</v>
      </c>
      <c r="R539" s="2">
        <f ca="1">IFERROR(DATEDIF(Table1[[#This Row],[Hire Date]],IF(Table1[[#This Row],[Exit Date]]="",TODAY(),Table1[[#This Row],[Exit Date]]),"Y"),"")</f>
        <v>31</v>
      </c>
      <c r="S539" t="str" cm="1">
        <f t="array" ref="S539">_xlfn.IFS(Table1[[#This Row],[Age]]&lt;30,"Under 30",Table1[[#This Row],[Age]]&lt;=40,"30-40",Table1[[#This Row],[Age]]&lt;50,"41-50",TRUE,"50+")</f>
        <v>50+</v>
      </c>
    </row>
    <row r="540" spans="1:19" x14ac:dyDescent="0.35">
      <c r="A540" t="s">
        <v>1128</v>
      </c>
      <c r="B540" t="s">
        <v>1129</v>
      </c>
      <c r="C540" t="s">
        <v>33</v>
      </c>
      <c r="D540" t="s">
        <v>17</v>
      </c>
      <c r="E540" t="s">
        <v>18</v>
      </c>
      <c r="F540" t="s">
        <v>27</v>
      </c>
      <c r="G540" t="s">
        <v>28</v>
      </c>
      <c r="H540" s="3">
        <v>55</v>
      </c>
      <c r="I540" s="8">
        <v>39154</v>
      </c>
      <c r="J540" s="4">
        <v>184648</v>
      </c>
      <c r="K540" s="1">
        <v>0.24</v>
      </c>
      <c r="L540" t="s">
        <v>29</v>
      </c>
      <c r="M540" t="s">
        <v>74</v>
      </c>
      <c r="O540" s="5">
        <f t="shared" si="8"/>
        <v>44315.519999999997</v>
      </c>
      <c r="P540" s="6">
        <f>Table1[[#This Row],[Annual Salary]]+Table1[[#This Row],[Bonus Amount]]</f>
        <v>228963.52</v>
      </c>
      <c r="Q540" t="str">
        <f>IF(Table1[[#This Row],[Exit Date]]="", "Active","Exited")</f>
        <v>Active</v>
      </c>
      <c r="R540" s="2">
        <f ca="1">IFERROR(DATEDIF(Table1[[#This Row],[Hire Date]],IF(Table1[[#This Row],[Exit Date]]="",TODAY(),Table1[[#This Row],[Exit Date]]),"Y"),"")</f>
        <v>19</v>
      </c>
      <c r="S540" t="str" cm="1">
        <f t="array" ref="S540">_xlfn.IFS(Table1[[#This Row],[Age]]&lt;30,"Under 30",Table1[[#This Row],[Age]]&lt;=40,"30-40",Table1[[#This Row],[Age]]&lt;50,"41-50",TRUE,"50+")</f>
        <v>50+</v>
      </c>
    </row>
    <row r="541" spans="1:19" x14ac:dyDescent="0.35">
      <c r="A541" t="s">
        <v>1130</v>
      </c>
      <c r="B541" t="s">
        <v>1131</v>
      </c>
      <c r="C541" t="s">
        <v>79</v>
      </c>
      <c r="D541" t="s">
        <v>17</v>
      </c>
      <c r="E541" t="s">
        <v>26</v>
      </c>
      <c r="F541" t="s">
        <v>27</v>
      </c>
      <c r="G541" t="s">
        <v>85</v>
      </c>
      <c r="H541" s="3">
        <v>51</v>
      </c>
      <c r="I541" s="8">
        <v>37091</v>
      </c>
      <c r="J541" s="4">
        <v>247874</v>
      </c>
      <c r="K541" s="1">
        <v>0.33</v>
      </c>
      <c r="L541" t="s">
        <v>93</v>
      </c>
      <c r="M541" t="s">
        <v>94</v>
      </c>
      <c r="O541" s="5">
        <f t="shared" si="8"/>
        <v>81798.42</v>
      </c>
      <c r="P541" s="6">
        <f>Table1[[#This Row],[Annual Salary]]+Table1[[#This Row],[Bonus Amount]]</f>
        <v>329672.42</v>
      </c>
      <c r="Q541" t="str">
        <f>IF(Table1[[#This Row],[Exit Date]]="", "Active","Exited")</f>
        <v>Active</v>
      </c>
      <c r="R541" s="2">
        <f ca="1">IFERROR(DATEDIF(Table1[[#This Row],[Hire Date]],IF(Table1[[#This Row],[Exit Date]]="",TODAY(),Table1[[#This Row],[Exit Date]]),"Y"),"")</f>
        <v>24</v>
      </c>
      <c r="S541" t="str" cm="1">
        <f t="array" ref="S541">_xlfn.IFS(Table1[[#This Row],[Age]]&lt;30,"Under 30",Table1[[#This Row],[Age]]&lt;=40,"30-40",Table1[[#This Row],[Age]]&lt;50,"41-50",TRUE,"50+")</f>
        <v>50+</v>
      </c>
    </row>
    <row r="542" spans="1:19" x14ac:dyDescent="0.35">
      <c r="A542" t="s">
        <v>1132</v>
      </c>
      <c r="B542" t="s">
        <v>1133</v>
      </c>
      <c r="C542" t="s">
        <v>277</v>
      </c>
      <c r="D542" t="s">
        <v>69</v>
      </c>
      <c r="E542" t="s">
        <v>26</v>
      </c>
      <c r="F542" t="s">
        <v>27</v>
      </c>
      <c r="G542" t="s">
        <v>28</v>
      </c>
      <c r="H542" s="3">
        <v>60</v>
      </c>
      <c r="I542" s="8">
        <v>39944</v>
      </c>
      <c r="J542" s="4">
        <v>62239</v>
      </c>
      <c r="K542" s="1">
        <v>0</v>
      </c>
      <c r="L542" t="s">
        <v>29</v>
      </c>
      <c r="M542" t="s">
        <v>114</v>
      </c>
      <c r="O542" s="5">
        <f t="shared" si="8"/>
        <v>0</v>
      </c>
      <c r="P542" s="6">
        <f>Table1[[#This Row],[Annual Salary]]+Table1[[#This Row],[Bonus Amount]]</f>
        <v>62239</v>
      </c>
      <c r="Q542" t="str">
        <f>IF(Table1[[#This Row],[Exit Date]]="", "Active","Exited")</f>
        <v>Active</v>
      </c>
      <c r="R542" s="2">
        <f ca="1">IFERROR(DATEDIF(Table1[[#This Row],[Hire Date]],IF(Table1[[#This Row],[Exit Date]]="",TODAY(),Table1[[#This Row],[Exit Date]]),"Y"),"")</f>
        <v>16</v>
      </c>
      <c r="S542" t="str" cm="1">
        <f t="array" ref="S542">_xlfn.IFS(Table1[[#This Row],[Age]]&lt;30,"Under 30",Table1[[#This Row],[Age]]&lt;=40,"30-40",Table1[[#This Row],[Age]]&lt;50,"41-50",TRUE,"50+")</f>
        <v>50+</v>
      </c>
    </row>
    <row r="543" spans="1:19" x14ac:dyDescent="0.35">
      <c r="A543" t="s">
        <v>1134</v>
      </c>
      <c r="B543" t="s">
        <v>1135</v>
      </c>
      <c r="C543" t="s">
        <v>52</v>
      </c>
      <c r="D543" t="s">
        <v>59</v>
      </c>
      <c r="E543" t="s">
        <v>35</v>
      </c>
      <c r="F543" t="s">
        <v>19</v>
      </c>
      <c r="G543" t="s">
        <v>36</v>
      </c>
      <c r="H543" s="3">
        <v>31</v>
      </c>
      <c r="I543" s="8">
        <v>41919</v>
      </c>
      <c r="J543" s="4">
        <v>114911</v>
      </c>
      <c r="K543" s="1">
        <v>7.0000000000000007E-2</v>
      </c>
      <c r="L543" t="s">
        <v>21</v>
      </c>
      <c r="M543" t="s">
        <v>37</v>
      </c>
      <c r="O543" s="5">
        <f t="shared" si="8"/>
        <v>8043.77</v>
      </c>
      <c r="P543" s="6">
        <f>Table1[[#This Row],[Annual Salary]]+Table1[[#This Row],[Bonus Amount]]</f>
        <v>122954.77</v>
      </c>
      <c r="Q543" t="str">
        <f>IF(Table1[[#This Row],[Exit Date]]="", "Active","Exited")</f>
        <v>Active</v>
      </c>
      <c r="R543" s="2">
        <f ca="1">IFERROR(DATEDIF(Table1[[#This Row],[Hire Date]],IF(Table1[[#This Row],[Exit Date]]="",TODAY(),Table1[[#This Row],[Exit Date]]),"Y"),"")</f>
        <v>11</v>
      </c>
      <c r="S543" t="str" cm="1">
        <f t="array" ref="S543">_xlfn.IFS(Table1[[#This Row],[Age]]&lt;30,"Under 30",Table1[[#This Row],[Age]]&lt;=40,"30-40",Table1[[#This Row],[Age]]&lt;50,"41-50",TRUE,"50+")</f>
        <v>30-40</v>
      </c>
    </row>
    <row r="544" spans="1:19" x14ac:dyDescent="0.35">
      <c r="A544" t="s">
        <v>1136</v>
      </c>
      <c r="B544" t="s">
        <v>1137</v>
      </c>
      <c r="C544" t="s">
        <v>113</v>
      </c>
      <c r="D544" t="s">
        <v>69</v>
      </c>
      <c r="E544" t="s">
        <v>49</v>
      </c>
      <c r="F544" t="s">
        <v>27</v>
      </c>
      <c r="G544" t="s">
        <v>85</v>
      </c>
      <c r="H544" s="3">
        <v>45</v>
      </c>
      <c r="I544" s="8">
        <v>43217</v>
      </c>
      <c r="J544" s="4">
        <v>115490</v>
      </c>
      <c r="K544" s="1">
        <v>0.12</v>
      </c>
      <c r="L544" t="s">
        <v>21</v>
      </c>
      <c r="M544" t="s">
        <v>37</v>
      </c>
      <c r="O544" s="5">
        <f t="shared" si="8"/>
        <v>13858.8</v>
      </c>
      <c r="P544" s="6">
        <f>Table1[[#This Row],[Annual Salary]]+Table1[[#This Row],[Bonus Amount]]</f>
        <v>129348.8</v>
      </c>
      <c r="Q544" t="str">
        <f>IF(Table1[[#This Row],[Exit Date]]="", "Active","Exited")</f>
        <v>Active</v>
      </c>
      <c r="R544" s="2">
        <f ca="1">IFERROR(DATEDIF(Table1[[#This Row],[Hire Date]],IF(Table1[[#This Row],[Exit Date]]="",TODAY(),Table1[[#This Row],[Exit Date]]),"Y"),"")</f>
        <v>7</v>
      </c>
      <c r="S544" t="str" cm="1">
        <f t="array" ref="S544">_xlfn.IFS(Table1[[#This Row],[Age]]&lt;30,"Under 30",Table1[[#This Row],[Age]]&lt;=40,"30-40",Table1[[#This Row],[Age]]&lt;50,"41-50",TRUE,"50+")</f>
        <v>41-50</v>
      </c>
    </row>
    <row r="545" spans="1:19" x14ac:dyDescent="0.35">
      <c r="A545" t="s">
        <v>1138</v>
      </c>
      <c r="B545" t="s">
        <v>1139</v>
      </c>
      <c r="C545" t="s">
        <v>52</v>
      </c>
      <c r="D545" t="s">
        <v>59</v>
      </c>
      <c r="E545" t="s">
        <v>35</v>
      </c>
      <c r="F545" t="s">
        <v>27</v>
      </c>
      <c r="G545" t="s">
        <v>28</v>
      </c>
      <c r="H545" s="3">
        <v>34</v>
      </c>
      <c r="I545" s="8">
        <v>40952</v>
      </c>
      <c r="J545" s="4">
        <v>118708</v>
      </c>
      <c r="K545" s="1">
        <v>7.0000000000000007E-2</v>
      </c>
      <c r="L545" t="s">
        <v>29</v>
      </c>
      <c r="M545" t="s">
        <v>74</v>
      </c>
      <c r="O545" s="5">
        <f t="shared" si="8"/>
        <v>8309.5600000000013</v>
      </c>
      <c r="P545" s="6">
        <f>Table1[[#This Row],[Annual Salary]]+Table1[[#This Row],[Bonus Amount]]</f>
        <v>127017.56</v>
      </c>
      <c r="Q545" t="str">
        <f>IF(Table1[[#This Row],[Exit Date]]="", "Active","Exited")</f>
        <v>Active</v>
      </c>
      <c r="R545" s="2">
        <f ca="1">IFERROR(DATEDIF(Table1[[#This Row],[Hire Date]],IF(Table1[[#This Row],[Exit Date]]="",TODAY(),Table1[[#This Row],[Exit Date]]),"Y"),"")</f>
        <v>14</v>
      </c>
      <c r="S545" t="str" cm="1">
        <f t="array" ref="S545">_xlfn.IFS(Table1[[#This Row],[Age]]&lt;30,"Under 30",Table1[[#This Row],[Age]]&lt;=40,"30-40",Table1[[#This Row],[Age]]&lt;50,"41-50",TRUE,"50+")</f>
        <v>30-40</v>
      </c>
    </row>
    <row r="546" spans="1:19" x14ac:dyDescent="0.35">
      <c r="A546" t="s">
        <v>1140</v>
      </c>
      <c r="B546" t="s">
        <v>1141</v>
      </c>
      <c r="C546" t="s">
        <v>33</v>
      </c>
      <c r="D546" t="s">
        <v>59</v>
      </c>
      <c r="E546" t="s">
        <v>35</v>
      </c>
      <c r="F546" t="s">
        <v>19</v>
      </c>
      <c r="G546" t="s">
        <v>28</v>
      </c>
      <c r="H546" s="3">
        <v>29</v>
      </c>
      <c r="I546" s="8">
        <v>42914</v>
      </c>
      <c r="J546" s="4">
        <v>197649</v>
      </c>
      <c r="K546" s="1">
        <v>0.2</v>
      </c>
      <c r="L546" t="s">
        <v>21</v>
      </c>
      <c r="M546" t="s">
        <v>88</v>
      </c>
      <c r="O546" s="5">
        <f t="shared" si="8"/>
        <v>39529.800000000003</v>
      </c>
      <c r="P546" s="6">
        <f>Table1[[#This Row],[Annual Salary]]+Table1[[#This Row],[Bonus Amount]]</f>
        <v>237178.8</v>
      </c>
      <c r="Q546" t="str">
        <f>IF(Table1[[#This Row],[Exit Date]]="", "Active","Exited")</f>
        <v>Active</v>
      </c>
      <c r="R546" s="2">
        <f ca="1">IFERROR(DATEDIF(Table1[[#This Row],[Hire Date]],IF(Table1[[#This Row],[Exit Date]]="",TODAY(),Table1[[#This Row],[Exit Date]]),"Y"),"")</f>
        <v>8</v>
      </c>
      <c r="S546" t="str" cm="1">
        <f t="array" ref="S546">_xlfn.IFS(Table1[[#This Row],[Age]]&lt;30,"Under 30",Table1[[#This Row],[Age]]&lt;=40,"30-40",Table1[[#This Row],[Age]]&lt;50,"41-50",TRUE,"50+")</f>
        <v>Under 30</v>
      </c>
    </row>
    <row r="547" spans="1:19" x14ac:dyDescent="0.35">
      <c r="A547" t="s">
        <v>1142</v>
      </c>
      <c r="B547" t="s">
        <v>1143</v>
      </c>
      <c r="C547" t="s">
        <v>43</v>
      </c>
      <c r="D547" t="s">
        <v>59</v>
      </c>
      <c r="E547" t="s">
        <v>35</v>
      </c>
      <c r="F547" t="s">
        <v>19</v>
      </c>
      <c r="G547" t="s">
        <v>28</v>
      </c>
      <c r="H547" s="3">
        <v>45</v>
      </c>
      <c r="I547" s="8">
        <v>43999</v>
      </c>
      <c r="J547" s="4">
        <v>89841</v>
      </c>
      <c r="K547" s="1">
        <v>0</v>
      </c>
      <c r="L547" t="s">
        <v>29</v>
      </c>
      <c r="M547" t="s">
        <v>114</v>
      </c>
      <c r="O547" s="5">
        <f t="shared" si="8"/>
        <v>0</v>
      </c>
      <c r="P547" s="6">
        <f>Table1[[#This Row],[Annual Salary]]+Table1[[#This Row],[Bonus Amount]]</f>
        <v>89841</v>
      </c>
      <c r="Q547" t="str">
        <f>IF(Table1[[#This Row],[Exit Date]]="", "Active","Exited")</f>
        <v>Active</v>
      </c>
      <c r="R547" s="2">
        <f ca="1">IFERROR(DATEDIF(Table1[[#This Row],[Hire Date]],IF(Table1[[#This Row],[Exit Date]]="",TODAY(),Table1[[#This Row],[Exit Date]]),"Y"),"")</f>
        <v>5</v>
      </c>
      <c r="S547" t="str" cm="1">
        <f t="array" ref="S547">_xlfn.IFS(Table1[[#This Row],[Age]]&lt;30,"Under 30",Table1[[#This Row],[Age]]&lt;=40,"30-40",Table1[[#This Row],[Age]]&lt;50,"41-50",TRUE,"50+")</f>
        <v>41-50</v>
      </c>
    </row>
    <row r="548" spans="1:19" x14ac:dyDescent="0.35">
      <c r="A548" t="s">
        <v>271</v>
      </c>
      <c r="B548" t="s">
        <v>1144</v>
      </c>
      <c r="C548" t="s">
        <v>124</v>
      </c>
      <c r="D548" t="s">
        <v>34</v>
      </c>
      <c r="E548" t="s">
        <v>35</v>
      </c>
      <c r="F548" t="s">
        <v>19</v>
      </c>
      <c r="G548" t="s">
        <v>36</v>
      </c>
      <c r="H548" s="3">
        <v>52</v>
      </c>
      <c r="I548" s="8">
        <v>43819</v>
      </c>
      <c r="J548" s="4">
        <v>61026</v>
      </c>
      <c r="K548" s="1">
        <v>0</v>
      </c>
      <c r="L548" t="s">
        <v>21</v>
      </c>
      <c r="M548" t="s">
        <v>44</v>
      </c>
      <c r="O548" s="5">
        <f t="shared" si="8"/>
        <v>0</v>
      </c>
      <c r="P548" s="6">
        <f>Table1[[#This Row],[Annual Salary]]+Table1[[#This Row],[Bonus Amount]]</f>
        <v>61026</v>
      </c>
      <c r="Q548" t="str">
        <f>IF(Table1[[#This Row],[Exit Date]]="", "Active","Exited")</f>
        <v>Active</v>
      </c>
      <c r="R548" s="2">
        <f ca="1">IFERROR(DATEDIF(Table1[[#This Row],[Hire Date]],IF(Table1[[#This Row],[Exit Date]]="",TODAY(),Table1[[#This Row],[Exit Date]]),"Y"),"")</f>
        <v>6</v>
      </c>
      <c r="S548" t="str" cm="1">
        <f t="array" ref="S548">_xlfn.IFS(Table1[[#This Row],[Age]]&lt;30,"Under 30",Table1[[#This Row],[Age]]&lt;=40,"30-40",Table1[[#This Row],[Age]]&lt;50,"41-50",TRUE,"50+")</f>
        <v>50+</v>
      </c>
    </row>
    <row r="549" spans="1:19" x14ac:dyDescent="0.35">
      <c r="A549" t="s">
        <v>1145</v>
      </c>
      <c r="B549" t="s">
        <v>1146</v>
      </c>
      <c r="C549" t="s">
        <v>68</v>
      </c>
      <c r="D549" t="s">
        <v>69</v>
      </c>
      <c r="E549" t="s">
        <v>35</v>
      </c>
      <c r="F549" t="s">
        <v>19</v>
      </c>
      <c r="G549" t="s">
        <v>36</v>
      </c>
      <c r="H549" s="3">
        <v>48</v>
      </c>
      <c r="I549" s="8">
        <v>41907</v>
      </c>
      <c r="J549" s="4">
        <v>96693</v>
      </c>
      <c r="K549" s="1">
        <v>0</v>
      </c>
      <c r="L549" t="s">
        <v>21</v>
      </c>
      <c r="M549" t="s">
        <v>37</v>
      </c>
      <c r="O549" s="5">
        <f t="shared" si="8"/>
        <v>0</v>
      </c>
      <c r="P549" s="6">
        <f>Table1[[#This Row],[Annual Salary]]+Table1[[#This Row],[Bonus Amount]]</f>
        <v>96693</v>
      </c>
      <c r="Q549" t="str">
        <f>IF(Table1[[#This Row],[Exit Date]]="", "Active","Exited")</f>
        <v>Active</v>
      </c>
      <c r="R549" s="2">
        <f ca="1">IFERROR(DATEDIF(Table1[[#This Row],[Hire Date]],IF(Table1[[#This Row],[Exit Date]]="",TODAY(),Table1[[#This Row],[Exit Date]]),"Y"),"")</f>
        <v>11</v>
      </c>
      <c r="S549" t="str" cm="1">
        <f t="array" ref="S549">_xlfn.IFS(Table1[[#This Row],[Age]]&lt;30,"Under 30",Table1[[#This Row],[Age]]&lt;=40,"30-40",Table1[[#This Row],[Age]]&lt;50,"41-50",TRUE,"50+")</f>
        <v>41-50</v>
      </c>
    </row>
    <row r="550" spans="1:19" x14ac:dyDescent="0.35">
      <c r="A550" t="s">
        <v>1147</v>
      </c>
      <c r="B550" t="s">
        <v>1148</v>
      </c>
      <c r="C550" t="s">
        <v>223</v>
      </c>
      <c r="D550" t="s">
        <v>69</v>
      </c>
      <c r="E550" t="s">
        <v>35</v>
      </c>
      <c r="F550" t="s">
        <v>19</v>
      </c>
      <c r="G550" t="s">
        <v>85</v>
      </c>
      <c r="H550" s="3">
        <v>48</v>
      </c>
      <c r="I550" s="8">
        <v>39991</v>
      </c>
      <c r="J550" s="4">
        <v>82907</v>
      </c>
      <c r="K550" s="1">
        <v>0</v>
      </c>
      <c r="L550" t="s">
        <v>21</v>
      </c>
      <c r="M550" t="s">
        <v>22</v>
      </c>
      <c r="O550" s="5">
        <f t="shared" si="8"/>
        <v>0</v>
      </c>
      <c r="P550" s="6">
        <f>Table1[[#This Row],[Annual Salary]]+Table1[[#This Row],[Bonus Amount]]</f>
        <v>82907</v>
      </c>
      <c r="Q550" t="str">
        <f>IF(Table1[[#This Row],[Exit Date]]="", "Active","Exited")</f>
        <v>Active</v>
      </c>
      <c r="R550" s="2">
        <f ca="1">IFERROR(DATEDIF(Table1[[#This Row],[Hire Date]],IF(Table1[[#This Row],[Exit Date]]="",TODAY(),Table1[[#This Row],[Exit Date]]),"Y"),"")</f>
        <v>16</v>
      </c>
      <c r="S550" t="str" cm="1">
        <f t="array" ref="S550">_xlfn.IFS(Table1[[#This Row],[Age]]&lt;30,"Under 30",Table1[[#This Row],[Age]]&lt;=40,"30-40",Table1[[#This Row],[Age]]&lt;50,"41-50",TRUE,"50+")</f>
        <v>41-50</v>
      </c>
    </row>
    <row r="551" spans="1:19" x14ac:dyDescent="0.35">
      <c r="A551" t="s">
        <v>1149</v>
      </c>
      <c r="B551" t="s">
        <v>1150</v>
      </c>
      <c r="C551" t="s">
        <v>79</v>
      </c>
      <c r="D551" t="s">
        <v>80</v>
      </c>
      <c r="E551" t="s">
        <v>49</v>
      </c>
      <c r="F551" t="s">
        <v>27</v>
      </c>
      <c r="G551" t="s">
        <v>28</v>
      </c>
      <c r="H551" s="3">
        <v>41</v>
      </c>
      <c r="I551" s="8">
        <v>41916</v>
      </c>
      <c r="J551" s="4">
        <v>257194</v>
      </c>
      <c r="K551" s="1">
        <v>0.35</v>
      </c>
      <c r="L551" t="s">
        <v>29</v>
      </c>
      <c r="M551" t="s">
        <v>30</v>
      </c>
      <c r="O551" s="5">
        <f t="shared" si="8"/>
        <v>90017.9</v>
      </c>
      <c r="P551" s="6">
        <f>Table1[[#This Row],[Annual Salary]]+Table1[[#This Row],[Bonus Amount]]</f>
        <v>347211.9</v>
      </c>
      <c r="Q551" t="str">
        <f>IF(Table1[[#This Row],[Exit Date]]="", "Active","Exited")</f>
        <v>Active</v>
      </c>
      <c r="R551" s="2">
        <f ca="1">IFERROR(DATEDIF(Table1[[#This Row],[Hire Date]],IF(Table1[[#This Row],[Exit Date]]="",TODAY(),Table1[[#This Row],[Exit Date]]),"Y"),"")</f>
        <v>11</v>
      </c>
      <c r="S551" t="str" cm="1">
        <f t="array" ref="S551">_xlfn.IFS(Table1[[#This Row],[Age]]&lt;30,"Under 30",Table1[[#This Row],[Age]]&lt;=40,"30-40",Table1[[#This Row],[Age]]&lt;50,"41-50",TRUE,"50+")</f>
        <v>41-50</v>
      </c>
    </row>
    <row r="552" spans="1:19" x14ac:dyDescent="0.35">
      <c r="A552" t="s">
        <v>1151</v>
      </c>
      <c r="B552" t="s">
        <v>1152</v>
      </c>
      <c r="C552" t="s">
        <v>108</v>
      </c>
      <c r="D552" t="s">
        <v>69</v>
      </c>
      <c r="E552" t="s">
        <v>18</v>
      </c>
      <c r="F552" t="s">
        <v>27</v>
      </c>
      <c r="G552" t="s">
        <v>85</v>
      </c>
      <c r="H552" s="3">
        <v>41</v>
      </c>
      <c r="I552" s="8">
        <v>40929</v>
      </c>
      <c r="J552" s="4">
        <v>94658</v>
      </c>
      <c r="K552" s="1">
        <v>0</v>
      </c>
      <c r="L552" t="s">
        <v>21</v>
      </c>
      <c r="M552" t="s">
        <v>56</v>
      </c>
      <c r="O552" s="5">
        <f t="shared" si="8"/>
        <v>0</v>
      </c>
      <c r="P552" s="6">
        <f>Table1[[#This Row],[Annual Salary]]+Table1[[#This Row],[Bonus Amount]]</f>
        <v>94658</v>
      </c>
      <c r="Q552" t="str">
        <f>IF(Table1[[#This Row],[Exit Date]]="", "Active","Exited")</f>
        <v>Active</v>
      </c>
      <c r="R552" s="2">
        <f ca="1">IFERROR(DATEDIF(Table1[[#This Row],[Hire Date]],IF(Table1[[#This Row],[Exit Date]]="",TODAY(),Table1[[#This Row],[Exit Date]]),"Y"),"")</f>
        <v>14</v>
      </c>
      <c r="S552" t="str" cm="1">
        <f t="array" ref="S552">_xlfn.IFS(Table1[[#This Row],[Age]]&lt;30,"Under 30",Table1[[#This Row],[Age]]&lt;=40,"30-40",Table1[[#This Row],[Age]]&lt;50,"41-50",TRUE,"50+")</f>
        <v>41-50</v>
      </c>
    </row>
    <row r="553" spans="1:19" x14ac:dyDescent="0.35">
      <c r="A553" t="s">
        <v>1153</v>
      </c>
      <c r="B553" t="s">
        <v>1154</v>
      </c>
      <c r="C553" t="s">
        <v>108</v>
      </c>
      <c r="D553" t="s">
        <v>69</v>
      </c>
      <c r="E553" t="s">
        <v>18</v>
      </c>
      <c r="F553" t="s">
        <v>27</v>
      </c>
      <c r="G553" t="s">
        <v>28</v>
      </c>
      <c r="H553" s="3">
        <v>55</v>
      </c>
      <c r="I553" s="8">
        <v>40663</v>
      </c>
      <c r="J553" s="4">
        <v>89419</v>
      </c>
      <c r="K553" s="1">
        <v>0</v>
      </c>
      <c r="L553" t="s">
        <v>29</v>
      </c>
      <c r="M553" t="s">
        <v>74</v>
      </c>
      <c r="O553" s="5">
        <f t="shared" si="8"/>
        <v>0</v>
      </c>
      <c r="P553" s="6">
        <f>Table1[[#This Row],[Annual Salary]]+Table1[[#This Row],[Bonus Amount]]</f>
        <v>89419</v>
      </c>
      <c r="Q553" t="str">
        <f>IF(Table1[[#This Row],[Exit Date]]="", "Active","Exited")</f>
        <v>Active</v>
      </c>
      <c r="R553" s="2">
        <f ca="1">IFERROR(DATEDIF(Table1[[#This Row],[Hire Date]],IF(Table1[[#This Row],[Exit Date]]="",TODAY(),Table1[[#This Row],[Exit Date]]),"Y"),"")</f>
        <v>14</v>
      </c>
      <c r="S553" t="str" cm="1">
        <f t="array" ref="S553">_xlfn.IFS(Table1[[#This Row],[Age]]&lt;30,"Under 30",Table1[[#This Row],[Age]]&lt;=40,"30-40",Table1[[#This Row],[Age]]&lt;50,"41-50",TRUE,"50+")</f>
        <v>50+</v>
      </c>
    </row>
    <row r="554" spans="1:19" x14ac:dyDescent="0.35">
      <c r="A554" t="s">
        <v>1155</v>
      </c>
      <c r="B554" t="s">
        <v>1156</v>
      </c>
      <c r="C554" t="s">
        <v>164</v>
      </c>
      <c r="D554" t="s">
        <v>65</v>
      </c>
      <c r="E554" t="s">
        <v>26</v>
      </c>
      <c r="F554" t="s">
        <v>27</v>
      </c>
      <c r="G554" t="s">
        <v>20</v>
      </c>
      <c r="H554" s="3">
        <v>45</v>
      </c>
      <c r="I554" s="8">
        <v>42357</v>
      </c>
      <c r="J554" s="4">
        <v>51983</v>
      </c>
      <c r="K554" s="1">
        <v>0</v>
      </c>
      <c r="L554" t="s">
        <v>21</v>
      </c>
      <c r="M554" t="s">
        <v>88</v>
      </c>
      <c r="O554" s="5">
        <f t="shared" si="8"/>
        <v>0</v>
      </c>
      <c r="P554" s="6">
        <f>Table1[[#This Row],[Annual Salary]]+Table1[[#This Row],[Bonus Amount]]</f>
        <v>51983</v>
      </c>
      <c r="Q554" t="str">
        <f>IF(Table1[[#This Row],[Exit Date]]="", "Active","Exited")</f>
        <v>Active</v>
      </c>
      <c r="R554" s="2">
        <f ca="1">IFERROR(DATEDIF(Table1[[#This Row],[Hire Date]],IF(Table1[[#This Row],[Exit Date]]="",TODAY(),Table1[[#This Row],[Exit Date]]),"Y"),"")</f>
        <v>10</v>
      </c>
      <c r="S554" t="str" cm="1">
        <f t="array" ref="S554">_xlfn.IFS(Table1[[#This Row],[Age]]&lt;30,"Under 30",Table1[[#This Row],[Age]]&lt;=40,"30-40",Table1[[#This Row],[Age]]&lt;50,"41-50",TRUE,"50+")</f>
        <v>41-50</v>
      </c>
    </row>
    <row r="555" spans="1:19" x14ac:dyDescent="0.35">
      <c r="A555" t="s">
        <v>1157</v>
      </c>
      <c r="B555" t="s">
        <v>1158</v>
      </c>
      <c r="C555" t="s">
        <v>33</v>
      </c>
      <c r="D555" t="s">
        <v>34</v>
      </c>
      <c r="E555" t="s">
        <v>49</v>
      </c>
      <c r="F555" t="s">
        <v>19</v>
      </c>
      <c r="G555" t="s">
        <v>28</v>
      </c>
      <c r="H555" s="3">
        <v>53</v>
      </c>
      <c r="I555" s="8">
        <v>37304</v>
      </c>
      <c r="J555" s="4">
        <v>179494</v>
      </c>
      <c r="K555" s="1">
        <v>0.2</v>
      </c>
      <c r="L555" t="s">
        <v>29</v>
      </c>
      <c r="M555" t="s">
        <v>30</v>
      </c>
      <c r="O555" s="5">
        <f t="shared" si="8"/>
        <v>35898.800000000003</v>
      </c>
      <c r="P555" s="6">
        <f>Table1[[#This Row],[Annual Salary]]+Table1[[#This Row],[Bonus Amount]]</f>
        <v>215392.8</v>
      </c>
      <c r="Q555" t="str">
        <f>IF(Table1[[#This Row],[Exit Date]]="", "Active","Exited")</f>
        <v>Active</v>
      </c>
      <c r="R555" s="2">
        <f ca="1">IFERROR(DATEDIF(Table1[[#This Row],[Hire Date]],IF(Table1[[#This Row],[Exit Date]]="",TODAY(),Table1[[#This Row],[Exit Date]]),"Y"),"")</f>
        <v>24</v>
      </c>
      <c r="S555" t="str" cm="1">
        <f t="array" ref="S555">_xlfn.IFS(Table1[[#This Row],[Age]]&lt;30,"Under 30",Table1[[#This Row],[Age]]&lt;=40,"30-40",Table1[[#This Row],[Age]]&lt;50,"41-50",TRUE,"50+")</f>
        <v>50+</v>
      </c>
    </row>
    <row r="556" spans="1:19" x14ac:dyDescent="0.35">
      <c r="A556" t="s">
        <v>1159</v>
      </c>
      <c r="B556" t="s">
        <v>1160</v>
      </c>
      <c r="C556" t="s">
        <v>442</v>
      </c>
      <c r="D556" t="s">
        <v>17</v>
      </c>
      <c r="E556" t="s">
        <v>49</v>
      </c>
      <c r="F556" t="s">
        <v>27</v>
      </c>
      <c r="G556" t="s">
        <v>85</v>
      </c>
      <c r="H556" s="3">
        <v>49</v>
      </c>
      <c r="I556" s="8">
        <v>42545</v>
      </c>
      <c r="J556" s="4">
        <v>68426</v>
      </c>
      <c r="K556" s="1">
        <v>0</v>
      </c>
      <c r="L556" t="s">
        <v>93</v>
      </c>
      <c r="M556" t="s">
        <v>99</v>
      </c>
      <c r="O556" s="5">
        <f t="shared" si="8"/>
        <v>0</v>
      </c>
      <c r="P556" s="6">
        <f>Table1[[#This Row],[Annual Salary]]+Table1[[#This Row],[Bonus Amount]]</f>
        <v>68426</v>
      </c>
      <c r="Q556" t="str">
        <f>IF(Table1[[#This Row],[Exit Date]]="", "Active","Exited")</f>
        <v>Active</v>
      </c>
      <c r="R556" s="2">
        <f ca="1">IFERROR(DATEDIF(Table1[[#This Row],[Hire Date]],IF(Table1[[#This Row],[Exit Date]]="",TODAY(),Table1[[#This Row],[Exit Date]]),"Y"),"")</f>
        <v>9</v>
      </c>
      <c r="S556" t="str" cm="1">
        <f t="array" ref="S556">_xlfn.IFS(Table1[[#This Row],[Age]]&lt;30,"Under 30",Table1[[#This Row],[Age]]&lt;=40,"30-40",Table1[[#This Row],[Age]]&lt;50,"41-50",TRUE,"50+")</f>
        <v>41-50</v>
      </c>
    </row>
    <row r="557" spans="1:19" x14ac:dyDescent="0.35">
      <c r="A557" t="s">
        <v>1161</v>
      </c>
      <c r="B557" t="s">
        <v>1162</v>
      </c>
      <c r="C557" t="s">
        <v>16</v>
      </c>
      <c r="D557" t="s">
        <v>34</v>
      </c>
      <c r="E557" t="s">
        <v>49</v>
      </c>
      <c r="F557" t="s">
        <v>19</v>
      </c>
      <c r="G557" t="s">
        <v>85</v>
      </c>
      <c r="H557" s="3">
        <v>55</v>
      </c>
      <c r="I557" s="8">
        <v>42772</v>
      </c>
      <c r="J557" s="4">
        <v>144986</v>
      </c>
      <c r="K557" s="1">
        <v>0.12</v>
      </c>
      <c r="L557" t="s">
        <v>21</v>
      </c>
      <c r="M557" t="s">
        <v>44</v>
      </c>
      <c r="O557" s="5">
        <f t="shared" si="8"/>
        <v>17398.32</v>
      </c>
      <c r="P557" s="6">
        <f>Table1[[#This Row],[Annual Salary]]+Table1[[#This Row],[Bonus Amount]]</f>
        <v>162384.32000000001</v>
      </c>
      <c r="Q557" t="str">
        <f>IF(Table1[[#This Row],[Exit Date]]="", "Active","Exited")</f>
        <v>Active</v>
      </c>
      <c r="R557" s="2">
        <f ca="1">IFERROR(DATEDIF(Table1[[#This Row],[Hire Date]],IF(Table1[[#This Row],[Exit Date]]="",TODAY(),Table1[[#This Row],[Exit Date]]),"Y"),"")</f>
        <v>9</v>
      </c>
      <c r="S557" t="str" cm="1">
        <f t="array" ref="S557">_xlfn.IFS(Table1[[#This Row],[Age]]&lt;30,"Under 30",Table1[[#This Row],[Age]]&lt;=40,"30-40",Table1[[#This Row],[Age]]&lt;50,"41-50",TRUE,"50+")</f>
        <v>50+</v>
      </c>
    </row>
    <row r="558" spans="1:19" x14ac:dyDescent="0.35">
      <c r="A558" t="s">
        <v>1163</v>
      </c>
      <c r="B558" t="s">
        <v>1164</v>
      </c>
      <c r="C558" t="s">
        <v>47</v>
      </c>
      <c r="D558" t="s">
        <v>48</v>
      </c>
      <c r="E558" t="s">
        <v>35</v>
      </c>
      <c r="F558" t="s">
        <v>19</v>
      </c>
      <c r="G558" t="s">
        <v>28</v>
      </c>
      <c r="H558" s="3">
        <v>45</v>
      </c>
      <c r="I558" s="8">
        <v>36754</v>
      </c>
      <c r="J558" s="4">
        <v>60113</v>
      </c>
      <c r="K558" s="1">
        <v>0</v>
      </c>
      <c r="L558" t="s">
        <v>21</v>
      </c>
      <c r="M558" t="s">
        <v>37</v>
      </c>
      <c r="O558" s="5">
        <f t="shared" si="8"/>
        <v>0</v>
      </c>
      <c r="P558" s="6">
        <f>Table1[[#This Row],[Annual Salary]]+Table1[[#This Row],[Bonus Amount]]</f>
        <v>60113</v>
      </c>
      <c r="Q558" t="str">
        <f>IF(Table1[[#This Row],[Exit Date]]="", "Active","Exited")</f>
        <v>Active</v>
      </c>
      <c r="R558" s="2">
        <f ca="1">IFERROR(DATEDIF(Table1[[#This Row],[Hire Date]],IF(Table1[[#This Row],[Exit Date]]="",TODAY(),Table1[[#This Row],[Exit Date]]),"Y"),"")</f>
        <v>25</v>
      </c>
      <c r="S558" t="str" cm="1">
        <f t="array" ref="S558">_xlfn.IFS(Table1[[#This Row],[Age]]&lt;30,"Under 30",Table1[[#This Row],[Age]]&lt;=40,"30-40",Table1[[#This Row],[Age]]&lt;50,"41-50",TRUE,"50+")</f>
        <v>41-50</v>
      </c>
    </row>
    <row r="559" spans="1:19" x14ac:dyDescent="0.35">
      <c r="A559" t="s">
        <v>256</v>
      </c>
      <c r="B559" t="s">
        <v>1165</v>
      </c>
      <c r="C559" t="s">
        <v>164</v>
      </c>
      <c r="D559" t="s">
        <v>65</v>
      </c>
      <c r="E559" t="s">
        <v>18</v>
      </c>
      <c r="F559" t="s">
        <v>19</v>
      </c>
      <c r="G559" t="s">
        <v>85</v>
      </c>
      <c r="H559" s="3">
        <v>52</v>
      </c>
      <c r="I559" s="8">
        <v>44304</v>
      </c>
      <c r="J559" s="4">
        <v>50548</v>
      </c>
      <c r="K559" s="1">
        <v>0</v>
      </c>
      <c r="L559" t="s">
        <v>93</v>
      </c>
      <c r="M559" t="s">
        <v>218</v>
      </c>
      <c r="O559" s="5">
        <f t="shared" si="8"/>
        <v>0</v>
      </c>
      <c r="P559" s="6">
        <f>Table1[[#This Row],[Annual Salary]]+Table1[[#This Row],[Bonus Amount]]</f>
        <v>50548</v>
      </c>
      <c r="Q559" t="str">
        <f>IF(Table1[[#This Row],[Exit Date]]="", "Active","Exited")</f>
        <v>Active</v>
      </c>
      <c r="R559" s="2">
        <f ca="1">IFERROR(DATEDIF(Table1[[#This Row],[Hire Date]],IF(Table1[[#This Row],[Exit Date]]="",TODAY(),Table1[[#This Row],[Exit Date]]),"Y"),"")</f>
        <v>4</v>
      </c>
      <c r="S559" t="str" cm="1">
        <f t="array" ref="S559">_xlfn.IFS(Table1[[#This Row],[Age]]&lt;30,"Under 30",Table1[[#This Row],[Age]]&lt;=40,"30-40",Table1[[#This Row],[Age]]&lt;50,"41-50",TRUE,"50+")</f>
        <v>50+</v>
      </c>
    </row>
    <row r="560" spans="1:19" x14ac:dyDescent="0.35">
      <c r="A560" t="s">
        <v>1166</v>
      </c>
      <c r="B560" t="s">
        <v>1167</v>
      </c>
      <c r="C560" t="s">
        <v>124</v>
      </c>
      <c r="D560" t="s">
        <v>80</v>
      </c>
      <c r="E560" t="s">
        <v>26</v>
      </c>
      <c r="F560" t="s">
        <v>19</v>
      </c>
      <c r="G560" t="s">
        <v>36</v>
      </c>
      <c r="H560" s="3">
        <v>33</v>
      </c>
      <c r="I560" s="8">
        <v>43904</v>
      </c>
      <c r="J560" s="4">
        <v>68846</v>
      </c>
      <c r="K560" s="1">
        <v>0</v>
      </c>
      <c r="L560" t="s">
        <v>21</v>
      </c>
      <c r="M560" t="s">
        <v>37</v>
      </c>
      <c r="O560" s="5">
        <f t="shared" si="8"/>
        <v>0</v>
      </c>
      <c r="P560" s="6">
        <f>Table1[[#This Row],[Annual Salary]]+Table1[[#This Row],[Bonus Amount]]</f>
        <v>68846</v>
      </c>
      <c r="Q560" t="str">
        <f>IF(Table1[[#This Row],[Exit Date]]="", "Active","Exited")</f>
        <v>Active</v>
      </c>
      <c r="R560" s="2">
        <f ca="1">IFERROR(DATEDIF(Table1[[#This Row],[Hire Date]],IF(Table1[[#This Row],[Exit Date]]="",TODAY(),Table1[[#This Row],[Exit Date]]),"Y"),"")</f>
        <v>6</v>
      </c>
      <c r="S560" t="str" cm="1">
        <f t="array" ref="S560">_xlfn.IFS(Table1[[#This Row],[Age]]&lt;30,"Under 30",Table1[[#This Row],[Age]]&lt;=40,"30-40",Table1[[#This Row],[Age]]&lt;50,"41-50",TRUE,"50+")</f>
        <v>30-40</v>
      </c>
    </row>
    <row r="561" spans="1:19" x14ac:dyDescent="0.35">
      <c r="A561" t="s">
        <v>542</v>
      </c>
      <c r="B561" t="s">
        <v>1168</v>
      </c>
      <c r="C561" t="s">
        <v>372</v>
      </c>
      <c r="D561" t="s">
        <v>17</v>
      </c>
      <c r="E561" t="s">
        <v>49</v>
      </c>
      <c r="F561" t="s">
        <v>19</v>
      </c>
      <c r="G561" t="s">
        <v>85</v>
      </c>
      <c r="H561" s="3">
        <v>59</v>
      </c>
      <c r="I561" s="8">
        <v>41717</v>
      </c>
      <c r="J561" s="4">
        <v>90901</v>
      </c>
      <c r="K561" s="1">
        <v>0</v>
      </c>
      <c r="L561" t="s">
        <v>21</v>
      </c>
      <c r="M561" t="s">
        <v>22</v>
      </c>
      <c r="O561" s="5">
        <f t="shared" si="8"/>
        <v>0</v>
      </c>
      <c r="P561" s="6">
        <f>Table1[[#This Row],[Annual Salary]]+Table1[[#This Row],[Bonus Amount]]</f>
        <v>90901</v>
      </c>
      <c r="Q561" t="str">
        <f>IF(Table1[[#This Row],[Exit Date]]="", "Active","Exited")</f>
        <v>Active</v>
      </c>
      <c r="R561" s="2">
        <f ca="1">IFERROR(DATEDIF(Table1[[#This Row],[Hire Date]],IF(Table1[[#This Row],[Exit Date]]="",TODAY(),Table1[[#This Row],[Exit Date]]),"Y"),"")</f>
        <v>12</v>
      </c>
      <c r="S561" t="str" cm="1">
        <f t="array" ref="S561">_xlfn.IFS(Table1[[#This Row],[Age]]&lt;30,"Under 30",Table1[[#This Row],[Age]]&lt;=40,"30-40",Table1[[#This Row],[Age]]&lt;50,"41-50",TRUE,"50+")</f>
        <v>50+</v>
      </c>
    </row>
    <row r="562" spans="1:19" x14ac:dyDescent="0.35">
      <c r="A562" t="s">
        <v>1169</v>
      </c>
      <c r="B562" t="s">
        <v>1170</v>
      </c>
      <c r="C562" t="s">
        <v>52</v>
      </c>
      <c r="D562" t="s">
        <v>59</v>
      </c>
      <c r="E562" t="s">
        <v>49</v>
      </c>
      <c r="F562" t="s">
        <v>19</v>
      </c>
      <c r="G562" t="s">
        <v>28</v>
      </c>
      <c r="H562" s="3">
        <v>50</v>
      </c>
      <c r="I562" s="8">
        <v>41155</v>
      </c>
      <c r="J562" s="4">
        <v>102033</v>
      </c>
      <c r="K562" s="1">
        <v>0.08</v>
      </c>
      <c r="L562" t="s">
        <v>21</v>
      </c>
      <c r="M562" t="s">
        <v>60</v>
      </c>
      <c r="O562" s="5">
        <f t="shared" si="8"/>
        <v>8162.64</v>
      </c>
      <c r="P562" s="6">
        <f>Table1[[#This Row],[Annual Salary]]+Table1[[#This Row],[Bonus Amount]]</f>
        <v>110195.64</v>
      </c>
      <c r="Q562" t="str">
        <f>IF(Table1[[#This Row],[Exit Date]]="", "Active","Exited")</f>
        <v>Active</v>
      </c>
      <c r="R562" s="2">
        <f ca="1">IFERROR(DATEDIF(Table1[[#This Row],[Hire Date]],IF(Table1[[#This Row],[Exit Date]]="",TODAY(),Table1[[#This Row],[Exit Date]]),"Y"),"")</f>
        <v>13</v>
      </c>
      <c r="S562" t="str" cm="1">
        <f t="array" ref="S562">_xlfn.IFS(Table1[[#This Row],[Age]]&lt;30,"Under 30",Table1[[#This Row],[Age]]&lt;=40,"30-40",Table1[[#This Row],[Age]]&lt;50,"41-50",TRUE,"50+")</f>
        <v>50+</v>
      </c>
    </row>
    <row r="563" spans="1:19" x14ac:dyDescent="0.35">
      <c r="A563" t="s">
        <v>1171</v>
      </c>
      <c r="B563" t="s">
        <v>1172</v>
      </c>
      <c r="C563" t="s">
        <v>33</v>
      </c>
      <c r="D563" t="s">
        <v>48</v>
      </c>
      <c r="E563" t="s">
        <v>26</v>
      </c>
      <c r="F563" t="s">
        <v>19</v>
      </c>
      <c r="G563" t="s">
        <v>36</v>
      </c>
      <c r="H563" s="3">
        <v>61</v>
      </c>
      <c r="I563" s="8">
        <v>44219</v>
      </c>
      <c r="J563" s="4">
        <v>151783</v>
      </c>
      <c r="K563" s="1">
        <v>0.26</v>
      </c>
      <c r="L563" t="s">
        <v>21</v>
      </c>
      <c r="M563" t="s">
        <v>22</v>
      </c>
      <c r="O563" s="5">
        <f t="shared" si="8"/>
        <v>39463.58</v>
      </c>
      <c r="P563" s="6">
        <f>Table1[[#This Row],[Annual Salary]]+Table1[[#This Row],[Bonus Amount]]</f>
        <v>191246.58000000002</v>
      </c>
      <c r="Q563" t="str">
        <f>IF(Table1[[#This Row],[Exit Date]]="", "Active","Exited")</f>
        <v>Active</v>
      </c>
      <c r="R563" s="2">
        <f ca="1">IFERROR(DATEDIF(Table1[[#This Row],[Hire Date]],IF(Table1[[#This Row],[Exit Date]]="",TODAY(),Table1[[#This Row],[Exit Date]]),"Y"),"")</f>
        <v>5</v>
      </c>
      <c r="S563" t="str" cm="1">
        <f t="array" ref="S563">_xlfn.IFS(Table1[[#This Row],[Age]]&lt;30,"Under 30",Table1[[#This Row],[Age]]&lt;=40,"30-40",Table1[[#This Row],[Age]]&lt;50,"41-50",TRUE,"50+")</f>
        <v>50+</v>
      </c>
    </row>
    <row r="564" spans="1:19" x14ac:dyDescent="0.35">
      <c r="A564" t="s">
        <v>1173</v>
      </c>
      <c r="B564" t="s">
        <v>1174</v>
      </c>
      <c r="C564" t="s">
        <v>33</v>
      </c>
      <c r="D564" t="s">
        <v>69</v>
      </c>
      <c r="E564" t="s">
        <v>49</v>
      </c>
      <c r="F564" t="s">
        <v>19</v>
      </c>
      <c r="G564" t="s">
        <v>85</v>
      </c>
      <c r="H564" s="3">
        <v>27</v>
      </c>
      <c r="I564" s="8">
        <v>43441</v>
      </c>
      <c r="J564" s="4">
        <v>170164</v>
      </c>
      <c r="K564" s="1">
        <v>0.17</v>
      </c>
      <c r="L564" t="s">
        <v>21</v>
      </c>
      <c r="M564" t="s">
        <v>60</v>
      </c>
      <c r="O564" s="5">
        <f t="shared" si="8"/>
        <v>28927.88</v>
      </c>
      <c r="P564" s="6">
        <f>Table1[[#This Row],[Annual Salary]]+Table1[[#This Row],[Bonus Amount]]</f>
        <v>199091.88</v>
      </c>
      <c r="Q564" t="str">
        <f>IF(Table1[[#This Row],[Exit Date]]="", "Active","Exited")</f>
        <v>Active</v>
      </c>
      <c r="R564" s="2">
        <f ca="1">IFERROR(DATEDIF(Table1[[#This Row],[Hire Date]],IF(Table1[[#This Row],[Exit Date]]="",TODAY(),Table1[[#This Row],[Exit Date]]),"Y"),"")</f>
        <v>7</v>
      </c>
      <c r="S564" t="str" cm="1">
        <f t="array" ref="S564">_xlfn.IFS(Table1[[#This Row],[Age]]&lt;30,"Under 30",Table1[[#This Row],[Age]]&lt;=40,"30-40",Table1[[#This Row],[Age]]&lt;50,"41-50",TRUE,"50+")</f>
        <v>Under 30</v>
      </c>
    </row>
    <row r="565" spans="1:19" x14ac:dyDescent="0.35">
      <c r="A565" t="s">
        <v>1175</v>
      </c>
      <c r="B565" t="s">
        <v>1176</v>
      </c>
      <c r="C565" t="s">
        <v>16</v>
      </c>
      <c r="D565" t="s">
        <v>80</v>
      </c>
      <c r="E565" t="s">
        <v>35</v>
      </c>
      <c r="F565" t="s">
        <v>19</v>
      </c>
      <c r="G565" t="s">
        <v>28</v>
      </c>
      <c r="H565" s="3">
        <v>35</v>
      </c>
      <c r="I565" s="8">
        <v>41690</v>
      </c>
      <c r="J565" s="4">
        <v>155905</v>
      </c>
      <c r="K565" s="1">
        <v>0.14000000000000001</v>
      </c>
      <c r="L565" t="s">
        <v>21</v>
      </c>
      <c r="M565" t="s">
        <v>44</v>
      </c>
      <c r="O565" s="5">
        <f t="shared" si="8"/>
        <v>21826.7</v>
      </c>
      <c r="P565" s="6">
        <f>Table1[[#This Row],[Annual Salary]]+Table1[[#This Row],[Bonus Amount]]</f>
        <v>177731.7</v>
      </c>
      <c r="Q565" t="str">
        <f>IF(Table1[[#This Row],[Exit Date]]="", "Active","Exited")</f>
        <v>Active</v>
      </c>
      <c r="R565" s="2">
        <f ca="1">IFERROR(DATEDIF(Table1[[#This Row],[Hire Date]],IF(Table1[[#This Row],[Exit Date]]="",TODAY(),Table1[[#This Row],[Exit Date]]),"Y"),"")</f>
        <v>12</v>
      </c>
      <c r="S565" t="str" cm="1">
        <f t="array" ref="S565">_xlfn.IFS(Table1[[#This Row],[Age]]&lt;30,"Under 30",Table1[[#This Row],[Age]]&lt;=40,"30-40",Table1[[#This Row],[Age]]&lt;50,"41-50",TRUE,"50+")</f>
        <v>30-40</v>
      </c>
    </row>
    <row r="566" spans="1:19" x14ac:dyDescent="0.35">
      <c r="A566" t="s">
        <v>922</v>
      </c>
      <c r="B566" t="s">
        <v>1177</v>
      </c>
      <c r="C566" t="s">
        <v>55</v>
      </c>
      <c r="D566" t="s">
        <v>48</v>
      </c>
      <c r="E566" t="s">
        <v>49</v>
      </c>
      <c r="F566" t="s">
        <v>27</v>
      </c>
      <c r="G566" t="s">
        <v>28</v>
      </c>
      <c r="H566" s="3">
        <v>40</v>
      </c>
      <c r="I566" s="8">
        <v>42721</v>
      </c>
      <c r="J566" s="4">
        <v>50733</v>
      </c>
      <c r="K566" s="1">
        <v>0</v>
      </c>
      <c r="L566" t="s">
        <v>21</v>
      </c>
      <c r="M566" t="s">
        <v>56</v>
      </c>
      <c r="O566" s="5">
        <f t="shared" si="8"/>
        <v>0</v>
      </c>
      <c r="P566" s="6">
        <f>Table1[[#This Row],[Annual Salary]]+Table1[[#This Row],[Bonus Amount]]</f>
        <v>50733</v>
      </c>
      <c r="Q566" t="str">
        <f>IF(Table1[[#This Row],[Exit Date]]="", "Active","Exited")</f>
        <v>Active</v>
      </c>
      <c r="R566" s="2">
        <f ca="1">IFERROR(DATEDIF(Table1[[#This Row],[Hire Date]],IF(Table1[[#This Row],[Exit Date]]="",TODAY(),Table1[[#This Row],[Exit Date]]),"Y"),"")</f>
        <v>9</v>
      </c>
      <c r="S566" t="str" cm="1">
        <f t="array" ref="S566">_xlfn.IFS(Table1[[#This Row],[Age]]&lt;30,"Under 30",Table1[[#This Row],[Age]]&lt;=40,"30-40",Table1[[#This Row],[Age]]&lt;50,"41-50",TRUE,"50+")</f>
        <v>30-40</v>
      </c>
    </row>
    <row r="567" spans="1:19" x14ac:dyDescent="0.35">
      <c r="A567" t="s">
        <v>1178</v>
      </c>
      <c r="B567" t="s">
        <v>1179</v>
      </c>
      <c r="C567" t="s">
        <v>143</v>
      </c>
      <c r="D567" t="s">
        <v>65</v>
      </c>
      <c r="E567" t="s">
        <v>49</v>
      </c>
      <c r="F567" t="s">
        <v>19</v>
      </c>
      <c r="G567" t="s">
        <v>36</v>
      </c>
      <c r="H567" s="3">
        <v>30</v>
      </c>
      <c r="I567" s="8">
        <v>42761</v>
      </c>
      <c r="J567" s="4">
        <v>88663</v>
      </c>
      <c r="K567" s="1">
        <v>0</v>
      </c>
      <c r="L567" t="s">
        <v>21</v>
      </c>
      <c r="M567" t="s">
        <v>44</v>
      </c>
      <c r="O567" s="5">
        <f t="shared" si="8"/>
        <v>0</v>
      </c>
      <c r="P567" s="6">
        <f>Table1[[#This Row],[Annual Salary]]+Table1[[#This Row],[Bonus Amount]]</f>
        <v>88663</v>
      </c>
      <c r="Q567" t="str">
        <f>IF(Table1[[#This Row],[Exit Date]]="", "Active","Exited")</f>
        <v>Active</v>
      </c>
      <c r="R567" s="2">
        <f ca="1">IFERROR(DATEDIF(Table1[[#This Row],[Hire Date]],IF(Table1[[#This Row],[Exit Date]]="",TODAY(),Table1[[#This Row],[Exit Date]]),"Y"),"")</f>
        <v>9</v>
      </c>
      <c r="S567" t="str" cm="1">
        <f t="array" ref="S567">_xlfn.IFS(Table1[[#This Row],[Age]]&lt;30,"Under 30",Table1[[#This Row],[Age]]&lt;=40,"30-40",Table1[[#This Row],[Age]]&lt;50,"41-50",TRUE,"50+")</f>
        <v>30-40</v>
      </c>
    </row>
    <row r="568" spans="1:19" x14ac:dyDescent="0.35">
      <c r="A568" t="s">
        <v>1180</v>
      </c>
      <c r="B568" t="s">
        <v>1181</v>
      </c>
      <c r="C568" t="s">
        <v>175</v>
      </c>
      <c r="D568" t="s">
        <v>69</v>
      </c>
      <c r="E568" t="s">
        <v>26</v>
      </c>
      <c r="F568" t="s">
        <v>27</v>
      </c>
      <c r="G568" t="s">
        <v>28</v>
      </c>
      <c r="H568" s="3">
        <v>60</v>
      </c>
      <c r="I568" s="8">
        <v>33890</v>
      </c>
      <c r="J568" s="4">
        <v>88213</v>
      </c>
      <c r="K568" s="1">
        <v>0</v>
      </c>
      <c r="L568" t="s">
        <v>29</v>
      </c>
      <c r="M568" t="s">
        <v>30</v>
      </c>
      <c r="O568" s="5">
        <f t="shared" si="8"/>
        <v>0</v>
      </c>
      <c r="P568" s="6">
        <f>Table1[[#This Row],[Annual Salary]]+Table1[[#This Row],[Bonus Amount]]</f>
        <v>88213</v>
      </c>
      <c r="Q568" t="str">
        <f>IF(Table1[[#This Row],[Exit Date]]="", "Active","Exited")</f>
        <v>Active</v>
      </c>
      <c r="R568" s="2">
        <f ca="1">IFERROR(DATEDIF(Table1[[#This Row],[Hire Date]],IF(Table1[[#This Row],[Exit Date]]="",TODAY(),Table1[[#This Row],[Exit Date]]),"Y"),"")</f>
        <v>33</v>
      </c>
      <c r="S568" t="str" cm="1">
        <f t="array" ref="S568">_xlfn.IFS(Table1[[#This Row],[Age]]&lt;30,"Under 30",Table1[[#This Row],[Age]]&lt;=40,"30-40",Table1[[#This Row],[Age]]&lt;50,"41-50",TRUE,"50+")</f>
        <v>50+</v>
      </c>
    </row>
    <row r="569" spans="1:19" x14ac:dyDescent="0.35">
      <c r="A569" t="s">
        <v>1182</v>
      </c>
      <c r="B569" t="s">
        <v>1183</v>
      </c>
      <c r="C569" t="s">
        <v>124</v>
      </c>
      <c r="D569" t="s">
        <v>48</v>
      </c>
      <c r="E569" t="s">
        <v>35</v>
      </c>
      <c r="F569" t="s">
        <v>27</v>
      </c>
      <c r="G569" t="s">
        <v>28</v>
      </c>
      <c r="H569" s="3">
        <v>55</v>
      </c>
      <c r="I569" s="8">
        <v>44410</v>
      </c>
      <c r="J569" s="4">
        <v>67130</v>
      </c>
      <c r="K569" s="1">
        <v>0</v>
      </c>
      <c r="L569" t="s">
        <v>21</v>
      </c>
      <c r="M569" t="s">
        <v>56</v>
      </c>
      <c r="O569" s="5">
        <f t="shared" si="8"/>
        <v>0</v>
      </c>
      <c r="P569" s="6">
        <f>Table1[[#This Row],[Annual Salary]]+Table1[[#This Row],[Bonus Amount]]</f>
        <v>67130</v>
      </c>
      <c r="Q569" t="str">
        <f>IF(Table1[[#This Row],[Exit Date]]="", "Active","Exited")</f>
        <v>Active</v>
      </c>
      <c r="R569" s="2">
        <f ca="1">IFERROR(DATEDIF(Table1[[#This Row],[Hire Date]],IF(Table1[[#This Row],[Exit Date]]="",TODAY(),Table1[[#This Row],[Exit Date]]),"Y"),"")</f>
        <v>4</v>
      </c>
      <c r="S569" t="str" cm="1">
        <f t="array" ref="S569">_xlfn.IFS(Table1[[#This Row],[Age]]&lt;30,"Under 30",Table1[[#This Row],[Age]]&lt;=40,"30-40",Table1[[#This Row],[Age]]&lt;50,"41-50",TRUE,"50+")</f>
        <v>50+</v>
      </c>
    </row>
    <row r="570" spans="1:19" x14ac:dyDescent="0.35">
      <c r="A570" t="s">
        <v>322</v>
      </c>
      <c r="B570" t="s">
        <v>1184</v>
      </c>
      <c r="C570" t="s">
        <v>43</v>
      </c>
      <c r="D570" t="s">
        <v>34</v>
      </c>
      <c r="E570" t="s">
        <v>35</v>
      </c>
      <c r="F570" t="s">
        <v>19</v>
      </c>
      <c r="G570" t="s">
        <v>28</v>
      </c>
      <c r="H570" s="3">
        <v>33</v>
      </c>
      <c r="I570" s="8">
        <v>42285</v>
      </c>
      <c r="J570" s="4">
        <v>94876</v>
      </c>
      <c r="K570" s="1">
        <v>0</v>
      </c>
      <c r="L570" t="s">
        <v>21</v>
      </c>
      <c r="M570" t="s">
        <v>56</v>
      </c>
      <c r="O570" s="5">
        <f t="shared" si="8"/>
        <v>0</v>
      </c>
      <c r="P570" s="6">
        <f>Table1[[#This Row],[Annual Salary]]+Table1[[#This Row],[Bonus Amount]]</f>
        <v>94876</v>
      </c>
      <c r="Q570" t="str">
        <f>IF(Table1[[#This Row],[Exit Date]]="", "Active","Exited")</f>
        <v>Active</v>
      </c>
      <c r="R570" s="2">
        <f ca="1">IFERROR(DATEDIF(Table1[[#This Row],[Hire Date]],IF(Table1[[#This Row],[Exit Date]]="",TODAY(),Table1[[#This Row],[Exit Date]]),"Y"),"")</f>
        <v>10</v>
      </c>
      <c r="S570" t="str" cm="1">
        <f t="array" ref="S570">_xlfn.IFS(Table1[[#This Row],[Age]]&lt;30,"Under 30",Table1[[#This Row],[Age]]&lt;=40,"30-40",Table1[[#This Row],[Age]]&lt;50,"41-50",TRUE,"50+")</f>
        <v>30-40</v>
      </c>
    </row>
    <row r="571" spans="1:19" x14ac:dyDescent="0.35">
      <c r="A571" t="s">
        <v>1185</v>
      </c>
      <c r="B571" t="s">
        <v>1186</v>
      </c>
      <c r="C571" t="s">
        <v>277</v>
      </c>
      <c r="D571" t="s">
        <v>69</v>
      </c>
      <c r="E571" t="s">
        <v>35</v>
      </c>
      <c r="F571" t="s">
        <v>27</v>
      </c>
      <c r="G571" t="s">
        <v>85</v>
      </c>
      <c r="H571" s="3">
        <v>62</v>
      </c>
      <c r="I571" s="8">
        <v>34616</v>
      </c>
      <c r="J571" s="4">
        <v>98230</v>
      </c>
      <c r="K571" s="1">
        <v>0</v>
      </c>
      <c r="L571" t="s">
        <v>21</v>
      </c>
      <c r="M571" t="s">
        <v>56</v>
      </c>
      <c r="O571" s="5">
        <f t="shared" si="8"/>
        <v>0</v>
      </c>
      <c r="P571" s="6">
        <f>Table1[[#This Row],[Annual Salary]]+Table1[[#This Row],[Bonus Amount]]</f>
        <v>98230</v>
      </c>
      <c r="Q571" t="str">
        <f>IF(Table1[[#This Row],[Exit Date]]="", "Active","Exited")</f>
        <v>Active</v>
      </c>
      <c r="R571" s="2">
        <f ca="1">IFERROR(DATEDIF(Table1[[#This Row],[Hire Date]],IF(Table1[[#This Row],[Exit Date]]="",TODAY(),Table1[[#This Row],[Exit Date]]),"Y"),"")</f>
        <v>31</v>
      </c>
      <c r="S571" t="str" cm="1">
        <f t="array" ref="S571">_xlfn.IFS(Table1[[#This Row],[Age]]&lt;30,"Under 30",Table1[[#This Row],[Age]]&lt;=40,"30-40",Table1[[#This Row],[Age]]&lt;50,"41-50",TRUE,"50+")</f>
        <v>50+</v>
      </c>
    </row>
    <row r="572" spans="1:19" x14ac:dyDescent="0.35">
      <c r="A572" t="s">
        <v>1187</v>
      </c>
      <c r="B572" t="s">
        <v>1188</v>
      </c>
      <c r="C572" t="s">
        <v>223</v>
      </c>
      <c r="D572" t="s">
        <v>69</v>
      </c>
      <c r="E572" t="s">
        <v>18</v>
      </c>
      <c r="F572" t="s">
        <v>19</v>
      </c>
      <c r="G572" t="s">
        <v>28</v>
      </c>
      <c r="H572" s="3">
        <v>36</v>
      </c>
      <c r="I572" s="8">
        <v>43448</v>
      </c>
      <c r="J572" s="4">
        <v>96757</v>
      </c>
      <c r="K572" s="1">
        <v>0</v>
      </c>
      <c r="L572" t="s">
        <v>21</v>
      </c>
      <c r="M572" t="s">
        <v>88</v>
      </c>
      <c r="O572" s="5">
        <f t="shared" si="8"/>
        <v>0</v>
      </c>
      <c r="P572" s="6">
        <f>Table1[[#This Row],[Annual Salary]]+Table1[[#This Row],[Bonus Amount]]</f>
        <v>96757</v>
      </c>
      <c r="Q572" t="str">
        <f>IF(Table1[[#This Row],[Exit Date]]="", "Active","Exited")</f>
        <v>Active</v>
      </c>
      <c r="R572" s="2">
        <f ca="1">IFERROR(DATEDIF(Table1[[#This Row],[Hire Date]],IF(Table1[[#This Row],[Exit Date]]="",TODAY(),Table1[[#This Row],[Exit Date]]),"Y"),"")</f>
        <v>7</v>
      </c>
      <c r="S572" t="str" cm="1">
        <f t="array" ref="S572">_xlfn.IFS(Table1[[#This Row],[Age]]&lt;30,"Under 30",Table1[[#This Row],[Age]]&lt;=40,"30-40",Table1[[#This Row],[Age]]&lt;50,"41-50",TRUE,"50+")</f>
        <v>30-40</v>
      </c>
    </row>
    <row r="573" spans="1:19" x14ac:dyDescent="0.35">
      <c r="A573" t="s">
        <v>1189</v>
      </c>
      <c r="B573" t="s">
        <v>1190</v>
      </c>
      <c r="C573" t="s">
        <v>124</v>
      </c>
      <c r="D573" t="s">
        <v>80</v>
      </c>
      <c r="E573" t="s">
        <v>26</v>
      </c>
      <c r="F573" t="s">
        <v>27</v>
      </c>
      <c r="G573" t="s">
        <v>20</v>
      </c>
      <c r="H573" s="3">
        <v>35</v>
      </c>
      <c r="I573" s="8">
        <v>44015</v>
      </c>
      <c r="J573" s="4">
        <v>51513</v>
      </c>
      <c r="K573" s="1">
        <v>0</v>
      </c>
      <c r="L573" t="s">
        <v>21</v>
      </c>
      <c r="M573" t="s">
        <v>88</v>
      </c>
      <c r="O573" s="5">
        <f t="shared" si="8"/>
        <v>0</v>
      </c>
      <c r="P573" s="6">
        <f>Table1[[#This Row],[Annual Salary]]+Table1[[#This Row],[Bonus Amount]]</f>
        <v>51513</v>
      </c>
      <c r="Q573" t="str">
        <f>IF(Table1[[#This Row],[Exit Date]]="", "Active","Exited")</f>
        <v>Active</v>
      </c>
      <c r="R573" s="2">
        <f ca="1">IFERROR(DATEDIF(Table1[[#This Row],[Hire Date]],IF(Table1[[#This Row],[Exit Date]]="",TODAY(),Table1[[#This Row],[Exit Date]]),"Y"),"")</f>
        <v>5</v>
      </c>
      <c r="S573" t="str" cm="1">
        <f t="array" ref="S573">_xlfn.IFS(Table1[[#This Row],[Age]]&lt;30,"Under 30",Table1[[#This Row],[Age]]&lt;=40,"30-40",Table1[[#This Row],[Age]]&lt;50,"41-50",TRUE,"50+")</f>
        <v>30-40</v>
      </c>
    </row>
    <row r="574" spans="1:19" x14ac:dyDescent="0.35">
      <c r="A574" t="s">
        <v>1191</v>
      </c>
      <c r="B574" t="s">
        <v>1192</v>
      </c>
      <c r="C574" t="s">
        <v>79</v>
      </c>
      <c r="D574" t="s">
        <v>80</v>
      </c>
      <c r="E574" t="s">
        <v>49</v>
      </c>
      <c r="F574" t="s">
        <v>27</v>
      </c>
      <c r="G574" t="s">
        <v>28</v>
      </c>
      <c r="H574" s="3">
        <v>60</v>
      </c>
      <c r="I574" s="8">
        <v>39109</v>
      </c>
      <c r="J574" s="4">
        <v>234311</v>
      </c>
      <c r="K574" s="1">
        <v>0.37</v>
      </c>
      <c r="L574" t="s">
        <v>21</v>
      </c>
      <c r="M574" t="s">
        <v>56</v>
      </c>
      <c r="O574" s="5">
        <f t="shared" si="8"/>
        <v>86695.069999999992</v>
      </c>
      <c r="P574" s="6">
        <f>Table1[[#This Row],[Annual Salary]]+Table1[[#This Row],[Bonus Amount]]</f>
        <v>321006.07</v>
      </c>
      <c r="Q574" t="str">
        <f>IF(Table1[[#This Row],[Exit Date]]="", "Active","Exited")</f>
        <v>Active</v>
      </c>
      <c r="R574" s="2">
        <f ca="1">IFERROR(DATEDIF(Table1[[#This Row],[Hire Date]],IF(Table1[[#This Row],[Exit Date]]="",TODAY(),Table1[[#This Row],[Exit Date]]),"Y"),"")</f>
        <v>19</v>
      </c>
      <c r="S574" t="str" cm="1">
        <f t="array" ref="S574">_xlfn.IFS(Table1[[#This Row],[Age]]&lt;30,"Under 30",Table1[[#This Row],[Age]]&lt;=40,"30-40",Table1[[#This Row],[Age]]&lt;50,"41-50",TRUE,"50+")</f>
        <v>50+</v>
      </c>
    </row>
    <row r="575" spans="1:19" x14ac:dyDescent="0.35">
      <c r="A575" t="s">
        <v>1193</v>
      </c>
      <c r="B575" t="s">
        <v>1194</v>
      </c>
      <c r="C575" t="s">
        <v>16</v>
      </c>
      <c r="D575" t="s">
        <v>65</v>
      </c>
      <c r="E575" t="s">
        <v>35</v>
      </c>
      <c r="F575" t="s">
        <v>19</v>
      </c>
      <c r="G575" t="s">
        <v>85</v>
      </c>
      <c r="H575" s="3">
        <v>45</v>
      </c>
      <c r="I575" s="8">
        <v>40685</v>
      </c>
      <c r="J575" s="4">
        <v>152353</v>
      </c>
      <c r="K575" s="1">
        <v>0.14000000000000001</v>
      </c>
      <c r="L575" t="s">
        <v>21</v>
      </c>
      <c r="M575" t="s">
        <v>22</v>
      </c>
      <c r="O575" s="5">
        <f t="shared" si="8"/>
        <v>21329.420000000002</v>
      </c>
      <c r="P575" s="6">
        <f>Table1[[#This Row],[Annual Salary]]+Table1[[#This Row],[Bonus Amount]]</f>
        <v>173682.42</v>
      </c>
      <c r="Q575" t="str">
        <f>IF(Table1[[#This Row],[Exit Date]]="", "Active","Exited")</f>
        <v>Active</v>
      </c>
      <c r="R575" s="2">
        <f ca="1">IFERROR(DATEDIF(Table1[[#This Row],[Hire Date]],IF(Table1[[#This Row],[Exit Date]]="",TODAY(),Table1[[#This Row],[Exit Date]]),"Y"),"")</f>
        <v>14</v>
      </c>
      <c r="S575" t="str" cm="1">
        <f t="array" ref="S575">_xlfn.IFS(Table1[[#This Row],[Age]]&lt;30,"Under 30",Table1[[#This Row],[Age]]&lt;=40,"30-40",Table1[[#This Row],[Age]]&lt;50,"41-50",TRUE,"50+")</f>
        <v>41-50</v>
      </c>
    </row>
    <row r="576" spans="1:19" x14ac:dyDescent="0.35">
      <c r="A576" t="s">
        <v>1195</v>
      </c>
      <c r="B576" t="s">
        <v>1196</v>
      </c>
      <c r="C576" t="s">
        <v>16</v>
      </c>
      <c r="D576" t="s">
        <v>59</v>
      </c>
      <c r="E576" t="s">
        <v>35</v>
      </c>
      <c r="F576" t="s">
        <v>19</v>
      </c>
      <c r="G576" t="s">
        <v>36</v>
      </c>
      <c r="H576" s="3">
        <v>48</v>
      </c>
      <c r="I576" s="8">
        <v>40389</v>
      </c>
      <c r="J576" s="4">
        <v>124774</v>
      </c>
      <c r="K576" s="1">
        <v>0.12</v>
      </c>
      <c r="L576" t="s">
        <v>21</v>
      </c>
      <c r="M576" t="s">
        <v>44</v>
      </c>
      <c r="O576" s="5">
        <f t="shared" si="8"/>
        <v>14972.88</v>
      </c>
      <c r="P576" s="6">
        <f>Table1[[#This Row],[Annual Salary]]+Table1[[#This Row],[Bonus Amount]]</f>
        <v>139746.88</v>
      </c>
      <c r="Q576" t="str">
        <f>IF(Table1[[#This Row],[Exit Date]]="", "Active","Exited")</f>
        <v>Active</v>
      </c>
      <c r="R576" s="2">
        <f ca="1">IFERROR(DATEDIF(Table1[[#This Row],[Hire Date]],IF(Table1[[#This Row],[Exit Date]]="",TODAY(),Table1[[#This Row],[Exit Date]]),"Y"),"")</f>
        <v>15</v>
      </c>
      <c r="S576" t="str" cm="1">
        <f t="array" ref="S576">_xlfn.IFS(Table1[[#This Row],[Age]]&lt;30,"Under 30",Table1[[#This Row],[Age]]&lt;=40,"30-40",Table1[[#This Row],[Age]]&lt;50,"41-50",TRUE,"50+")</f>
        <v>41-50</v>
      </c>
    </row>
    <row r="577" spans="1:19" x14ac:dyDescent="0.35">
      <c r="A577" t="s">
        <v>912</v>
      </c>
      <c r="B577" t="s">
        <v>1197</v>
      </c>
      <c r="C577" t="s">
        <v>33</v>
      </c>
      <c r="D577" t="s">
        <v>80</v>
      </c>
      <c r="E577" t="s">
        <v>49</v>
      </c>
      <c r="F577" t="s">
        <v>19</v>
      </c>
      <c r="G577" t="s">
        <v>28</v>
      </c>
      <c r="H577" s="3">
        <v>36</v>
      </c>
      <c r="I577" s="8">
        <v>40434</v>
      </c>
      <c r="J577" s="4">
        <v>157070</v>
      </c>
      <c r="K577" s="1">
        <v>0.28000000000000003</v>
      </c>
      <c r="L577" t="s">
        <v>29</v>
      </c>
      <c r="M577" t="s">
        <v>30</v>
      </c>
      <c r="O577" s="5">
        <f t="shared" si="8"/>
        <v>43979.600000000006</v>
      </c>
      <c r="P577" s="6">
        <f>Table1[[#This Row],[Annual Salary]]+Table1[[#This Row],[Bonus Amount]]</f>
        <v>201049.60000000001</v>
      </c>
      <c r="Q577" t="str">
        <f>IF(Table1[[#This Row],[Exit Date]]="", "Active","Exited")</f>
        <v>Active</v>
      </c>
      <c r="R577" s="2">
        <f ca="1">IFERROR(DATEDIF(Table1[[#This Row],[Hire Date]],IF(Table1[[#This Row],[Exit Date]]="",TODAY(),Table1[[#This Row],[Exit Date]]),"Y"),"")</f>
        <v>15</v>
      </c>
      <c r="S577" t="str" cm="1">
        <f t="array" ref="S577">_xlfn.IFS(Table1[[#This Row],[Age]]&lt;30,"Under 30",Table1[[#This Row],[Age]]&lt;=40,"30-40",Table1[[#This Row],[Age]]&lt;50,"41-50",TRUE,"50+")</f>
        <v>30-40</v>
      </c>
    </row>
    <row r="578" spans="1:19" x14ac:dyDescent="0.35">
      <c r="A578" t="s">
        <v>1198</v>
      </c>
      <c r="B578" t="s">
        <v>1199</v>
      </c>
      <c r="C578" t="s">
        <v>16</v>
      </c>
      <c r="D578" t="s">
        <v>34</v>
      </c>
      <c r="E578" t="s">
        <v>35</v>
      </c>
      <c r="F578" t="s">
        <v>27</v>
      </c>
      <c r="G578" t="s">
        <v>85</v>
      </c>
      <c r="H578" s="3">
        <v>44</v>
      </c>
      <c r="I578" s="8">
        <v>43685</v>
      </c>
      <c r="J578" s="4">
        <v>130133</v>
      </c>
      <c r="K578" s="1">
        <v>0.15</v>
      </c>
      <c r="L578" t="s">
        <v>21</v>
      </c>
      <c r="M578" t="s">
        <v>60</v>
      </c>
      <c r="N578" s="7">
        <v>44699</v>
      </c>
      <c r="O578" s="5">
        <f t="shared" si="8"/>
        <v>19519.95</v>
      </c>
      <c r="P578" s="6">
        <f>Table1[[#This Row],[Annual Salary]]+Table1[[#This Row],[Bonus Amount]]</f>
        <v>149652.95000000001</v>
      </c>
      <c r="Q578" t="str">
        <f>IF(Table1[[#This Row],[Exit Date]]="", "Active","Exited")</f>
        <v>Exited</v>
      </c>
      <c r="R578" s="2">
        <f ca="1">IFERROR(DATEDIF(Table1[[#This Row],[Hire Date]],IF(Table1[[#This Row],[Exit Date]]="",TODAY(),Table1[[#This Row],[Exit Date]]),"Y"),"")</f>
        <v>2</v>
      </c>
      <c r="S578" t="str" cm="1">
        <f t="array" ref="S578">_xlfn.IFS(Table1[[#This Row],[Age]]&lt;30,"Under 30",Table1[[#This Row],[Age]]&lt;=40,"30-40",Table1[[#This Row],[Age]]&lt;50,"41-50",TRUE,"50+")</f>
        <v>41-50</v>
      </c>
    </row>
    <row r="579" spans="1:19" x14ac:dyDescent="0.35">
      <c r="A579" t="s">
        <v>1200</v>
      </c>
      <c r="B579" t="s">
        <v>1201</v>
      </c>
      <c r="C579" t="s">
        <v>52</v>
      </c>
      <c r="D579" t="s">
        <v>80</v>
      </c>
      <c r="E579" t="s">
        <v>26</v>
      </c>
      <c r="F579" t="s">
        <v>19</v>
      </c>
      <c r="G579" t="s">
        <v>28</v>
      </c>
      <c r="H579" s="3">
        <v>64</v>
      </c>
      <c r="I579" s="8">
        <v>43729</v>
      </c>
      <c r="J579" s="4">
        <v>108780</v>
      </c>
      <c r="K579" s="1">
        <v>0.06</v>
      </c>
      <c r="L579" t="s">
        <v>29</v>
      </c>
      <c r="M579" t="s">
        <v>74</v>
      </c>
      <c r="O579" s="5">
        <f t="shared" ref="O579:O642" si="9">J579*K579</f>
        <v>6526.8</v>
      </c>
      <c r="P579" s="6">
        <f>Table1[[#This Row],[Annual Salary]]+Table1[[#This Row],[Bonus Amount]]</f>
        <v>115306.8</v>
      </c>
      <c r="Q579" t="str">
        <f>IF(Table1[[#This Row],[Exit Date]]="", "Active","Exited")</f>
        <v>Active</v>
      </c>
      <c r="R579" s="2">
        <f ca="1">IFERROR(DATEDIF(Table1[[#This Row],[Hire Date]],IF(Table1[[#This Row],[Exit Date]]="",TODAY(),Table1[[#This Row],[Exit Date]]),"Y"),"")</f>
        <v>6</v>
      </c>
      <c r="S579" t="str" cm="1">
        <f t="array" ref="S579">_xlfn.IFS(Table1[[#This Row],[Age]]&lt;30,"Under 30",Table1[[#This Row],[Age]]&lt;=40,"30-40",Table1[[#This Row],[Age]]&lt;50,"41-50",TRUE,"50+")</f>
        <v>50+</v>
      </c>
    </row>
    <row r="580" spans="1:19" x14ac:dyDescent="0.35">
      <c r="A580" t="s">
        <v>1202</v>
      </c>
      <c r="B580" t="s">
        <v>1203</v>
      </c>
      <c r="C580" t="s">
        <v>33</v>
      </c>
      <c r="D580" t="s">
        <v>69</v>
      </c>
      <c r="E580" t="s">
        <v>35</v>
      </c>
      <c r="F580" t="s">
        <v>19</v>
      </c>
      <c r="G580" t="s">
        <v>28</v>
      </c>
      <c r="H580" s="3">
        <v>46</v>
      </c>
      <c r="I580" s="8">
        <v>44125</v>
      </c>
      <c r="J580" s="4">
        <v>151853</v>
      </c>
      <c r="K580" s="1">
        <v>0.16</v>
      </c>
      <c r="L580" t="s">
        <v>29</v>
      </c>
      <c r="M580" t="s">
        <v>134</v>
      </c>
      <c r="O580" s="5">
        <f t="shared" si="9"/>
        <v>24296.48</v>
      </c>
      <c r="P580" s="6">
        <f>Table1[[#This Row],[Annual Salary]]+Table1[[#This Row],[Bonus Amount]]</f>
        <v>176149.48</v>
      </c>
      <c r="Q580" t="str">
        <f>IF(Table1[[#This Row],[Exit Date]]="", "Active","Exited")</f>
        <v>Active</v>
      </c>
      <c r="R580" s="2">
        <f ca="1">IFERROR(DATEDIF(Table1[[#This Row],[Hire Date]],IF(Table1[[#This Row],[Exit Date]]="",TODAY(),Table1[[#This Row],[Exit Date]]),"Y"),"")</f>
        <v>5</v>
      </c>
      <c r="S580" t="str" cm="1">
        <f t="array" ref="S580">_xlfn.IFS(Table1[[#This Row],[Age]]&lt;30,"Under 30",Table1[[#This Row],[Age]]&lt;=40,"30-40",Table1[[#This Row],[Age]]&lt;50,"41-50",TRUE,"50+")</f>
        <v>41-50</v>
      </c>
    </row>
    <row r="581" spans="1:19" x14ac:dyDescent="0.35">
      <c r="A581" t="s">
        <v>1204</v>
      </c>
      <c r="B581" t="s">
        <v>1205</v>
      </c>
      <c r="C581" t="s">
        <v>47</v>
      </c>
      <c r="D581" t="s">
        <v>48</v>
      </c>
      <c r="E581" t="s">
        <v>26</v>
      </c>
      <c r="F581" t="s">
        <v>19</v>
      </c>
      <c r="G581" t="s">
        <v>28</v>
      </c>
      <c r="H581" s="3">
        <v>62</v>
      </c>
      <c r="I581" s="8">
        <v>38977</v>
      </c>
      <c r="J581" s="4">
        <v>64669</v>
      </c>
      <c r="K581" s="1">
        <v>0</v>
      </c>
      <c r="L581" t="s">
        <v>29</v>
      </c>
      <c r="M581" t="s">
        <v>30</v>
      </c>
      <c r="O581" s="5">
        <f t="shared" si="9"/>
        <v>0</v>
      </c>
      <c r="P581" s="6">
        <f>Table1[[#This Row],[Annual Salary]]+Table1[[#This Row],[Bonus Amount]]</f>
        <v>64669</v>
      </c>
      <c r="Q581" t="str">
        <f>IF(Table1[[#This Row],[Exit Date]]="", "Active","Exited")</f>
        <v>Active</v>
      </c>
      <c r="R581" s="2">
        <f ca="1">IFERROR(DATEDIF(Table1[[#This Row],[Hire Date]],IF(Table1[[#This Row],[Exit Date]]="",TODAY(),Table1[[#This Row],[Exit Date]]),"Y"),"")</f>
        <v>19</v>
      </c>
      <c r="S581" t="str" cm="1">
        <f t="array" ref="S581">_xlfn.IFS(Table1[[#This Row],[Age]]&lt;30,"Under 30",Table1[[#This Row],[Age]]&lt;=40,"30-40",Table1[[#This Row],[Age]]&lt;50,"41-50",TRUE,"50+")</f>
        <v>50+</v>
      </c>
    </row>
    <row r="582" spans="1:19" x14ac:dyDescent="0.35">
      <c r="A582" t="s">
        <v>1206</v>
      </c>
      <c r="B582" t="s">
        <v>1207</v>
      </c>
      <c r="C582" t="s">
        <v>124</v>
      </c>
      <c r="D582" t="s">
        <v>80</v>
      </c>
      <c r="E582" t="s">
        <v>18</v>
      </c>
      <c r="F582" t="s">
        <v>27</v>
      </c>
      <c r="G582" t="s">
        <v>85</v>
      </c>
      <c r="H582" s="3">
        <v>61</v>
      </c>
      <c r="I582" s="8">
        <v>39568</v>
      </c>
      <c r="J582" s="4">
        <v>69352</v>
      </c>
      <c r="K582" s="1">
        <v>0</v>
      </c>
      <c r="L582" t="s">
        <v>93</v>
      </c>
      <c r="M582" t="s">
        <v>99</v>
      </c>
      <c r="O582" s="5">
        <f t="shared" si="9"/>
        <v>0</v>
      </c>
      <c r="P582" s="6">
        <f>Table1[[#This Row],[Annual Salary]]+Table1[[#This Row],[Bonus Amount]]</f>
        <v>69352</v>
      </c>
      <c r="Q582" t="str">
        <f>IF(Table1[[#This Row],[Exit Date]]="", "Active","Exited")</f>
        <v>Active</v>
      </c>
      <c r="R582" s="2">
        <f ca="1">IFERROR(DATEDIF(Table1[[#This Row],[Hire Date]],IF(Table1[[#This Row],[Exit Date]]="",TODAY(),Table1[[#This Row],[Exit Date]]),"Y"),"")</f>
        <v>17</v>
      </c>
      <c r="S582" t="str" cm="1">
        <f t="array" ref="S582">_xlfn.IFS(Table1[[#This Row],[Age]]&lt;30,"Under 30",Table1[[#This Row],[Age]]&lt;=40,"30-40",Table1[[#This Row],[Age]]&lt;50,"41-50",TRUE,"50+")</f>
        <v>50+</v>
      </c>
    </row>
    <row r="583" spans="1:19" x14ac:dyDescent="0.35">
      <c r="A583" t="s">
        <v>1208</v>
      </c>
      <c r="B583" t="s">
        <v>1209</v>
      </c>
      <c r="C583" t="s">
        <v>124</v>
      </c>
      <c r="D583" t="s">
        <v>80</v>
      </c>
      <c r="E583" t="s">
        <v>18</v>
      </c>
      <c r="F583" t="s">
        <v>27</v>
      </c>
      <c r="G583" t="s">
        <v>28</v>
      </c>
      <c r="H583" s="3">
        <v>65</v>
      </c>
      <c r="I583" s="8">
        <v>37181</v>
      </c>
      <c r="J583" s="4">
        <v>74631</v>
      </c>
      <c r="K583" s="1">
        <v>0</v>
      </c>
      <c r="L583" t="s">
        <v>29</v>
      </c>
      <c r="M583" t="s">
        <v>30</v>
      </c>
      <c r="O583" s="5">
        <f t="shared" si="9"/>
        <v>0</v>
      </c>
      <c r="P583" s="6">
        <f>Table1[[#This Row],[Annual Salary]]+Table1[[#This Row],[Bonus Amount]]</f>
        <v>74631</v>
      </c>
      <c r="Q583" t="str">
        <f>IF(Table1[[#This Row],[Exit Date]]="", "Active","Exited")</f>
        <v>Active</v>
      </c>
      <c r="R583" s="2">
        <f ca="1">IFERROR(DATEDIF(Table1[[#This Row],[Hire Date]],IF(Table1[[#This Row],[Exit Date]]="",TODAY(),Table1[[#This Row],[Exit Date]]),"Y"),"")</f>
        <v>24</v>
      </c>
      <c r="S583" t="str" cm="1">
        <f t="array" ref="S583">_xlfn.IFS(Table1[[#This Row],[Age]]&lt;30,"Under 30",Table1[[#This Row],[Age]]&lt;=40,"30-40",Table1[[#This Row],[Age]]&lt;50,"41-50",TRUE,"50+")</f>
        <v>50+</v>
      </c>
    </row>
    <row r="584" spans="1:19" x14ac:dyDescent="0.35">
      <c r="A584" t="s">
        <v>1210</v>
      </c>
      <c r="B584" t="s">
        <v>1211</v>
      </c>
      <c r="C584" t="s">
        <v>108</v>
      </c>
      <c r="D584" t="s">
        <v>69</v>
      </c>
      <c r="E584" t="s">
        <v>35</v>
      </c>
      <c r="F584" t="s">
        <v>27</v>
      </c>
      <c r="G584" t="s">
        <v>85</v>
      </c>
      <c r="H584" s="3">
        <v>54</v>
      </c>
      <c r="I584" s="8">
        <v>41028</v>
      </c>
      <c r="J584" s="4">
        <v>96441</v>
      </c>
      <c r="K584" s="1">
        <v>0</v>
      </c>
      <c r="L584" t="s">
        <v>93</v>
      </c>
      <c r="M584" t="s">
        <v>218</v>
      </c>
      <c r="O584" s="5">
        <f t="shared" si="9"/>
        <v>0</v>
      </c>
      <c r="P584" s="6">
        <f>Table1[[#This Row],[Annual Salary]]+Table1[[#This Row],[Bonus Amount]]</f>
        <v>96441</v>
      </c>
      <c r="Q584" t="str">
        <f>IF(Table1[[#This Row],[Exit Date]]="", "Active","Exited")</f>
        <v>Active</v>
      </c>
      <c r="R584" s="2">
        <f ca="1">IFERROR(DATEDIF(Table1[[#This Row],[Hire Date]],IF(Table1[[#This Row],[Exit Date]]="",TODAY(),Table1[[#This Row],[Exit Date]]),"Y"),"")</f>
        <v>13</v>
      </c>
      <c r="S584" t="str" cm="1">
        <f t="array" ref="S584">_xlfn.IFS(Table1[[#This Row],[Age]]&lt;30,"Under 30",Table1[[#This Row],[Age]]&lt;=40,"30-40",Table1[[#This Row],[Age]]&lt;50,"41-50",TRUE,"50+")</f>
        <v>50+</v>
      </c>
    </row>
    <row r="585" spans="1:19" x14ac:dyDescent="0.35">
      <c r="A585" t="s">
        <v>1212</v>
      </c>
      <c r="B585" t="s">
        <v>1213</v>
      </c>
      <c r="C585" t="s">
        <v>113</v>
      </c>
      <c r="D585" t="s">
        <v>69</v>
      </c>
      <c r="E585" t="s">
        <v>35</v>
      </c>
      <c r="F585" t="s">
        <v>27</v>
      </c>
      <c r="G585" t="s">
        <v>28</v>
      </c>
      <c r="H585" s="3">
        <v>46</v>
      </c>
      <c r="I585" s="8">
        <v>40836</v>
      </c>
      <c r="J585" s="4">
        <v>114250</v>
      </c>
      <c r="K585" s="1">
        <v>0.14000000000000001</v>
      </c>
      <c r="L585" t="s">
        <v>29</v>
      </c>
      <c r="M585" t="s">
        <v>134</v>
      </c>
      <c r="O585" s="5">
        <f t="shared" si="9"/>
        <v>15995.000000000002</v>
      </c>
      <c r="P585" s="6">
        <f>Table1[[#This Row],[Annual Salary]]+Table1[[#This Row],[Bonus Amount]]</f>
        <v>130245</v>
      </c>
      <c r="Q585" t="str">
        <f>IF(Table1[[#This Row],[Exit Date]]="", "Active","Exited")</f>
        <v>Active</v>
      </c>
      <c r="R585" s="2">
        <f ca="1">IFERROR(DATEDIF(Table1[[#This Row],[Hire Date]],IF(Table1[[#This Row],[Exit Date]]="",TODAY(),Table1[[#This Row],[Exit Date]]),"Y"),"")</f>
        <v>14</v>
      </c>
      <c r="S585" t="str" cm="1">
        <f t="array" ref="S585">_xlfn.IFS(Table1[[#This Row],[Age]]&lt;30,"Under 30",Table1[[#This Row],[Age]]&lt;=40,"30-40",Table1[[#This Row],[Age]]&lt;50,"41-50",TRUE,"50+")</f>
        <v>41-50</v>
      </c>
    </row>
    <row r="586" spans="1:19" x14ac:dyDescent="0.35">
      <c r="A586" t="s">
        <v>1214</v>
      </c>
      <c r="B586" t="s">
        <v>1215</v>
      </c>
      <c r="C586" t="s">
        <v>40</v>
      </c>
      <c r="D586" t="s">
        <v>17</v>
      </c>
      <c r="E586" t="s">
        <v>49</v>
      </c>
      <c r="F586" t="s">
        <v>27</v>
      </c>
      <c r="G586" t="s">
        <v>85</v>
      </c>
      <c r="H586" s="3">
        <v>36</v>
      </c>
      <c r="I586" s="8">
        <v>44192</v>
      </c>
      <c r="J586" s="4">
        <v>70165</v>
      </c>
      <c r="K586" s="1">
        <v>7.0000000000000007E-2</v>
      </c>
      <c r="L586" t="s">
        <v>93</v>
      </c>
      <c r="M586" t="s">
        <v>94</v>
      </c>
      <c r="O586" s="5">
        <f t="shared" si="9"/>
        <v>4911.55</v>
      </c>
      <c r="P586" s="6">
        <f>Table1[[#This Row],[Annual Salary]]+Table1[[#This Row],[Bonus Amount]]</f>
        <v>75076.55</v>
      </c>
      <c r="Q586" t="str">
        <f>IF(Table1[[#This Row],[Exit Date]]="", "Active","Exited")</f>
        <v>Active</v>
      </c>
      <c r="R586" s="2">
        <f ca="1">IFERROR(DATEDIF(Table1[[#This Row],[Hire Date]],IF(Table1[[#This Row],[Exit Date]]="",TODAY(),Table1[[#This Row],[Exit Date]]),"Y"),"")</f>
        <v>5</v>
      </c>
      <c r="S586" t="str" cm="1">
        <f t="array" ref="S586">_xlfn.IFS(Table1[[#This Row],[Age]]&lt;30,"Under 30",Table1[[#This Row],[Age]]&lt;=40,"30-40",Table1[[#This Row],[Age]]&lt;50,"41-50",TRUE,"50+")</f>
        <v>30-40</v>
      </c>
    </row>
    <row r="587" spans="1:19" x14ac:dyDescent="0.35">
      <c r="A587" t="s">
        <v>1216</v>
      </c>
      <c r="B587" t="s">
        <v>1217</v>
      </c>
      <c r="C587" t="s">
        <v>52</v>
      </c>
      <c r="D587" t="s">
        <v>17</v>
      </c>
      <c r="E587" t="s">
        <v>49</v>
      </c>
      <c r="F587" t="s">
        <v>27</v>
      </c>
      <c r="G587" t="s">
        <v>28</v>
      </c>
      <c r="H587" s="3">
        <v>60</v>
      </c>
      <c r="I587" s="8">
        <v>36554</v>
      </c>
      <c r="J587" s="4">
        <v>109059</v>
      </c>
      <c r="K587" s="1">
        <v>7.0000000000000007E-2</v>
      </c>
      <c r="L587" t="s">
        <v>29</v>
      </c>
      <c r="M587" t="s">
        <v>134</v>
      </c>
      <c r="O587" s="5">
        <f t="shared" si="9"/>
        <v>7634.130000000001</v>
      </c>
      <c r="P587" s="6">
        <f>Table1[[#This Row],[Annual Salary]]+Table1[[#This Row],[Bonus Amount]]</f>
        <v>116693.13</v>
      </c>
      <c r="Q587" t="str">
        <f>IF(Table1[[#This Row],[Exit Date]]="", "Active","Exited")</f>
        <v>Active</v>
      </c>
      <c r="R587" s="2">
        <f ca="1">IFERROR(DATEDIF(Table1[[#This Row],[Hire Date]],IF(Table1[[#This Row],[Exit Date]]="",TODAY(),Table1[[#This Row],[Exit Date]]),"Y"),"")</f>
        <v>26</v>
      </c>
      <c r="S587" t="str" cm="1">
        <f t="array" ref="S587">_xlfn.IFS(Table1[[#This Row],[Age]]&lt;30,"Under 30",Table1[[#This Row],[Age]]&lt;=40,"30-40",Table1[[#This Row],[Age]]&lt;50,"41-50",TRUE,"50+")</f>
        <v>50+</v>
      </c>
    </row>
    <row r="588" spans="1:19" x14ac:dyDescent="0.35">
      <c r="A588" t="s">
        <v>1218</v>
      </c>
      <c r="B588" t="s">
        <v>1219</v>
      </c>
      <c r="C588" t="s">
        <v>181</v>
      </c>
      <c r="D588" t="s">
        <v>69</v>
      </c>
      <c r="E588" t="s">
        <v>18</v>
      </c>
      <c r="F588" t="s">
        <v>19</v>
      </c>
      <c r="G588" t="s">
        <v>28</v>
      </c>
      <c r="H588" s="3">
        <v>30</v>
      </c>
      <c r="I588" s="8">
        <v>42322</v>
      </c>
      <c r="J588" s="4">
        <v>77442</v>
      </c>
      <c r="K588" s="1">
        <v>0</v>
      </c>
      <c r="L588" t="s">
        <v>21</v>
      </c>
      <c r="M588" t="s">
        <v>88</v>
      </c>
      <c r="O588" s="5">
        <f t="shared" si="9"/>
        <v>0</v>
      </c>
      <c r="P588" s="6">
        <f>Table1[[#This Row],[Annual Salary]]+Table1[[#This Row],[Bonus Amount]]</f>
        <v>77442</v>
      </c>
      <c r="Q588" t="str">
        <f>IF(Table1[[#This Row],[Exit Date]]="", "Active","Exited")</f>
        <v>Active</v>
      </c>
      <c r="R588" s="2">
        <f ca="1">IFERROR(DATEDIF(Table1[[#This Row],[Hire Date]],IF(Table1[[#This Row],[Exit Date]]="",TODAY(),Table1[[#This Row],[Exit Date]]),"Y"),"")</f>
        <v>10</v>
      </c>
      <c r="S588" t="str" cm="1">
        <f t="array" ref="S588">_xlfn.IFS(Table1[[#This Row],[Age]]&lt;30,"Under 30",Table1[[#This Row],[Age]]&lt;=40,"30-40",Table1[[#This Row],[Age]]&lt;50,"41-50",TRUE,"50+")</f>
        <v>30-40</v>
      </c>
    </row>
    <row r="589" spans="1:19" x14ac:dyDescent="0.35">
      <c r="A589" t="s">
        <v>1220</v>
      </c>
      <c r="B589" t="s">
        <v>1221</v>
      </c>
      <c r="C589" t="s">
        <v>124</v>
      </c>
      <c r="D589" t="s">
        <v>48</v>
      </c>
      <c r="E589" t="s">
        <v>49</v>
      </c>
      <c r="F589" t="s">
        <v>19</v>
      </c>
      <c r="G589" t="s">
        <v>85</v>
      </c>
      <c r="H589" s="3">
        <v>34</v>
      </c>
      <c r="I589" s="8">
        <v>41066</v>
      </c>
      <c r="J589" s="4">
        <v>72126</v>
      </c>
      <c r="K589" s="1">
        <v>0</v>
      </c>
      <c r="L589" t="s">
        <v>93</v>
      </c>
      <c r="M589" t="s">
        <v>94</v>
      </c>
      <c r="O589" s="5">
        <f t="shared" si="9"/>
        <v>0</v>
      </c>
      <c r="P589" s="6">
        <f>Table1[[#This Row],[Annual Salary]]+Table1[[#This Row],[Bonus Amount]]</f>
        <v>72126</v>
      </c>
      <c r="Q589" t="str">
        <f>IF(Table1[[#This Row],[Exit Date]]="", "Active","Exited")</f>
        <v>Active</v>
      </c>
      <c r="R589" s="2">
        <f ca="1">IFERROR(DATEDIF(Table1[[#This Row],[Hire Date]],IF(Table1[[#This Row],[Exit Date]]="",TODAY(),Table1[[#This Row],[Exit Date]]),"Y"),"")</f>
        <v>13</v>
      </c>
      <c r="S589" t="str" cm="1">
        <f t="array" ref="S589">_xlfn.IFS(Table1[[#This Row],[Age]]&lt;30,"Under 30",Table1[[#This Row],[Age]]&lt;=40,"30-40",Table1[[#This Row],[Age]]&lt;50,"41-50",TRUE,"50+")</f>
        <v>30-40</v>
      </c>
    </row>
    <row r="590" spans="1:19" x14ac:dyDescent="0.35">
      <c r="A590" t="s">
        <v>1222</v>
      </c>
      <c r="B590" t="s">
        <v>1223</v>
      </c>
      <c r="C590" t="s">
        <v>462</v>
      </c>
      <c r="D590" t="s">
        <v>17</v>
      </c>
      <c r="E590" t="s">
        <v>26</v>
      </c>
      <c r="F590" t="s">
        <v>27</v>
      </c>
      <c r="G590" t="s">
        <v>36</v>
      </c>
      <c r="H590" s="3">
        <v>55</v>
      </c>
      <c r="I590" s="8">
        <v>41565</v>
      </c>
      <c r="J590" s="4">
        <v>70334</v>
      </c>
      <c r="K590" s="1">
        <v>0</v>
      </c>
      <c r="L590" t="s">
        <v>21</v>
      </c>
      <c r="M590" t="s">
        <v>56</v>
      </c>
      <c r="O590" s="5">
        <f t="shared" si="9"/>
        <v>0</v>
      </c>
      <c r="P590" s="6">
        <f>Table1[[#This Row],[Annual Salary]]+Table1[[#This Row],[Bonus Amount]]</f>
        <v>70334</v>
      </c>
      <c r="Q590" t="str">
        <f>IF(Table1[[#This Row],[Exit Date]]="", "Active","Exited")</f>
        <v>Active</v>
      </c>
      <c r="R590" s="2">
        <f ca="1">IFERROR(DATEDIF(Table1[[#This Row],[Hire Date]],IF(Table1[[#This Row],[Exit Date]]="",TODAY(),Table1[[#This Row],[Exit Date]]),"Y"),"")</f>
        <v>12</v>
      </c>
      <c r="S590" t="str" cm="1">
        <f t="array" ref="S590">_xlfn.IFS(Table1[[#This Row],[Age]]&lt;30,"Under 30",Table1[[#This Row],[Age]]&lt;=40,"30-40",Table1[[#This Row],[Age]]&lt;50,"41-50",TRUE,"50+")</f>
        <v>50+</v>
      </c>
    </row>
    <row r="591" spans="1:19" x14ac:dyDescent="0.35">
      <c r="A591" t="s">
        <v>1224</v>
      </c>
      <c r="B591" t="s">
        <v>1225</v>
      </c>
      <c r="C591" t="s">
        <v>108</v>
      </c>
      <c r="D591" t="s">
        <v>69</v>
      </c>
      <c r="E591" t="s">
        <v>18</v>
      </c>
      <c r="F591" t="s">
        <v>27</v>
      </c>
      <c r="G591" t="s">
        <v>28</v>
      </c>
      <c r="H591" s="3">
        <v>59</v>
      </c>
      <c r="I591" s="8">
        <v>40170</v>
      </c>
      <c r="J591" s="4">
        <v>78006</v>
      </c>
      <c r="K591" s="1">
        <v>0</v>
      </c>
      <c r="L591" t="s">
        <v>21</v>
      </c>
      <c r="M591" t="s">
        <v>56</v>
      </c>
      <c r="O591" s="5">
        <f t="shared" si="9"/>
        <v>0</v>
      </c>
      <c r="P591" s="6">
        <f>Table1[[#This Row],[Annual Salary]]+Table1[[#This Row],[Bonus Amount]]</f>
        <v>78006</v>
      </c>
      <c r="Q591" t="str">
        <f>IF(Table1[[#This Row],[Exit Date]]="", "Active","Exited")</f>
        <v>Active</v>
      </c>
      <c r="R591" s="2">
        <f ca="1">IFERROR(DATEDIF(Table1[[#This Row],[Hire Date]],IF(Table1[[#This Row],[Exit Date]]="",TODAY(),Table1[[#This Row],[Exit Date]]),"Y"),"")</f>
        <v>16</v>
      </c>
      <c r="S591" t="str" cm="1">
        <f t="array" ref="S591">_xlfn.IFS(Table1[[#This Row],[Age]]&lt;30,"Under 30",Table1[[#This Row],[Age]]&lt;=40,"30-40",Table1[[#This Row],[Age]]&lt;50,"41-50",TRUE,"50+")</f>
        <v>50+</v>
      </c>
    </row>
    <row r="592" spans="1:19" x14ac:dyDescent="0.35">
      <c r="A592" t="s">
        <v>1226</v>
      </c>
      <c r="B592" t="s">
        <v>1227</v>
      </c>
      <c r="C592" t="s">
        <v>33</v>
      </c>
      <c r="D592" t="s">
        <v>17</v>
      </c>
      <c r="E592" t="s">
        <v>26</v>
      </c>
      <c r="F592" t="s">
        <v>19</v>
      </c>
      <c r="G592" t="s">
        <v>85</v>
      </c>
      <c r="H592" s="3">
        <v>28</v>
      </c>
      <c r="I592" s="8">
        <v>44221</v>
      </c>
      <c r="J592" s="4">
        <v>160385</v>
      </c>
      <c r="K592" s="1">
        <v>0.23</v>
      </c>
      <c r="L592" t="s">
        <v>21</v>
      </c>
      <c r="M592" t="s">
        <v>56</v>
      </c>
      <c r="N592" s="7">
        <v>44334</v>
      </c>
      <c r="O592" s="5">
        <f t="shared" si="9"/>
        <v>36888.550000000003</v>
      </c>
      <c r="P592" s="6">
        <f>Table1[[#This Row],[Annual Salary]]+Table1[[#This Row],[Bonus Amount]]</f>
        <v>197273.55</v>
      </c>
      <c r="Q592" t="str">
        <f>IF(Table1[[#This Row],[Exit Date]]="", "Active","Exited")</f>
        <v>Exited</v>
      </c>
      <c r="R592" s="2">
        <f ca="1">IFERROR(DATEDIF(Table1[[#This Row],[Hire Date]],IF(Table1[[#This Row],[Exit Date]]="",TODAY(),Table1[[#This Row],[Exit Date]]),"Y"),"")</f>
        <v>0</v>
      </c>
      <c r="S592" t="str" cm="1">
        <f t="array" ref="S592">_xlfn.IFS(Table1[[#This Row],[Age]]&lt;30,"Under 30",Table1[[#This Row],[Age]]&lt;=40,"30-40",Table1[[#This Row],[Age]]&lt;50,"41-50",TRUE,"50+")</f>
        <v>Under 30</v>
      </c>
    </row>
    <row r="593" spans="1:19" x14ac:dyDescent="0.35">
      <c r="A593" t="s">
        <v>1228</v>
      </c>
      <c r="B593" t="s">
        <v>1229</v>
      </c>
      <c r="C593" t="s">
        <v>79</v>
      </c>
      <c r="D593" t="s">
        <v>34</v>
      </c>
      <c r="E593" t="s">
        <v>49</v>
      </c>
      <c r="F593" t="s">
        <v>19</v>
      </c>
      <c r="G593" t="s">
        <v>36</v>
      </c>
      <c r="H593" s="3">
        <v>36</v>
      </c>
      <c r="I593" s="8">
        <v>41650</v>
      </c>
      <c r="J593" s="4">
        <v>202323</v>
      </c>
      <c r="K593" s="1">
        <v>0.39</v>
      </c>
      <c r="L593" t="s">
        <v>21</v>
      </c>
      <c r="M593" t="s">
        <v>37</v>
      </c>
      <c r="O593" s="5">
        <f t="shared" si="9"/>
        <v>78905.97</v>
      </c>
      <c r="P593" s="6">
        <f>Table1[[#This Row],[Annual Salary]]+Table1[[#This Row],[Bonus Amount]]</f>
        <v>281228.96999999997</v>
      </c>
      <c r="Q593" t="str">
        <f>IF(Table1[[#This Row],[Exit Date]]="", "Active","Exited")</f>
        <v>Active</v>
      </c>
      <c r="R593" s="2">
        <f ca="1">IFERROR(DATEDIF(Table1[[#This Row],[Hire Date]],IF(Table1[[#This Row],[Exit Date]]="",TODAY(),Table1[[#This Row],[Exit Date]]),"Y"),"")</f>
        <v>12</v>
      </c>
      <c r="S593" t="str" cm="1">
        <f t="array" ref="S593">_xlfn.IFS(Table1[[#This Row],[Age]]&lt;30,"Under 30",Table1[[#This Row],[Age]]&lt;=40,"30-40",Table1[[#This Row],[Age]]&lt;50,"41-50",TRUE,"50+")</f>
        <v>30-40</v>
      </c>
    </row>
    <row r="594" spans="1:19" x14ac:dyDescent="0.35">
      <c r="A594" t="s">
        <v>1230</v>
      </c>
      <c r="B594" t="s">
        <v>1231</v>
      </c>
      <c r="C594" t="s">
        <v>16</v>
      </c>
      <c r="D594" t="s">
        <v>65</v>
      </c>
      <c r="E594" t="s">
        <v>49</v>
      </c>
      <c r="F594" t="s">
        <v>19</v>
      </c>
      <c r="G594" t="s">
        <v>85</v>
      </c>
      <c r="H594" s="3">
        <v>29</v>
      </c>
      <c r="I594" s="8">
        <v>44025</v>
      </c>
      <c r="J594" s="4">
        <v>141555</v>
      </c>
      <c r="K594" s="1">
        <v>0.11</v>
      </c>
      <c r="L594" t="s">
        <v>93</v>
      </c>
      <c r="M594" t="s">
        <v>94</v>
      </c>
      <c r="O594" s="5">
        <f t="shared" si="9"/>
        <v>15571.05</v>
      </c>
      <c r="P594" s="6">
        <f>Table1[[#This Row],[Annual Salary]]+Table1[[#This Row],[Bonus Amount]]</f>
        <v>157126.04999999999</v>
      </c>
      <c r="Q594" t="str">
        <f>IF(Table1[[#This Row],[Exit Date]]="", "Active","Exited")</f>
        <v>Active</v>
      </c>
      <c r="R594" s="2">
        <f ca="1">IFERROR(DATEDIF(Table1[[#This Row],[Hire Date]],IF(Table1[[#This Row],[Exit Date]]="",TODAY(),Table1[[#This Row],[Exit Date]]),"Y"),"")</f>
        <v>5</v>
      </c>
      <c r="S594" t="str" cm="1">
        <f t="array" ref="S594">_xlfn.IFS(Table1[[#This Row],[Age]]&lt;30,"Under 30",Table1[[#This Row],[Age]]&lt;=40,"30-40",Table1[[#This Row],[Age]]&lt;50,"41-50",TRUE,"50+")</f>
        <v>Under 30</v>
      </c>
    </row>
    <row r="595" spans="1:19" x14ac:dyDescent="0.35">
      <c r="A595" t="s">
        <v>1232</v>
      </c>
      <c r="B595" t="s">
        <v>1233</v>
      </c>
      <c r="C595" t="s">
        <v>33</v>
      </c>
      <c r="D595" t="s">
        <v>34</v>
      </c>
      <c r="E595" t="s">
        <v>35</v>
      </c>
      <c r="F595" t="s">
        <v>19</v>
      </c>
      <c r="G595" t="s">
        <v>28</v>
      </c>
      <c r="H595" s="3">
        <v>34</v>
      </c>
      <c r="I595" s="8">
        <v>44032</v>
      </c>
      <c r="J595" s="4">
        <v>184960</v>
      </c>
      <c r="K595" s="1">
        <v>0.18</v>
      </c>
      <c r="L595" t="s">
        <v>21</v>
      </c>
      <c r="M595" t="s">
        <v>22</v>
      </c>
      <c r="O595" s="5">
        <f t="shared" si="9"/>
        <v>33292.799999999996</v>
      </c>
      <c r="P595" s="6">
        <f>Table1[[#This Row],[Annual Salary]]+Table1[[#This Row],[Bonus Amount]]</f>
        <v>218252.79999999999</v>
      </c>
      <c r="Q595" t="str">
        <f>IF(Table1[[#This Row],[Exit Date]]="", "Active","Exited")</f>
        <v>Active</v>
      </c>
      <c r="R595" s="2">
        <f ca="1">IFERROR(DATEDIF(Table1[[#This Row],[Hire Date]],IF(Table1[[#This Row],[Exit Date]]="",TODAY(),Table1[[#This Row],[Exit Date]]),"Y"),"")</f>
        <v>5</v>
      </c>
      <c r="S595" t="str" cm="1">
        <f t="array" ref="S595">_xlfn.IFS(Table1[[#This Row],[Age]]&lt;30,"Under 30",Table1[[#This Row],[Age]]&lt;=40,"30-40",Table1[[#This Row],[Age]]&lt;50,"41-50",TRUE,"50+")</f>
        <v>30-40</v>
      </c>
    </row>
    <row r="596" spans="1:19" x14ac:dyDescent="0.35">
      <c r="A596" t="s">
        <v>1234</v>
      </c>
      <c r="B596" t="s">
        <v>1235</v>
      </c>
      <c r="C596" t="s">
        <v>79</v>
      </c>
      <c r="D596" t="s">
        <v>17</v>
      </c>
      <c r="E596" t="s">
        <v>26</v>
      </c>
      <c r="F596" t="s">
        <v>27</v>
      </c>
      <c r="G596" t="s">
        <v>28</v>
      </c>
      <c r="H596" s="3">
        <v>37</v>
      </c>
      <c r="I596" s="8">
        <v>40719</v>
      </c>
      <c r="J596" s="4">
        <v>221592</v>
      </c>
      <c r="K596" s="1">
        <v>0.31</v>
      </c>
      <c r="L596" t="s">
        <v>21</v>
      </c>
      <c r="M596" t="s">
        <v>88</v>
      </c>
      <c r="O596" s="5">
        <f t="shared" si="9"/>
        <v>68693.52</v>
      </c>
      <c r="P596" s="6">
        <f>Table1[[#This Row],[Annual Salary]]+Table1[[#This Row],[Bonus Amount]]</f>
        <v>290285.52</v>
      </c>
      <c r="Q596" t="str">
        <f>IF(Table1[[#This Row],[Exit Date]]="", "Active","Exited")</f>
        <v>Active</v>
      </c>
      <c r="R596" s="2">
        <f ca="1">IFERROR(DATEDIF(Table1[[#This Row],[Hire Date]],IF(Table1[[#This Row],[Exit Date]]="",TODAY(),Table1[[#This Row],[Exit Date]]),"Y"),"")</f>
        <v>14</v>
      </c>
      <c r="S596" t="str" cm="1">
        <f t="array" ref="S596">_xlfn.IFS(Table1[[#This Row],[Age]]&lt;30,"Under 30",Table1[[#This Row],[Age]]&lt;=40,"30-40",Table1[[#This Row],[Age]]&lt;50,"41-50",TRUE,"50+")</f>
        <v>30-40</v>
      </c>
    </row>
    <row r="597" spans="1:19" x14ac:dyDescent="0.35">
      <c r="A597" t="s">
        <v>1236</v>
      </c>
      <c r="B597" t="s">
        <v>1237</v>
      </c>
      <c r="C597" t="s">
        <v>164</v>
      </c>
      <c r="D597" t="s">
        <v>65</v>
      </c>
      <c r="E597" t="s">
        <v>26</v>
      </c>
      <c r="F597" t="s">
        <v>19</v>
      </c>
      <c r="G597" t="s">
        <v>28</v>
      </c>
      <c r="H597" s="3">
        <v>44</v>
      </c>
      <c r="I597" s="8">
        <v>39841</v>
      </c>
      <c r="J597" s="4">
        <v>53301</v>
      </c>
      <c r="K597" s="1">
        <v>0</v>
      </c>
      <c r="L597" t="s">
        <v>21</v>
      </c>
      <c r="M597" t="s">
        <v>22</v>
      </c>
      <c r="O597" s="5">
        <f t="shared" si="9"/>
        <v>0</v>
      </c>
      <c r="P597" s="6">
        <f>Table1[[#This Row],[Annual Salary]]+Table1[[#This Row],[Bonus Amount]]</f>
        <v>53301</v>
      </c>
      <c r="Q597" t="str">
        <f>IF(Table1[[#This Row],[Exit Date]]="", "Active","Exited")</f>
        <v>Active</v>
      </c>
      <c r="R597" s="2">
        <f ca="1">IFERROR(DATEDIF(Table1[[#This Row],[Hire Date]],IF(Table1[[#This Row],[Exit Date]]="",TODAY(),Table1[[#This Row],[Exit Date]]),"Y"),"")</f>
        <v>17</v>
      </c>
      <c r="S597" t="str" cm="1">
        <f t="array" ref="S597">_xlfn.IFS(Table1[[#This Row],[Age]]&lt;30,"Under 30",Table1[[#This Row],[Age]]&lt;=40,"30-40",Table1[[#This Row],[Age]]&lt;50,"41-50",TRUE,"50+")</f>
        <v>41-50</v>
      </c>
    </row>
    <row r="598" spans="1:19" x14ac:dyDescent="0.35">
      <c r="A598" t="s">
        <v>1238</v>
      </c>
      <c r="B598" t="s">
        <v>1239</v>
      </c>
      <c r="C598" t="s">
        <v>207</v>
      </c>
      <c r="D598" t="s">
        <v>17</v>
      </c>
      <c r="E598" t="s">
        <v>49</v>
      </c>
      <c r="F598" t="s">
        <v>27</v>
      </c>
      <c r="G598" t="s">
        <v>28</v>
      </c>
      <c r="H598" s="3">
        <v>45</v>
      </c>
      <c r="I598" s="8">
        <v>36587</v>
      </c>
      <c r="J598" s="4">
        <v>91276</v>
      </c>
      <c r="K598" s="1">
        <v>0</v>
      </c>
      <c r="L598" t="s">
        <v>21</v>
      </c>
      <c r="M598" t="s">
        <v>22</v>
      </c>
      <c r="O598" s="5">
        <f t="shared" si="9"/>
        <v>0</v>
      </c>
      <c r="P598" s="6">
        <f>Table1[[#This Row],[Annual Salary]]+Table1[[#This Row],[Bonus Amount]]</f>
        <v>91276</v>
      </c>
      <c r="Q598" t="str">
        <f>IF(Table1[[#This Row],[Exit Date]]="", "Active","Exited")</f>
        <v>Active</v>
      </c>
      <c r="R598" s="2">
        <f ca="1">IFERROR(DATEDIF(Table1[[#This Row],[Hire Date]],IF(Table1[[#This Row],[Exit Date]]="",TODAY(),Table1[[#This Row],[Exit Date]]),"Y"),"")</f>
        <v>26</v>
      </c>
      <c r="S598" t="str" cm="1">
        <f t="array" ref="S598">_xlfn.IFS(Table1[[#This Row],[Age]]&lt;30,"Under 30",Table1[[#This Row],[Age]]&lt;=40,"30-40",Table1[[#This Row],[Age]]&lt;50,"41-50",TRUE,"50+")</f>
        <v>41-50</v>
      </c>
    </row>
    <row r="599" spans="1:19" x14ac:dyDescent="0.35">
      <c r="A599" t="s">
        <v>1240</v>
      </c>
      <c r="B599" t="s">
        <v>1241</v>
      </c>
      <c r="C599" t="s">
        <v>16</v>
      </c>
      <c r="D599" t="s">
        <v>65</v>
      </c>
      <c r="E599" t="s">
        <v>18</v>
      </c>
      <c r="F599" t="s">
        <v>19</v>
      </c>
      <c r="G599" t="s">
        <v>28</v>
      </c>
      <c r="H599" s="3">
        <v>52</v>
      </c>
      <c r="I599" s="8">
        <v>42983</v>
      </c>
      <c r="J599" s="4">
        <v>140042</v>
      </c>
      <c r="K599" s="1">
        <v>0.13</v>
      </c>
      <c r="L599" t="s">
        <v>21</v>
      </c>
      <c r="M599" t="s">
        <v>60</v>
      </c>
      <c r="O599" s="5">
        <f t="shared" si="9"/>
        <v>18205.46</v>
      </c>
      <c r="P599" s="6">
        <f>Table1[[#This Row],[Annual Salary]]+Table1[[#This Row],[Bonus Amount]]</f>
        <v>158247.46</v>
      </c>
      <c r="Q599" t="str">
        <f>IF(Table1[[#This Row],[Exit Date]]="", "Active","Exited")</f>
        <v>Active</v>
      </c>
      <c r="R599" s="2">
        <f ca="1">IFERROR(DATEDIF(Table1[[#This Row],[Hire Date]],IF(Table1[[#This Row],[Exit Date]]="",TODAY(),Table1[[#This Row],[Exit Date]]),"Y"),"")</f>
        <v>8</v>
      </c>
      <c r="S599" t="str" cm="1">
        <f t="array" ref="S599">_xlfn.IFS(Table1[[#This Row],[Age]]&lt;30,"Under 30",Table1[[#This Row],[Age]]&lt;=40,"30-40",Table1[[#This Row],[Age]]&lt;50,"41-50",TRUE,"50+")</f>
        <v>50+</v>
      </c>
    </row>
    <row r="600" spans="1:19" x14ac:dyDescent="0.35">
      <c r="A600" t="s">
        <v>310</v>
      </c>
      <c r="B600" t="s">
        <v>1242</v>
      </c>
      <c r="C600" t="s">
        <v>55</v>
      </c>
      <c r="D600" t="s">
        <v>59</v>
      </c>
      <c r="E600" t="s">
        <v>26</v>
      </c>
      <c r="F600" t="s">
        <v>19</v>
      </c>
      <c r="G600" t="s">
        <v>28</v>
      </c>
      <c r="H600" s="3">
        <v>40</v>
      </c>
      <c r="I600" s="8">
        <v>43440</v>
      </c>
      <c r="J600" s="4">
        <v>57225</v>
      </c>
      <c r="K600" s="1">
        <v>0</v>
      </c>
      <c r="L600" t="s">
        <v>21</v>
      </c>
      <c r="M600" t="s">
        <v>88</v>
      </c>
      <c r="O600" s="5">
        <f t="shared" si="9"/>
        <v>0</v>
      </c>
      <c r="P600" s="6">
        <f>Table1[[#This Row],[Annual Salary]]+Table1[[#This Row],[Bonus Amount]]</f>
        <v>57225</v>
      </c>
      <c r="Q600" t="str">
        <f>IF(Table1[[#This Row],[Exit Date]]="", "Active","Exited")</f>
        <v>Active</v>
      </c>
      <c r="R600" s="2">
        <f ca="1">IFERROR(DATEDIF(Table1[[#This Row],[Hire Date]],IF(Table1[[#This Row],[Exit Date]]="",TODAY(),Table1[[#This Row],[Exit Date]]),"Y"),"")</f>
        <v>7</v>
      </c>
      <c r="S600" t="str" cm="1">
        <f t="array" ref="S600">_xlfn.IFS(Table1[[#This Row],[Age]]&lt;30,"Under 30",Table1[[#This Row],[Age]]&lt;=40,"30-40",Table1[[#This Row],[Age]]&lt;50,"41-50",TRUE,"50+")</f>
        <v>30-40</v>
      </c>
    </row>
    <row r="601" spans="1:19" x14ac:dyDescent="0.35">
      <c r="A601" t="s">
        <v>1243</v>
      </c>
      <c r="B601" t="s">
        <v>1244</v>
      </c>
      <c r="C601" t="s">
        <v>52</v>
      </c>
      <c r="D601" t="s">
        <v>65</v>
      </c>
      <c r="E601" t="s">
        <v>35</v>
      </c>
      <c r="F601" t="s">
        <v>19</v>
      </c>
      <c r="G601" t="s">
        <v>85</v>
      </c>
      <c r="H601" s="3">
        <v>55</v>
      </c>
      <c r="I601" s="8">
        <v>40233</v>
      </c>
      <c r="J601" s="4">
        <v>102839</v>
      </c>
      <c r="K601" s="1">
        <v>0.05</v>
      </c>
      <c r="L601" t="s">
        <v>21</v>
      </c>
      <c r="M601" t="s">
        <v>56</v>
      </c>
      <c r="O601" s="5">
        <f t="shared" si="9"/>
        <v>5141.9500000000007</v>
      </c>
      <c r="P601" s="6">
        <f>Table1[[#This Row],[Annual Salary]]+Table1[[#This Row],[Bonus Amount]]</f>
        <v>107980.95</v>
      </c>
      <c r="Q601" t="str">
        <f>IF(Table1[[#This Row],[Exit Date]]="", "Active","Exited")</f>
        <v>Active</v>
      </c>
      <c r="R601" s="2">
        <f ca="1">IFERROR(DATEDIF(Table1[[#This Row],[Hire Date]],IF(Table1[[#This Row],[Exit Date]]="",TODAY(),Table1[[#This Row],[Exit Date]]),"Y"),"")</f>
        <v>16</v>
      </c>
      <c r="S601" t="str" cm="1">
        <f t="array" ref="S601">_xlfn.IFS(Table1[[#This Row],[Age]]&lt;30,"Under 30",Table1[[#This Row],[Age]]&lt;=40,"30-40",Table1[[#This Row],[Age]]&lt;50,"41-50",TRUE,"50+")</f>
        <v>50+</v>
      </c>
    </row>
    <row r="602" spans="1:19" x14ac:dyDescent="0.35">
      <c r="A602" t="s">
        <v>1245</v>
      </c>
      <c r="B602" t="s">
        <v>1246</v>
      </c>
      <c r="C602" t="s">
        <v>33</v>
      </c>
      <c r="D602" t="s">
        <v>80</v>
      </c>
      <c r="E602" t="s">
        <v>18</v>
      </c>
      <c r="F602" t="s">
        <v>27</v>
      </c>
      <c r="G602" t="s">
        <v>28</v>
      </c>
      <c r="H602" s="3">
        <v>29</v>
      </c>
      <c r="I602" s="8">
        <v>44454</v>
      </c>
      <c r="J602" s="4">
        <v>199783</v>
      </c>
      <c r="K602" s="1">
        <v>0.21</v>
      </c>
      <c r="L602" t="s">
        <v>21</v>
      </c>
      <c r="M602" t="s">
        <v>37</v>
      </c>
      <c r="N602" s="7">
        <v>44661</v>
      </c>
      <c r="O602" s="5">
        <f t="shared" si="9"/>
        <v>41954.43</v>
      </c>
      <c r="P602" s="6">
        <f>Table1[[#This Row],[Annual Salary]]+Table1[[#This Row],[Bonus Amount]]</f>
        <v>241737.43</v>
      </c>
      <c r="Q602" t="str">
        <f>IF(Table1[[#This Row],[Exit Date]]="", "Active","Exited")</f>
        <v>Exited</v>
      </c>
      <c r="R602" s="2">
        <f ca="1">IFERROR(DATEDIF(Table1[[#This Row],[Hire Date]],IF(Table1[[#This Row],[Exit Date]]="",TODAY(),Table1[[#This Row],[Exit Date]]),"Y"),"")</f>
        <v>0</v>
      </c>
      <c r="S602" t="str" cm="1">
        <f t="array" ref="S602">_xlfn.IFS(Table1[[#This Row],[Age]]&lt;30,"Under 30",Table1[[#This Row],[Age]]&lt;=40,"30-40",Table1[[#This Row],[Age]]&lt;50,"41-50",TRUE,"50+")</f>
        <v>Under 30</v>
      </c>
    </row>
    <row r="603" spans="1:19" x14ac:dyDescent="0.35">
      <c r="A603" t="s">
        <v>1247</v>
      </c>
      <c r="B603" t="s">
        <v>1248</v>
      </c>
      <c r="C603" t="s">
        <v>143</v>
      </c>
      <c r="D603" t="s">
        <v>65</v>
      </c>
      <c r="E603" t="s">
        <v>18</v>
      </c>
      <c r="F603" t="s">
        <v>27</v>
      </c>
      <c r="G603" t="s">
        <v>85</v>
      </c>
      <c r="H603" s="3">
        <v>32</v>
      </c>
      <c r="I603" s="8">
        <v>44295</v>
      </c>
      <c r="J603" s="4">
        <v>70980</v>
      </c>
      <c r="K603" s="1">
        <v>0</v>
      </c>
      <c r="L603" t="s">
        <v>93</v>
      </c>
      <c r="M603" t="s">
        <v>99</v>
      </c>
      <c r="O603" s="5">
        <f t="shared" si="9"/>
        <v>0</v>
      </c>
      <c r="P603" s="6">
        <f>Table1[[#This Row],[Annual Salary]]+Table1[[#This Row],[Bonus Amount]]</f>
        <v>70980</v>
      </c>
      <c r="Q603" t="str">
        <f>IF(Table1[[#This Row],[Exit Date]]="", "Active","Exited")</f>
        <v>Active</v>
      </c>
      <c r="R603" s="2">
        <f ca="1">IFERROR(DATEDIF(Table1[[#This Row],[Hire Date]],IF(Table1[[#This Row],[Exit Date]]="",TODAY(),Table1[[#This Row],[Exit Date]]),"Y"),"")</f>
        <v>4</v>
      </c>
      <c r="S603" t="str" cm="1">
        <f t="array" ref="S603">_xlfn.IFS(Table1[[#This Row],[Age]]&lt;30,"Under 30",Table1[[#This Row],[Age]]&lt;=40,"30-40",Table1[[#This Row],[Age]]&lt;50,"41-50",TRUE,"50+")</f>
        <v>30-40</v>
      </c>
    </row>
    <row r="604" spans="1:19" x14ac:dyDescent="0.35">
      <c r="A604" t="s">
        <v>1249</v>
      </c>
      <c r="B604" t="s">
        <v>1250</v>
      </c>
      <c r="C604" t="s">
        <v>52</v>
      </c>
      <c r="D604" t="s">
        <v>80</v>
      </c>
      <c r="E604" t="s">
        <v>49</v>
      </c>
      <c r="F604" t="s">
        <v>27</v>
      </c>
      <c r="G604" t="s">
        <v>36</v>
      </c>
      <c r="H604" s="3">
        <v>51</v>
      </c>
      <c r="I604" s="8">
        <v>35456</v>
      </c>
      <c r="J604" s="4">
        <v>104431</v>
      </c>
      <c r="K604" s="1">
        <v>7.0000000000000007E-2</v>
      </c>
      <c r="L604" t="s">
        <v>21</v>
      </c>
      <c r="M604" t="s">
        <v>44</v>
      </c>
      <c r="O604" s="5">
        <f t="shared" si="9"/>
        <v>7310.170000000001</v>
      </c>
      <c r="P604" s="6">
        <f>Table1[[#This Row],[Annual Salary]]+Table1[[#This Row],[Bonus Amount]]</f>
        <v>111741.17</v>
      </c>
      <c r="Q604" t="str">
        <f>IF(Table1[[#This Row],[Exit Date]]="", "Active","Exited")</f>
        <v>Active</v>
      </c>
      <c r="R604" s="2">
        <f ca="1">IFERROR(DATEDIF(Table1[[#This Row],[Hire Date]],IF(Table1[[#This Row],[Exit Date]]="",TODAY(),Table1[[#This Row],[Exit Date]]),"Y"),"")</f>
        <v>29</v>
      </c>
      <c r="S604" t="str" cm="1">
        <f t="array" ref="S604">_xlfn.IFS(Table1[[#This Row],[Age]]&lt;30,"Under 30",Table1[[#This Row],[Age]]&lt;=40,"30-40",Table1[[#This Row],[Age]]&lt;50,"41-50",TRUE,"50+")</f>
        <v>50+</v>
      </c>
    </row>
    <row r="605" spans="1:19" x14ac:dyDescent="0.35">
      <c r="A605" t="s">
        <v>1251</v>
      </c>
      <c r="B605" t="s">
        <v>1252</v>
      </c>
      <c r="C605" t="s">
        <v>184</v>
      </c>
      <c r="D605" t="s">
        <v>65</v>
      </c>
      <c r="E605" t="s">
        <v>35</v>
      </c>
      <c r="F605" t="s">
        <v>27</v>
      </c>
      <c r="G605" t="s">
        <v>36</v>
      </c>
      <c r="H605" s="3">
        <v>28</v>
      </c>
      <c r="I605" s="8">
        <v>44374</v>
      </c>
      <c r="J605" s="4">
        <v>48510</v>
      </c>
      <c r="K605" s="1">
        <v>0</v>
      </c>
      <c r="L605" t="s">
        <v>21</v>
      </c>
      <c r="M605" t="s">
        <v>37</v>
      </c>
      <c r="O605" s="5">
        <f t="shared" si="9"/>
        <v>0</v>
      </c>
      <c r="P605" s="6">
        <f>Table1[[#This Row],[Annual Salary]]+Table1[[#This Row],[Bonus Amount]]</f>
        <v>48510</v>
      </c>
      <c r="Q605" t="str">
        <f>IF(Table1[[#This Row],[Exit Date]]="", "Active","Exited")</f>
        <v>Active</v>
      </c>
      <c r="R605" s="2">
        <f ca="1">IFERROR(DATEDIF(Table1[[#This Row],[Hire Date]],IF(Table1[[#This Row],[Exit Date]]="",TODAY(),Table1[[#This Row],[Exit Date]]),"Y"),"")</f>
        <v>4</v>
      </c>
      <c r="S605" t="str" cm="1">
        <f t="array" ref="S605">_xlfn.IFS(Table1[[#This Row],[Age]]&lt;30,"Under 30",Table1[[#This Row],[Age]]&lt;=40,"30-40",Table1[[#This Row],[Age]]&lt;50,"41-50",TRUE,"50+")</f>
        <v>Under 30</v>
      </c>
    </row>
    <row r="606" spans="1:19" x14ac:dyDescent="0.35">
      <c r="A606" t="s">
        <v>1253</v>
      </c>
      <c r="B606" t="s">
        <v>1254</v>
      </c>
      <c r="C606" t="s">
        <v>108</v>
      </c>
      <c r="D606" t="s">
        <v>69</v>
      </c>
      <c r="E606" t="s">
        <v>35</v>
      </c>
      <c r="F606" t="s">
        <v>27</v>
      </c>
      <c r="G606" t="s">
        <v>20</v>
      </c>
      <c r="H606" s="3">
        <v>27</v>
      </c>
      <c r="I606" s="8">
        <v>43613</v>
      </c>
      <c r="J606" s="4">
        <v>70110</v>
      </c>
      <c r="K606" s="1">
        <v>0</v>
      </c>
      <c r="L606" t="s">
        <v>21</v>
      </c>
      <c r="M606" t="s">
        <v>56</v>
      </c>
      <c r="N606" s="7">
        <v>44203</v>
      </c>
      <c r="O606" s="5">
        <f t="shared" si="9"/>
        <v>0</v>
      </c>
      <c r="P606" s="6">
        <f>Table1[[#This Row],[Annual Salary]]+Table1[[#This Row],[Bonus Amount]]</f>
        <v>70110</v>
      </c>
      <c r="Q606" t="str">
        <f>IF(Table1[[#This Row],[Exit Date]]="", "Active","Exited")</f>
        <v>Exited</v>
      </c>
      <c r="R606" s="2">
        <f ca="1">IFERROR(DATEDIF(Table1[[#This Row],[Hire Date]],IF(Table1[[#This Row],[Exit Date]]="",TODAY(),Table1[[#This Row],[Exit Date]]),"Y"),"")</f>
        <v>1</v>
      </c>
      <c r="S606" t="str" cm="1">
        <f t="array" ref="S606">_xlfn.IFS(Table1[[#This Row],[Age]]&lt;30,"Under 30",Table1[[#This Row],[Age]]&lt;=40,"30-40",Table1[[#This Row],[Age]]&lt;50,"41-50",TRUE,"50+")</f>
        <v>Under 30</v>
      </c>
    </row>
    <row r="607" spans="1:19" x14ac:dyDescent="0.35">
      <c r="A607" t="s">
        <v>1255</v>
      </c>
      <c r="B607" t="s">
        <v>1256</v>
      </c>
      <c r="C607" t="s">
        <v>33</v>
      </c>
      <c r="D607" t="s">
        <v>80</v>
      </c>
      <c r="E607" t="s">
        <v>49</v>
      </c>
      <c r="F607" t="s">
        <v>27</v>
      </c>
      <c r="G607" t="s">
        <v>28</v>
      </c>
      <c r="H607" s="3">
        <v>45</v>
      </c>
      <c r="I607" s="8">
        <v>39519</v>
      </c>
      <c r="J607" s="4">
        <v>186138</v>
      </c>
      <c r="K607" s="1">
        <v>0.28000000000000003</v>
      </c>
      <c r="L607" t="s">
        <v>29</v>
      </c>
      <c r="M607" t="s">
        <v>30</v>
      </c>
      <c r="O607" s="5">
        <f t="shared" si="9"/>
        <v>52118.640000000007</v>
      </c>
      <c r="P607" s="6">
        <f>Table1[[#This Row],[Annual Salary]]+Table1[[#This Row],[Bonus Amount]]</f>
        <v>238256.64000000001</v>
      </c>
      <c r="Q607" t="str">
        <f>IF(Table1[[#This Row],[Exit Date]]="", "Active","Exited")</f>
        <v>Active</v>
      </c>
      <c r="R607" s="2">
        <f ca="1">IFERROR(DATEDIF(Table1[[#This Row],[Hire Date]],IF(Table1[[#This Row],[Exit Date]]="",TODAY(),Table1[[#This Row],[Exit Date]]),"Y"),"")</f>
        <v>18</v>
      </c>
      <c r="S607" t="str" cm="1">
        <f t="array" ref="S607">_xlfn.IFS(Table1[[#This Row],[Age]]&lt;30,"Under 30",Table1[[#This Row],[Age]]&lt;=40,"30-40",Table1[[#This Row],[Age]]&lt;50,"41-50",TRUE,"50+")</f>
        <v>41-50</v>
      </c>
    </row>
    <row r="608" spans="1:19" x14ac:dyDescent="0.35">
      <c r="A608" t="s">
        <v>1257</v>
      </c>
      <c r="B608" t="s">
        <v>1258</v>
      </c>
      <c r="C608" t="s">
        <v>55</v>
      </c>
      <c r="D608" t="s">
        <v>59</v>
      </c>
      <c r="E608" t="s">
        <v>26</v>
      </c>
      <c r="F608" t="s">
        <v>27</v>
      </c>
      <c r="G608" t="s">
        <v>85</v>
      </c>
      <c r="H608" s="3">
        <v>58</v>
      </c>
      <c r="I608" s="8">
        <v>40287</v>
      </c>
      <c r="J608" s="4">
        <v>56350</v>
      </c>
      <c r="K608" s="1">
        <v>0</v>
      </c>
      <c r="L608" t="s">
        <v>93</v>
      </c>
      <c r="M608" t="s">
        <v>99</v>
      </c>
      <c r="O608" s="5">
        <f t="shared" si="9"/>
        <v>0</v>
      </c>
      <c r="P608" s="6">
        <f>Table1[[#This Row],[Annual Salary]]+Table1[[#This Row],[Bonus Amount]]</f>
        <v>56350</v>
      </c>
      <c r="Q608" t="str">
        <f>IF(Table1[[#This Row],[Exit Date]]="", "Active","Exited")</f>
        <v>Active</v>
      </c>
      <c r="R608" s="2">
        <f ca="1">IFERROR(DATEDIF(Table1[[#This Row],[Hire Date]],IF(Table1[[#This Row],[Exit Date]]="",TODAY(),Table1[[#This Row],[Exit Date]]),"Y"),"")</f>
        <v>15</v>
      </c>
      <c r="S608" t="str" cm="1">
        <f t="array" ref="S608">_xlfn.IFS(Table1[[#This Row],[Age]]&lt;30,"Under 30",Table1[[#This Row],[Age]]&lt;=40,"30-40",Table1[[#This Row],[Age]]&lt;50,"41-50",TRUE,"50+")</f>
        <v>50+</v>
      </c>
    </row>
    <row r="609" spans="1:19" x14ac:dyDescent="0.35">
      <c r="A609" t="s">
        <v>353</v>
      </c>
      <c r="B609" t="s">
        <v>1259</v>
      </c>
      <c r="C609" t="s">
        <v>16</v>
      </c>
      <c r="D609" t="s">
        <v>34</v>
      </c>
      <c r="E609" t="s">
        <v>18</v>
      </c>
      <c r="F609" t="s">
        <v>19</v>
      </c>
      <c r="G609" t="s">
        <v>85</v>
      </c>
      <c r="H609" s="3">
        <v>45</v>
      </c>
      <c r="I609" s="8">
        <v>42379</v>
      </c>
      <c r="J609" s="4">
        <v>149761</v>
      </c>
      <c r="K609" s="1">
        <v>0.12</v>
      </c>
      <c r="L609" t="s">
        <v>21</v>
      </c>
      <c r="M609" t="s">
        <v>88</v>
      </c>
      <c r="O609" s="5">
        <f t="shared" si="9"/>
        <v>17971.32</v>
      </c>
      <c r="P609" s="6">
        <f>Table1[[#This Row],[Annual Salary]]+Table1[[#This Row],[Bonus Amount]]</f>
        <v>167732.32</v>
      </c>
      <c r="Q609" t="str">
        <f>IF(Table1[[#This Row],[Exit Date]]="", "Active","Exited")</f>
        <v>Active</v>
      </c>
      <c r="R609" s="2">
        <f ca="1">IFERROR(DATEDIF(Table1[[#This Row],[Hire Date]],IF(Table1[[#This Row],[Exit Date]]="",TODAY(),Table1[[#This Row],[Exit Date]]),"Y"),"")</f>
        <v>10</v>
      </c>
      <c r="S609" t="str" cm="1">
        <f t="array" ref="S609">_xlfn.IFS(Table1[[#This Row],[Age]]&lt;30,"Under 30",Table1[[#This Row],[Age]]&lt;=40,"30-40",Table1[[#This Row],[Age]]&lt;50,"41-50",TRUE,"50+")</f>
        <v>41-50</v>
      </c>
    </row>
    <row r="610" spans="1:19" x14ac:dyDescent="0.35">
      <c r="A610" t="s">
        <v>1260</v>
      </c>
      <c r="B610" t="s">
        <v>1261</v>
      </c>
      <c r="C610" t="s">
        <v>16</v>
      </c>
      <c r="D610" t="s">
        <v>34</v>
      </c>
      <c r="E610" t="s">
        <v>49</v>
      </c>
      <c r="F610" t="s">
        <v>27</v>
      </c>
      <c r="G610" t="s">
        <v>85</v>
      </c>
      <c r="H610" s="3">
        <v>44</v>
      </c>
      <c r="I610" s="8">
        <v>39305</v>
      </c>
      <c r="J610" s="4">
        <v>126277</v>
      </c>
      <c r="K610" s="1">
        <v>0.13</v>
      </c>
      <c r="L610" t="s">
        <v>93</v>
      </c>
      <c r="M610" t="s">
        <v>94</v>
      </c>
      <c r="O610" s="5">
        <f t="shared" si="9"/>
        <v>16416.010000000002</v>
      </c>
      <c r="P610" s="6">
        <f>Table1[[#This Row],[Annual Salary]]+Table1[[#This Row],[Bonus Amount]]</f>
        <v>142693.01</v>
      </c>
      <c r="Q610" t="str">
        <f>IF(Table1[[#This Row],[Exit Date]]="", "Active","Exited")</f>
        <v>Active</v>
      </c>
      <c r="R610" s="2">
        <f ca="1">IFERROR(DATEDIF(Table1[[#This Row],[Hire Date]],IF(Table1[[#This Row],[Exit Date]]="",TODAY(),Table1[[#This Row],[Exit Date]]),"Y"),"")</f>
        <v>18</v>
      </c>
      <c r="S610" t="str" cm="1">
        <f t="array" ref="S610">_xlfn.IFS(Table1[[#This Row],[Age]]&lt;30,"Under 30",Table1[[#This Row],[Age]]&lt;=40,"30-40",Table1[[#This Row],[Age]]&lt;50,"41-50",TRUE,"50+")</f>
        <v>41-50</v>
      </c>
    </row>
    <row r="611" spans="1:19" x14ac:dyDescent="0.35">
      <c r="A611" t="s">
        <v>1262</v>
      </c>
      <c r="B611" t="s">
        <v>1263</v>
      </c>
      <c r="C611" t="s">
        <v>52</v>
      </c>
      <c r="D611" t="s">
        <v>48</v>
      </c>
      <c r="E611" t="s">
        <v>35</v>
      </c>
      <c r="F611" t="s">
        <v>27</v>
      </c>
      <c r="G611" t="s">
        <v>36</v>
      </c>
      <c r="H611" s="3">
        <v>33</v>
      </c>
      <c r="I611" s="8">
        <v>41446</v>
      </c>
      <c r="J611" s="4">
        <v>119631</v>
      </c>
      <c r="K611" s="1">
        <v>0.06</v>
      </c>
      <c r="L611" t="s">
        <v>21</v>
      </c>
      <c r="M611" t="s">
        <v>44</v>
      </c>
      <c r="O611" s="5">
        <f t="shared" si="9"/>
        <v>7177.86</v>
      </c>
      <c r="P611" s="6">
        <f>Table1[[#This Row],[Annual Salary]]+Table1[[#This Row],[Bonus Amount]]</f>
        <v>126808.86</v>
      </c>
      <c r="Q611" t="str">
        <f>IF(Table1[[#This Row],[Exit Date]]="", "Active","Exited")</f>
        <v>Active</v>
      </c>
      <c r="R611" s="2">
        <f ca="1">IFERROR(DATEDIF(Table1[[#This Row],[Hire Date]],IF(Table1[[#This Row],[Exit Date]]="",TODAY(),Table1[[#This Row],[Exit Date]]),"Y"),"")</f>
        <v>12</v>
      </c>
      <c r="S611" t="str" cm="1">
        <f t="array" ref="S611">_xlfn.IFS(Table1[[#This Row],[Age]]&lt;30,"Under 30",Table1[[#This Row],[Age]]&lt;=40,"30-40",Table1[[#This Row],[Age]]&lt;50,"41-50",TRUE,"50+")</f>
        <v>30-40</v>
      </c>
    </row>
    <row r="612" spans="1:19" x14ac:dyDescent="0.35">
      <c r="A612" t="s">
        <v>1264</v>
      </c>
      <c r="B612" t="s">
        <v>1265</v>
      </c>
      <c r="C612" t="s">
        <v>79</v>
      </c>
      <c r="D612" t="s">
        <v>17</v>
      </c>
      <c r="E612" t="s">
        <v>18</v>
      </c>
      <c r="F612" t="s">
        <v>27</v>
      </c>
      <c r="G612" t="s">
        <v>28</v>
      </c>
      <c r="H612" s="3">
        <v>26</v>
      </c>
      <c r="I612" s="8">
        <v>43960</v>
      </c>
      <c r="J612" s="4">
        <v>256561</v>
      </c>
      <c r="K612" s="1">
        <v>0.39</v>
      </c>
      <c r="L612" t="s">
        <v>21</v>
      </c>
      <c r="M612" t="s">
        <v>60</v>
      </c>
      <c r="O612" s="5">
        <f t="shared" si="9"/>
        <v>100058.79000000001</v>
      </c>
      <c r="P612" s="6">
        <f>Table1[[#This Row],[Annual Salary]]+Table1[[#This Row],[Bonus Amount]]</f>
        <v>356619.79000000004</v>
      </c>
      <c r="Q612" t="str">
        <f>IF(Table1[[#This Row],[Exit Date]]="", "Active","Exited")</f>
        <v>Active</v>
      </c>
      <c r="R612" s="2">
        <f ca="1">IFERROR(DATEDIF(Table1[[#This Row],[Hire Date]],IF(Table1[[#This Row],[Exit Date]]="",TODAY(),Table1[[#This Row],[Exit Date]]),"Y"),"")</f>
        <v>5</v>
      </c>
      <c r="S612" t="str" cm="1">
        <f t="array" ref="S612">_xlfn.IFS(Table1[[#This Row],[Age]]&lt;30,"Under 30",Table1[[#This Row],[Age]]&lt;=40,"30-40",Table1[[#This Row],[Age]]&lt;50,"41-50",TRUE,"50+")</f>
        <v>Under 30</v>
      </c>
    </row>
    <row r="613" spans="1:19" x14ac:dyDescent="0.35">
      <c r="A613" t="s">
        <v>1266</v>
      </c>
      <c r="B613" t="s">
        <v>1267</v>
      </c>
      <c r="C613" t="s">
        <v>372</v>
      </c>
      <c r="D613" t="s">
        <v>17</v>
      </c>
      <c r="E613" t="s">
        <v>35</v>
      </c>
      <c r="F613" t="s">
        <v>19</v>
      </c>
      <c r="G613" t="s">
        <v>85</v>
      </c>
      <c r="H613" s="3">
        <v>45</v>
      </c>
      <c r="I613" s="8">
        <v>43937</v>
      </c>
      <c r="J613" s="4">
        <v>66958</v>
      </c>
      <c r="K613" s="1">
        <v>0</v>
      </c>
      <c r="L613" t="s">
        <v>21</v>
      </c>
      <c r="M613" t="s">
        <v>56</v>
      </c>
      <c r="O613" s="5">
        <f t="shared" si="9"/>
        <v>0</v>
      </c>
      <c r="P613" s="6">
        <f>Table1[[#This Row],[Annual Salary]]+Table1[[#This Row],[Bonus Amount]]</f>
        <v>66958</v>
      </c>
      <c r="Q613" t="str">
        <f>IF(Table1[[#This Row],[Exit Date]]="", "Active","Exited")</f>
        <v>Active</v>
      </c>
      <c r="R613" s="2">
        <f ca="1">IFERROR(DATEDIF(Table1[[#This Row],[Hire Date]],IF(Table1[[#This Row],[Exit Date]]="",TODAY(),Table1[[#This Row],[Exit Date]]),"Y"),"")</f>
        <v>5</v>
      </c>
      <c r="S613" t="str" cm="1">
        <f t="array" ref="S613">_xlfn.IFS(Table1[[#This Row],[Age]]&lt;30,"Under 30",Table1[[#This Row],[Age]]&lt;=40,"30-40",Table1[[#This Row],[Age]]&lt;50,"41-50",TRUE,"50+")</f>
        <v>41-50</v>
      </c>
    </row>
    <row r="614" spans="1:19" x14ac:dyDescent="0.35">
      <c r="A614" t="s">
        <v>70</v>
      </c>
      <c r="B614" t="s">
        <v>1268</v>
      </c>
      <c r="C614" t="s">
        <v>16</v>
      </c>
      <c r="D614" t="s">
        <v>48</v>
      </c>
      <c r="E614" t="s">
        <v>26</v>
      </c>
      <c r="F614" t="s">
        <v>19</v>
      </c>
      <c r="G614" t="s">
        <v>28</v>
      </c>
      <c r="H614" s="3">
        <v>46</v>
      </c>
      <c r="I614" s="8">
        <v>38046</v>
      </c>
      <c r="J614" s="4">
        <v>158897</v>
      </c>
      <c r="K614" s="1">
        <v>0.1</v>
      </c>
      <c r="L614" t="s">
        <v>29</v>
      </c>
      <c r="M614" t="s">
        <v>30</v>
      </c>
      <c r="O614" s="5">
        <f t="shared" si="9"/>
        <v>15889.7</v>
      </c>
      <c r="P614" s="6">
        <f>Table1[[#This Row],[Annual Salary]]+Table1[[#This Row],[Bonus Amount]]</f>
        <v>174786.7</v>
      </c>
      <c r="Q614" t="str">
        <f>IF(Table1[[#This Row],[Exit Date]]="", "Active","Exited")</f>
        <v>Active</v>
      </c>
      <c r="R614" s="2">
        <f ca="1">IFERROR(DATEDIF(Table1[[#This Row],[Hire Date]],IF(Table1[[#This Row],[Exit Date]]="",TODAY(),Table1[[#This Row],[Exit Date]]),"Y"),"")</f>
        <v>22</v>
      </c>
      <c r="S614" t="str" cm="1">
        <f t="array" ref="S614">_xlfn.IFS(Table1[[#This Row],[Age]]&lt;30,"Under 30",Table1[[#This Row],[Age]]&lt;=40,"30-40",Table1[[#This Row],[Age]]&lt;50,"41-50",TRUE,"50+")</f>
        <v>41-50</v>
      </c>
    </row>
    <row r="615" spans="1:19" x14ac:dyDescent="0.35">
      <c r="A615" t="s">
        <v>195</v>
      </c>
      <c r="B615" t="s">
        <v>1269</v>
      </c>
      <c r="C615" t="s">
        <v>25</v>
      </c>
      <c r="D615" t="s">
        <v>17</v>
      </c>
      <c r="E615" t="s">
        <v>49</v>
      </c>
      <c r="F615" t="s">
        <v>27</v>
      </c>
      <c r="G615" t="s">
        <v>36</v>
      </c>
      <c r="H615" s="3">
        <v>37</v>
      </c>
      <c r="I615" s="8">
        <v>39493</v>
      </c>
      <c r="J615" s="4">
        <v>71695</v>
      </c>
      <c r="K615" s="1">
        <v>0</v>
      </c>
      <c r="L615" t="s">
        <v>21</v>
      </c>
      <c r="M615" t="s">
        <v>44</v>
      </c>
      <c r="O615" s="5">
        <f t="shared" si="9"/>
        <v>0</v>
      </c>
      <c r="P615" s="6">
        <f>Table1[[#This Row],[Annual Salary]]+Table1[[#This Row],[Bonus Amount]]</f>
        <v>71695</v>
      </c>
      <c r="Q615" t="str">
        <f>IF(Table1[[#This Row],[Exit Date]]="", "Active","Exited")</f>
        <v>Active</v>
      </c>
      <c r="R615" s="2">
        <f ca="1">IFERROR(DATEDIF(Table1[[#This Row],[Hire Date]],IF(Table1[[#This Row],[Exit Date]]="",TODAY(),Table1[[#This Row],[Exit Date]]),"Y"),"")</f>
        <v>18</v>
      </c>
      <c r="S615" t="str" cm="1">
        <f t="array" ref="S615">_xlfn.IFS(Table1[[#This Row],[Age]]&lt;30,"Under 30",Table1[[#This Row],[Age]]&lt;=40,"30-40",Table1[[#This Row],[Age]]&lt;50,"41-50",TRUE,"50+")</f>
        <v>30-40</v>
      </c>
    </row>
    <row r="616" spans="1:19" x14ac:dyDescent="0.35">
      <c r="A616" t="s">
        <v>1270</v>
      </c>
      <c r="B616" t="s">
        <v>1271</v>
      </c>
      <c r="C616" t="s">
        <v>43</v>
      </c>
      <c r="D616" t="s">
        <v>80</v>
      </c>
      <c r="E616" t="s">
        <v>49</v>
      </c>
      <c r="F616" t="s">
        <v>27</v>
      </c>
      <c r="G616" t="s">
        <v>28</v>
      </c>
      <c r="H616" s="3">
        <v>40</v>
      </c>
      <c r="I616" s="8">
        <v>41904</v>
      </c>
      <c r="J616" s="4">
        <v>73779</v>
      </c>
      <c r="K616" s="1">
        <v>0</v>
      </c>
      <c r="L616" t="s">
        <v>29</v>
      </c>
      <c r="M616" t="s">
        <v>30</v>
      </c>
      <c r="N616" s="7">
        <v>43594</v>
      </c>
      <c r="O616" s="5">
        <f t="shared" si="9"/>
        <v>0</v>
      </c>
      <c r="P616" s="6">
        <f>Table1[[#This Row],[Annual Salary]]+Table1[[#This Row],[Bonus Amount]]</f>
        <v>73779</v>
      </c>
      <c r="Q616" t="str">
        <f>IF(Table1[[#This Row],[Exit Date]]="", "Active","Exited")</f>
        <v>Exited</v>
      </c>
      <c r="R616" s="2">
        <f ca="1">IFERROR(DATEDIF(Table1[[#This Row],[Hire Date]],IF(Table1[[#This Row],[Exit Date]]="",TODAY(),Table1[[#This Row],[Exit Date]]),"Y"),"")</f>
        <v>4</v>
      </c>
      <c r="S616" t="str" cm="1">
        <f t="array" ref="S616">_xlfn.IFS(Table1[[#This Row],[Age]]&lt;30,"Under 30",Table1[[#This Row],[Age]]&lt;=40,"30-40",Table1[[#This Row],[Age]]&lt;50,"41-50",TRUE,"50+")</f>
        <v>30-40</v>
      </c>
    </row>
    <row r="617" spans="1:19" x14ac:dyDescent="0.35">
      <c r="A617" t="s">
        <v>1272</v>
      </c>
      <c r="B617" t="s">
        <v>1273</v>
      </c>
      <c r="C617" t="s">
        <v>52</v>
      </c>
      <c r="D617" t="s">
        <v>48</v>
      </c>
      <c r="E617" t="s">
        <v>35</v>
      </c>
      <c r="F617" t="s">
        <v>19</v>
      </c>
      <c r="G617" t="s">
        <v>28</v>
      </c>
      <c r="H617" s="3">
        <v>45</v>
      </c>
      <c r="I617" s="8">
        <v>40836</v>
      </c>
      <c r="J617" s="4">
        <v>123640</v>
      </c>
      <c r="K617" s="1">
        <v>7.0000000000000007E-2</v>
      </c>
      <c r="L617" t="s">
        <v>29</v>
      </c>
      <c r="M617" t="s">
        <v>74</v>
      </c>
      <c r="O617" s="5">
        <f t="shared" si="9"/>
        <v>8654.8000000000011</v>
      </c>
      <c r="P617" s="6">
        <f>Table1[[#This Row],[Annual Salary]]+Table1[[#This Row],[Bonus Amount]]</f>
        <v>132294.79999999999</v>
      </c>
      <c r="Q617" t="str">
        <f>IF(Table1[[#This Row],[Exit Date]]="", "Active","Exited")</f>
        <v>Active</v>
      </c>
      <c r="R617" s="2">
        <f ca="1">IFERROR(DATEDIF(Table1[[#This Row],[Hire Date]],IF(Table1[[#This Row],[Exit Date]]="",TODAY(),Table1[[#This Row],[Exit Date]]),"Y"),"")</f>
        <v>14</v>
      </c>
      <c r="S617" t="str" cm="1">
        <f t="array" ref="S617">_xlfn.IFS(Table1[[#This Row],[Age]]&lt;30,"Under 30",Table1[[#This Row],[Age]]&lt;=40,"30-40",Table1[[#This Row],[Age]]&lt;50,"41-50",TRUE,"50+")</f>
        <v>41-50</v>
      </c>
    </row>
    <row r="618" spans="1:19" x14ac:dyDescent="0.35">
      <c r="A618" t="s">
        <v>1198</v>
      </c>
      <c r="B618" t="s">
        <v>1274</v>
      </c>
      <c r="C618" t="s">
        <v>55</v>
      </c>
      <c r="D618" t="s">
        <v>48</v>
      </c>
      <c r="E618" t="s">
        <v>35</v>
      </c>
      <c r="F618" t="s">
        <v>19</v>
      </c>
      <c r="G618" t="s">
        <v>36</v>
      </c>
      <c r="H618" s="3">
        <v>33</v>
      </c>
      <c r="I618" s="8">
        <v>41742</v>
      </c>
      <c r="J618" s="4">
        <v>46878</v>
      </c>
      <c r="K618" s="1">
        <v>0</v>
      </c>
      <c r="L618" t="s">
        <v>21</v>
      </c>
      <c r="M618" t="s">
        <v>56</v>
      </c>
      <c r="O618" s="5">
        <f t="shared" si="9"/>
        <v>0</v>
      </c>
      <c r="P618" s="6">
        <f>Table1[[#This Row],[Annual Salary]]+Table1[[#This Row],[Bonus Amount]]</f>
        <v>46878</v>
      </c>
      <c r="Q618" t="str">
        <f>IF(Table1[[#This Row],[Exit Date]]="", "Active","Exited")</f>
        <v>Active</v>
      </c>
      <c r="R618" s="2">
        <f ca="1">IFERROR(DATEDIF(Table1[[#This Row],[Hire Date]],IF(Table1[[#This Row],[Exit Date]]="",TODAY(),Table1[[#This Row],[Exit Date]]),"Y"),"")</f>
        <v>11</v>
      </c>
      <c r="S618" t="str" cm="1">
        <f t="array" ref="S618">_xlfn.IFS(Table1[[#This Row],[Age]]&lt;30,"Under 30",Table1[[#This Row],[Age]]&lt;=40,"30-40",Table1[[#This Row],[Age]]&lt;50,"41-50",TRUE,"50+")</f>
        <v>30-40</v>
      </c>
    </row>
    <row r="619" spans="1:19" x14ac:dyDescent="0.35">
      <c r="A619" t="s">
        <v>1275</v>
      </c>
      <c r="B619" t="s">
        <v>1276</v>
      </c>
      <c r="C619" t="s">
        <v>55</v>
      </c>
      <c r="D619" t="s">
        <v>80</v>
      </c>
      <c r="E619" t="s">
        <v>35</v>
      </c>
      <c r="F619" t="s">
        <v>19</v>
      </c>
      <c r="G619" t="s">
        <v>36</v>
      </c>
      <c r="H619" s="3">
        <v>64</v>
      </c>
      <c r="I619" s="8">
        <v>37662</v>
      </c>
      <c r="J619" s="4">
        <v>57032</v>
      </c>
      <c r="K619" s="1">
        <v>0</v>
      </c>
      <c r="L619" t="s">
        <v>21</v>
      </c>
      <c r="M619" t="s">
        <v>56</v>
      </c>
      <c r="O619" s="5">
        <f t="shared" si="9"/>
        <v>0</v>
      </c>
      <c r="P619" s="6">
        <f>Table1[[#This Row],[Annual Salary]]+Table1[[#This Row],[Bonus Amount]]</f>
        <v>57032</v>
      </c>
      <c r="Q619" t="str">
        <f>IF(Table1[[#This Row],[Exit Date]]="", "Active","Exited")</f>
        <v>Active</v>
      </c>
      <c r="R619" s="2">
        <f ca="1">IFERROR(DATEDIF(Table1[[#This Row],[Hire Date]],IF(Table1[[#This Row],[Exit Date]]="",TODAY(),Table1[[#This Row],[Exit Date]]),"Y"),"")</f>
        <v>23</v>
      </c>
      <c r="S619" t="str" cm="1">
        <f t="array" ref="S619">_xlfn.IFS(Table1[[#This Row],[Age]]&lt;30,"Under 30",Table1[[#This Row],[Age]]&lt;=40,"30-40",Table1[[#This Row],[Age]]&lt;50,"41-50",TRUE,"50+")</f>
        <v>50+</v>
      </c>
    </row>
    <row r="620" spans="1:19" x14ac:dyDescent="0.35">
      <c r="A620" t="s">
        <v>1277</v>
      </c>
      <c r="B620" t="s">
        <v>1278</v>
      </c>
      <c r="C620" t="s">
        <v>43</v>
      </c>
      <c r="D620" t="s">
        <v>48</v>
      </c>
      <c r="E620" t="s">
        <v>26</v>
      </c>
      <c r="F620" t="s">
        <v>19</v>
      </c>
      <c r="G620" t="s">
        <v>85</v>
      </c>
      <c r="H620" s="3">
        <v>57</v>
      </c>
      <c r="I620" s="8">
        <v>39357</v>
      </c>
      <c r="J620" s="4">
        <v>98150</v>
      </c>
      <c r="K620" s="1">
        <v>0</v>
      </c>
      <c r="L620" t="s">
        <v>93</v>
      </c>
      <c r="M620" t="s">
        <v>99</v>
      </c>
      <c r="O620" s="5">
        <f t="shared" si="9"/>
        <v>0</v>
      </c>
      <c r="P620" s="6">
        <f>Table1[[#This Row],[Annual Salary]]+Table1[[#This Row],[Bonus Amount]]</f>
        <v>98150</v>
      </c>
      <c r="Q620" t="str">
        <f>IF(Table1[[#This Row],[Exit Date]]="", "Active","Exited")</f>
        <v>Active</v>
      </c>
      <c r="R620" s="2">
        <f ca="1">IFERROR(DATEDIF(Table1[[#This Row],[Hire Date]],IF(Table1[[#This Row],[Exit Date]]="",TODAY(),Table1[[#This Row],[Exit Date]]),"Y"),"")</f>
        <v>18</v>
      </c>
      <c r="S620" t="str" cm="1">
        <f t="array" ref="S620">_xlfn.IFS(Table1[[#This Row],[Age]]&lt;30,"Under 30",Table1[[#This Row],[Age]]&lt;=40,"30-40",Table1[[#This Row],[Age]]&lt;50,"41-50",TRUE,"50+")</f>
        <v>50+</v>
      </c>
    </row>
    <row r="621" spans="1:19" x14ac:dyDescent="0.35">
      <c r="A621" t="s">
        <v>1279</v>
      </c>
      <c r="B621" t="s">
        <v>1280</v>
      </c>
      <c r="C621" t="s">
        <v>33</v>
      </c>
      <c r="D621" t="s">
        <v>80</v>
      </c>
      <c r="E621" t="s">
        <v>26</v>
      </c>
      <c r="F621" t="s">
        <v>19</v>
      </c>
      <c r="G621" t="s">
        <v>28</v>
      </c>
      <c r="H621" s="3">
        <v>35</v>
      </c>
      <c r="I621" s="8">
        <v>42800</v>
      </c>
      <c r="J621" s="4">
        <v>171426</v>
      </c>
      <c r="K621" s="1">
        <v>0.15</v>
      </c>
      <c r="L621" t="s">
        <v>29</v>
      </c>
      <c r="M621" t="s">
        <v>114</v>
      </c>
      <c r="N621" s="7">
        <v>43000</v>
      </c>
      <c r="O621" s="5">
        <f t="shared" si="9"/>
        <v>25713.899999999998</v>
      </c>
      <c r="P621" s="6">
        <f>Table1[[#This Row],[Annual Salary]]+Table1[[#This Row],[Bonus Amount]]</f>
        <v>197139.9</v>
      </c>
      <c r="Q621" t="str">
        <f>IF(Table1[[#This Row],[Exit Date]]="", "Active","Exited")</f>
        <v>Exited</v>
      </c>
      <c r="R621" s="2">
        <f ca="1">IFERROR(DATEDIF(Table1[[#This Row],[Hire Date]],IF(Table1[[#This Row],[Exit Date]]="",TODAY(),Table1[[#This Row],[Exit Date]]),"Y"),"")</f>
        <v>0</v>
      </c>
      <c r="S621" t="str" cm="1">
        <f t="array" ref="S621">_xlfn.IFS(Table1[[#This Row],[Age]]&lt;30,"Under 30",Table1[[#This Row],[Age]]&lt;=40,"30-40",Table1[[#This Row],[Age]]&lt;50,"41-50",TRUE,"50+")</f>
        <v>30-40</v>
      </c>
    </row>
    <row r="622" spans="1:19" x14ac:dyDescent="0.35">
      <c r="A622" t="s">
        <v>41</v>
      </c>
      <c r="B622" t="s">
        <v>1281</v>
      </c>
      <c r="C622" t="s">
        <v>55</v>
      </c>
      <c r="D622" t="s">
        <v>34</v>
      </c>
      <c r="E622" t="s">
        <v>26</v>
      </c>
      <c r="F622" t="s">
        <v>19</v>
      </c>
      <c r="G622" t="s">
        <v>36</v>
      </c>
      <c r="H622" s="3">
        <v>55</v>
      </c>
      <c r="I622" s="8">
        <v>44302</v>
      </c>
      <c r="J622" s="4">
        <v>48266</v>
      </c>
      <c r="K622" s="1">
        <v>0</v>
      </c>
      <c r="L622" t="s">
        <v>21</v>
      </c>
      <c r="M622" t="s">
        <v>37</v>
      </c>
      <c r="O622" s="5">
        <f t="shared" si="9"/>
        <v>0</v>
      </c>
      <c r="P622" s="6">
        <f>Table1[[#This Row],[Annual Salary]]+Table1[[#This Row],[Bonus Amount]]</f>
        <v>48266</v>
      </c>
      <c r="Q622" t="str">
        <f>IF(Table1[[#This Row],[Exit Date]]="", "Active","Exited")</f>
        <v>Active</v>
      </c>
      <c r="R622" s="2">
        <f ca="1">IFERROR(DATEDIF(Table1[[#This Row],[Hire Date]],IF(Table1[[#This Row],[Exit Date]]="",TODAY(),Table1[[#This Row],[Exit Date]]),"Y"),"")</f>
        <v>4</v>
      </c>
      <c r="S622" t="str" cm="1">
        <f t="array" ref="S622">_xlfn.IFS(Table1[[#This Row],[Age]]&lt;30,"Under 30",Table1[[#This Row],[Age]]&lt;=40,"30-40",Table1[[#This Row],[Age]]&lt;50,"41-50",TRUE,"50+")</f>
        <v>50+</v>
      </c>
    </row>
    <row r="623" spans="1:19" x14ac:dyDescent="0.35">
      <c r="A623" t="s">
        <v>1282</v>
      </c>
      <c r="B623" t="s">
        <v>1283</v>
      </c>
      <c r="C623" t="s">
        <v>79</v>
      </c>
      <c r="D623" t="s">
        <v>34</v>
      </c>
      <c r="E623" t="s">
        <v>18</v>
      </c>
      <c r="F623" t="s">
        <v>27</v>
      </c>
      <c r="G623" t="s">
        <v>85</v>
      </c>
      <c r="H623" s="3">
        <v>36</v>
      </c>
      <c r="I623" s="8">
        <v>43330</v>
      </c>
      <c r="J623" s="4">
        <v>223404</v>
      </c>
      <c r="K623" s="1">
        <v>0.32</v>
      </c>
      <c r="L623" t="s">
        <v>21</v>
      </c>
      <c r="M623" t="s">
        <v>88</v>
      </c>
      <c r="O623" s="5">
        <f t="shared" si="9"/>
        <v>71489.279999999999</v>
      </c>
      <c r="P623" s="6">
        <f>Table1[[#This Row],[Annual Salary]]+Table1[[#This Row],[Bonus Amount]]</f>
        <v>294893.28000000003</v>
      </c>
      <c r="Q623" t="str">
        <f>IF(Table1[[#This Row],[Exit Date]]="", "Active","Exited")</f>
        <v>Active</v>
      </c>
      <c r="R623" s="2">
        <f ca="1">IFERROR(DATEDIF(Table1[[#This Row],[Hire Date]],IF(Table1[[#This Row],[Exit Date]]="",TODAY(),Table1[[#This Row],[Exit Date]]),"Y"),"")</f>
        <v>7</v>
      </c>
      <c r="S623" t="str" cm="1">
        <f t="array" ref="S623">_xlfn.IFS(Table1[[#This Row],[Age]]&lt;30,"Under 30",Table1[[#This Row],[Age]]&lt;=40,"30-40",Table1[[#This Row],[Age]]&lt;50,"41-50",TRUE,"50+")</f>
        <v>30-40</v>
      </c>
    </row>
    <row r="624" spans="1:19" x14ac:dyDescent="0.35">
      <c r="A624" t="s">
        <v>1284</v>
      </c>
      <c r="B624" t="s">
        <v>1285</v>
      </c>
      <c r="C624" t="s">
        <v>299</v>
      </c>
      <c r="D624" t="s">
        <v>17</v>
      </c>
      <c r="E624" t="s">
        <v>35</v>
      </c>
      <c r="F624" t="s">
        <v>19</v>
      </c>
      <c r="G624" t="s">
        <v>28</v>
      </c>
      <c r="H624" s="3">
        <v>57</v>
      </c>
      <c r="I624" s="8">
        <v>41649</v>
      </c>
      <c r="J624" s="4">
        <v>74854</v>
      </c>
      <c r="K624" s="1">
        <v>0</v>
      </c>
      <c r="L624" t="s">
        <v>21</v>
      </c>
      <c r="M624" t="s">
        <v>22</v>
      </c>
      <c r="O624" s="5">
        <f t="shared" si="9"/>
        <v>0</v>
      </c>
      <c r="P624" s="6">
        <f>Table1[[#This Row],[Annual Salary]]+Table1[[#This Row],[Bonus Amount]]</f>
        <v>74854</v>
      </c>
      <c r="Q624" t="str">
        <f>IF(Table1[[#This Row],[Exit Date]]="", "Active","Exited")</f>
        <v>Active</v>
      </c>
      <c r="R624" s="2">
        <f ca="1">IFERROR(DATEDIF(Table1[[#This Row],[Hire Date]],IF(Table1[[#This Row],[Exit Date]]="",TODAY(),Table1[[#This Row],[Exit Date]]),"Y"),"")</f>
        <v>12</v>
      </c>
      <c r="S624" t="str" cm="1">
        <f t="array" ref="S624">_xlfn.IFS(Table1[[#This Row],[Age]]&lt;30,"Under 30",Table1[[#This Row],[Age]]&lt;=40,"30-40",Table1[[#This Row],[Age]]&lt;50,"41-50",TRUE,"50+")</f>
        <v>50+</v>
      </c>
    </row>
    <row r="625" spans="1:19" x14ac:dyDescent="0.35">
      <c r="A625" t="s">
        <v>1286</v>
      </c>
      <c r="B625" t="s">
        <v>1287</v>
      </c>
      <c r="C625" t="s">
        <v>79</v>
      </c>
      <c r="D625" t="s">
        <v>59</v>
      </c>
      <c r="E625" t="s">
        <v>35</v>
      </c>
      <c r="F625" t="s">
        <v>19</v>
      </c>
      <c r="G625" t="s">
        <v>36</v>
      </c>
      <c r="H625" s="3">
        <v>48</v>
      </c>
      <c r="I625" s="8">
        <v>39197</v>
      </c>
      <c r="J625" s="4">
        <v>217783</v>
      </c>
      <c r="K625" s="1">
        <v>0.36</v>
      </c>
      <c r="L625" t="s">
        <v>21</v>
      </c>
      <c r="M625" t="s">
        <v>22</v>
      </c>
      <c r="O625" s="5">
        <f t="shared" si="9"/>
        <v>78401.87999999999</v>
      </c>
      <c r="P625" s="6">
        <f>Table1[[#This Row],[Annual Salary]]+Table1[[#This Row],[Bonus Amount]]</f>
        <v>296184.88</v>
      </c>
      <c r="Q625" t="str">
        <f>IF(Table1[[#This Row],[Exit Date]]="", "Active","Exited")</f>
        <v>Active</v>
      </c>
      <c r="R625" s="2">
        <f ca="1">IFERROR(DATEDIF(Table1[[#This Row],[Hire Date]],IF(Table1[[#This Row],[Exit Date]]="",TODAY(),Table1[[#This Row],[Exit Date]]),"Y"),"")</f>
        <v>18</v>
      </c>
      <c r="S625" t="str" cm="1">
        <f t="array" ref="S625">_xlfn.IFS(Table1[[#This Row],[Age]]&lt;30,"Under 30",Table1[[#This Row],[Age]]&lt;=40,"30-40",Table1[[#This Row],[Age]]&lt;50,"41-50",TRUE,"50+")</f>
        <v>41-50</v>
      </c>
    </row>
    <row r="626" spans="1:19" x14ac:dyDescent="0.35">
      <c r="A626" t="s">
        <v>1288</v>
      </c>
      <c r="B626" t="s">
        <v>1289</v>
      </c>
      <c r="C626" t="s">
        <v>330</v>
      </c>
      <c r="D626" t="s">
        <v>17</v>
      </c>
      <c r="E626" t="s">
        <v>26</v>
      </c>
      <c r="F626" t="s">
        <v>19</v>
      </c>
      <c r="G626" t="s">
        <v>85</v>
      </c>
      <c r="H626" s="3">
        <v>53</v>
      </c>
      <c r="I626" s="8">
        <v>38214</v>
      </c>
      <c r="J626" s="4">
        <v>44735</v>
      </c>
      <c r="K626" s="1">
        <v>0</v>
      </c>
      <c r="L626" t="s">
        <v>93</v>
      </c>
      <c r="M626" t="s">
        <v>94</v>
      </c>
      <c r="O626" s="5">
        <f t="shared" si="9"/>
        <v>0</v>
      </c>
      <c r="P626" s="6">
        <f>Table1[[#This Row],[Annual Salary]]+Table1[[#This Row],[Bonus Amount]]</f>
        <v>44735</v>
      </c>
      <c r="Q626" t="str">
        <f>IF(Table1[[#This Row],[Exit Date]]="", "Active","Exited")</f>
        <v>Active</v>
      </c>
      <c r="R626" s="2">
        <f ca="1">IFERROR(DATEDIF(Table1[[#This Row],[Hire Date]],IF(Table1[[#This Row],[Exit Date]]="",TODAY(),Table1[[#This Row],[Exit Date]]),"Y"),"")</f>
        <v>21</v>
      </c>
      <c r="S626" t="str" cm="1">
        <f t="array" ref="S626">_xlfn.IFS(Table1[[#This Row],[Age]]&lt;30,"Under 30",Table1[[#This Row],[Age]]&lt;=40,"30-40",Table1[[#This Row],[Age]]&lt;50,"41-50",TRUE,"50+")</f>
        <v>50+</v>
      </c>
    </row>
    <row r="627" spans="1:19" x14ac:dyDescent="0.35">
      <c r="A627" t="s">
        <v>1290</v>
      </c>
      <c r="B627" t="s">
        <v>1291</v>
      </c>
      <c r="C627" t="s">
        <v>124</v>
      </c>
      <c r="D627" t="s">
        <v>34</v>
      </c>
      <c r="E627" t="s">
        <v>26</v>
      </c>
      <c r="F627" t="s">
        <v>19</v>
      </c>
      <c r="G627" t="s">
        <v>36</v>
      </c>
      <c r="H627" s="3">
        <v>41</v>
      </c>
      <c r="I627" s="8">
        <v>39091</v>
      </c>
      <c r="J627" s="4">
        <v>50685</v>
      </c>
      <c r="K627" s="1">
        <v>0</v>
      </c>
      <c r="L627" t="s">
        <v>21</v>
      </c>
      <c r="M627" t="s">
        <v>88</v>
      </c>
      <c r="O627" s="5">
        <f t="shared" si="9"/>
        <v>0</v>
      </c>
      <c r="P627" s="6">
        <f>Table1[[#This Row],[Annual Salary]]+Table1[[#This Row],[Bonus Amount]]</f>
        <v>50685</v>
      </c>
      <c r="Q627" t="str">
        <f>IF(Table1[[#This Row],[Exit Date]]="", "Active","Exited")</f>
        <v>Active</v>
      </c>
      <c r="R627" s="2">
        <f ca="1">IFERROR(DATEDIF(Table1[[#This Row],[Hire Date]],IF(Table1[[#This Row],[Exit Date]]="",TODAY(),Table1[[#This Row],[Exit Date]]),"Y"),"")</f>
        <v>19</v>
      </c>
      <c r="S627" t="str" cm="1">
        <f t="array" ref="S627">_xlfn.IFS(Table1[[#This Row],[Age]]&lt;30,"Under 30",Table1[[#This Row],[Age]]&lt;=40,"30-40",Table1[[#This Row],[Age]]&lt;50,"41-50",TRUE,"50+")</f>
        <v>41-50</v>
      </c>
    </row>
    <row r="628" spans="1:19" x14ac:dyDescent="0.35">
      <c r="A628" t="s">
        <v>1292</v>
      </c>
      <c r="B628" t="s">
        <v>1293</v>
      </c>
      <c r="C628" t="s">
        <v>124</v>
      </c>
      <c r="D628" t="s">
        <v>48</v>
      </c>
      <c r="E628" t="s">
        <v>18</v>
      </c>
      <c r="F628" t="s">
        <v>27</v>
      </c>
      <c r="G628" t="s">
        <v>28</v>
      </c>
      <c r="H628" s="3">
        <v>34</v>
      </c>
      <c r="I628" s="8">
        <v>43169</v>
      </c>
      <c r="J628" s="4">
        <v>58993</v>
      </c>
      <c r="K628" s="1">
        <v>0</v>
      </c>
      <c r="L628" t="s">
        <v>21</v>
      </c>
      <c r="M628" t="s">
        <v>60</v>
      </c>
      <c r="O628" s="5">
        <f t="shared" si="9"/>
        <v>0</v>
      </c>
      <c r="P628" s="6">
        <f>Table1[[#This Row],[Annual Salary]]+Table1[[#This Row],[Bonus Amount]]</f>
        <v>58993</v>
      </c>
      <c r="Q628" t="str">
        <f>IF(Table1[[#This Row],[Exit Date]]="", "Active","Exited")</f>
        <v>Active</v>
      </c>
      <c r="R628" s="2">
        <f ca="1">IFERROR(DATEDIF(Table1[[#This Row],[Hire Date]],IF(Table1[[#This Row],[Exit Date]]="",TODAY(),Table1[[#This Row],[Exit Date]]),"Y"),"")</f>
        <v>8</v>
      </c>
      <c r="S628" t="str" cm="1">
        <f t="array" ref="S628">_xlfn.IFS(Table1[[#This Row],[Age]]&lt;30,"Under 30",Table1[[#This Row],[Age]]&lt;=40,"30-40",Table1[[#This Row],[Age]]&lt;50,"41-50",TRUE,"50+")</f>
        <v>30-40</v>
      </c>
    </row>
    <row r="629" spans="1:19" x14ac:dyDescent="0.35">
      <c r="A629" t="s">
        <v>1294</v>
      </c>
      <c r="B629" t="s">
        <v>1295</v>
      </c>
      <c r="C629" t="s">
        <v>181</v>
      </c>
      <c r="D629" t="s">
        <v>69</v>
      </c>
      <c r="E629" t="s">
        <v>49</v>
      </c>
      <c r="F629" t="s">
        <v>27</v>
      </c>
      <c r="G629" t="s">
        <v>36</v>
      </c>
      <c r="H629" s="3">
        <v>47</v>
      </c>
      <c r="I629" s="8">
        <v>43990</v>
      </c>
      <c r="J629" s="4">
        <v>115765</v>
      </c>
      <c r="K629" s="1">
        <v>0</v>
      </c>
      <c r="L629" t="s">
        <v>21</v>
      </c>
      <c r="M629" t="s">
        <v>56</v>
      </c>
      <c r="N629" s="7">
        <v>44229</v>
      </c>
      <c r="O629" s="5">
        <f t="shared" si="9"/>
        <v>0</v>
      </c>
      <c r="P629" s="6">
        <f>Table1[[#This Row],[Annual Salary]]+Table1[[#This Row],[Bonus Amount]]</f>
        <v>115765</v>
      </c>
      <c r="Q629" t="str">
        <f>IF(Table1[[#This Row],[Exit Date]]="", "Active","Exited")</f>
        <v>Exited</v>
      </c>
      <c r="R629" s="2">
        <f ca="1">IFERROR(DATEDIF(Table1[[#This Row],[Hire Date]],IF(Table1[[#This Row],[Exit Date]]="",TODAY(),Table1[[#This Row],[Exit Date]]),"Y"),"")</f>
        <v>0</v>
      </c>
      <c r="S629" t="str" cm="1">
        <f t="array" ref="S629">_xlfn.IFS(Table1[[#This Row],[Age]]&lt;30,"Under 30",Table1[[#This Row],[Age]]&lt;=40,"30-40",Table1[[#This Row],[Age]]&lt;50,"41-50",TRUE,"50+")</f>
        <v>41-50</v>
      </c>
    </row>
    <row r="630" spans="1:19" x14ac:dyDescent="0.35">
      <c r="A630" t="s">
        <v>1296</v>
      </c>
      <c r="B630" t="s">
        <v>1297</v>
      </c>
      <c r="C630" t="s">
        <v>33</v>
      </c>
      <c r="D630" t="s">
        <v>59</v>
      </c>
      <c r="E630" t="s">
        <v>26</v>
      </c>
      <c r="F630" t="s">
        <v>19</v>
      </c>
      <c r="G630" t="s">
        <v>28</v>
      </c>
      <c r="H630" s="3">
        <v>63</v>
      </c>
      <c r="I630" s="8">
        <v>39147</v>
      </c>
      <c r="J630" s="4">
        <v>193044</v>
      </c>
      <c r="K630" s="1">
        <v>0.15</v>
      </c>
      <c r="L630" t="s">
        <v>21</v>
      </c>
      <c r="M630" t="s">
        <v>56</v>
      </c>
      <c r="O630" s="5">
        <f t="shared" si="9"/>
        <v>28956.6</v>
      </c>
      <c r="P630" s="6">
        <f>Table1[[#This Row],[Annual Salary]]+Table1[[#This Row],[Bonus Amount]]</f>
        <v>222000.6</v>
      </c>
      <c r="Q630" t="str">
        <f>IF(Table1[[#This Row],[Exit Date]]="", "Active","Exited")</f>
        <v>Active</v>
      </c>
      <c r="R630" s="2">
        <f ca="1">IFERROR(DATEDIF(Table1[[#This Row],[Hire Date]],IF(Table1[[#This Row],[Exit Date]]="",TODAY(),Table1[[#This Row],[Exit Date]]),"Y"),"")</f>
        <v>19</v>
      </c>
      <c r="S630" t="str" cm="1">
        <f t="array" ref="S630">_xlfn.IFS(Table1[[#This Row],[Age]]&lt;30,"Under 30",Table1[[#This Row],[Age]]&lt;=40,"30-40",Table1[[#This Row],[Age]]&lt;50,"41-50",TRUE,"50+")</f>
        <v>50+</v>
      </c>
    </row>
    <row r="631" spans="1:19" x14ac:dyDescent="0.35">
      <c r="A631" t="s">
        <v>1298</v>
      </c>
      <c r="B631" t="s">
        <v>1299</v>
      </c>
      <c r="C631" t="s">
        <v>55</v>
      </c>
      <c r="D631" t="s">
        <v>80</v>
      </c>
      <c r="E631" t="s">
        <v>18</v>
      </c>
      <c r="F631" t="s">
        <v>19</v>
      </c>
      <c r="G631" t="s">
        <v>20</v>
      </c>
      <c r="H631" s="3">
        <v>65</v>
      </c>
      <c r="I631" s="8">
        <v>40711</v>
      </c>
      <c r="J631" s="4">
        <v>56686</v>
      </c>
      <c r="K631" s="1">
        <v>0</v>
      </c>
      <c r="L631" t="s">
        <v>21</v>
      </c>
      <c r="M631" t="s">
        <v>22</v>
      </c>
      <c r="N631" s="7">
        <v>42164</v>
      </c>
      <c r="O631" s="5">
        <f t="shared" si="9"/>
        <v>0</v>
      </c>
      <c r="P631" s="6">
        <f>Table1[[#This Row],[Annual Salary]]+Table1[[#This Row],[Bonus Amount]]</f>
        <v>56686</v>
      </c>
      <c r="Q631" t="str">
        <f>IF(Table1[[#This Row],[Exit Date]]="", "Active","Exited")</f>
        <v>Exited</v>
      </c>
      <c r="R631" s="2">
        <f ca="1">IFERROR(DATEDIF(Table1[[#This Row],[Hire Date]],IF(Table1[[#This Row],[Exit Date]]="",TODAY(),Table1[[#This Row],[Exit Date]]),"Y"),"")</f>
        <v>3</v>
      </c>
      <c r="S631" t="str" cm="1">
        <f t="array" ref="S631">_xlfn.IFS(Table1[[#This Row],[Age]]&lt;30,"Under 30",Table1[[#This Row],[Age]]&lt;=40,"30-40",Table1[[#This Row],[Age]]&lt;50,"41-50",TRUE,"50+")</f>
        <v>50+</v>
      </c>
    </row>
    <row r="632" spans="1:19" x14ac:dyDescent="0.35">
      <c r="A632" t="s">
        <v>1300</v>
      </c>
      <c r="B632" t="s">
        <v>1301</v>
      </c>
      <c r="C632" t="s">
        <v>16</v>
      </c>
      <c r="D632" t="s">
        <v>34</v>
      </c>
      <c r="E632" t="s">
        <v>26</v>
      </c>
      <c r="F632" t="s">
        <v>19</v>
      </c>
      <c r="G632" t="s">
        <v>20</v>
      </c>
      <c r="H632" s="3">
        <v>33</v>
      </c>
      <c r="I632" s="8">
        <v>43763</v>
      </c>
      <c r="J632" s="4">
        <v>131652</v>
      </c>
      <c r="K632" s="1">
        <v>0.11</v>
      </c>
      <c r="L632" t="s">
        <v>21</v>
      </c>
      <c r="M632" t="s">
        <v>22</v>
      </c>
      <c r="O632" s="5">
        <f t="shared" si="9"/>
        <v>14481.72</v>
      </c>
      <c r="P632" s="6">
        <f>Table1[[#This Row],[Annual Salary]]+Table1[[#This Row],[Bonus Amount]]</f>
        <v>146133.72</v>
      </c>
      <c r="Q632" t="str">
        <f>IF(Table1[[#This Row],[Exit Date]]="", "Active","Exited")</f>
        <v>Active</v>
      </c>
      <c r="R632" s="2">
        <f ca="1">IFERROR(DATEDIF(Table1[[#This Row],[Hire Date]],IF(Table1[[#This Row],[Exit Date]]="",TODAY(),Table1[[#This Row],[Exit Date]]),"Y"),"")</f>
        <v>6</v>
      </c>
      <c r="S632" t="str" cm="1">
        <f t="array" ref="S632">_xlfn.IFS(Table1[[#This Row],[Age]]&lt;30,"Under 30",Table1[[#This Row],[Age]]&lt;=40,"30-40",Table1[[#This Row],[Age]]&lt;50,"41-50",TRUE,"50+")</f>
        <v>30-40</v>
      </c>
    </row>
    <row r="633" spans="1:19" x14ac:dyDescent="0.35">
      <c r="A633" t="s">
        <v>1302</v>
      </c>
      <c r="B633" t="s">
        <v>1303</v>
      </c>
      <c r="C633" t="s">
        <v>33</v>
      </c>
      <c r="D633" t="s">
        <v>80</v>
      </c>
      <c r="E633" t="s">
        <v>26</v>
      </c>
      <c r="F633" t="s">
        <v>19</v>
      </c>
      <c r="G633" t="s">
        <v>20</v>
      </c>
      <c r="H633" s="3">
        <v>45</v>
      </c>
      <c r="I633" s="8">
        <v>39507</v>
      </c>
      <c r="J633" s="4">
        <v>150577</v>
      </c>
      <c r="K633" s="1">
        <v>0.25</v>
      </c>
      <c r="L633" t="s">
        <v>21</v>
      </c>
      <c r="M633" t="s">
        <v>56</v>
      </c>
      <c r="O633" s="5">
        <f t="shared" si="9"/>
        <v>37644.25</v>
      </c>
      <c r="P633" s="6">
        <f>Table1[[#This Row],[Annual Salary]]+Table1[[#This Row],[Bonus Amount]]</f>
        <v>188221.25</v>
      </c>
      <c r="Q633" t="str">
        <f>IF(Table1[[#This Row],[Exit Date]]="", "Active","Exited")</f>
        <v>Active</v>
      </c>
      <c r="R633" s="2">
        <f ca="1">IFERROR(DATEDIF(Table1[[#This Row],[Hire Date]],IF(Table1[[#This Row],[Exit Date]]="",TODAY(),Table1[[#This Row],[Exit Date]]),"Y"),"")</f>
        <v>18</v>
      </c>
      <c r="S633" t="str" cm="1">
        <f t="array" ref="S633">_xlfn.IFS(Table1[[#This Row],[Age]]&lt;30,"Under 30",Table1[[#This Row],[Age]]&lt;=40,"30-40",Table1[[#This Row],[Age]]&lt;50,"41-50",TRUE,"50+")</f>
        <v>41-50</v>
      </c>
    </row>
    <row r="634" spans="1:19" x14ac:dyDescent="0.35">
      <c r="A634" t="s">
        <v>550</v>
      </c>
      <c r="B634" t="s">
        <v>1304</v>
      </c>
      <c r="C634" t="s">
        <v>113</v>
      </c>
      <c r="D634" t="s">
        <v>69</v>
      </c>
      <c r="E634" t="s">
        <v>18</v>
      </c>
      <c r="F634" t="s">
        <v>19</v>
      </c>
      <c r="G634" t="s">
        <v>85</v>
      </c>
      <c r="H634" s="3">
        <v>37</v>
      </c>
      <c r="I634" s="8">
        <v>43461</v>
      </c>
      <c r="J634" s="4">
        <v>87359</v>
      </c>
      <c r="K634" s="1">
        <v>0.11</v>
      </c>
      <c r="L634" t="s">
        <v>93</v>
      </c>
      <c r="M634" t="s">
        <v>99</v>
      </c>
      <c r="O634" s="5">
        <f t="shared" si="9"/>
        <v>9609.49</v>
      </c>
      <c r="P634" s="6">
        <f>Table1[[#This Row],[Annual Salary]]+Table1[[#This Row],[Bonus Amount]]</f>
        <v>96968.49</v>
      </c>
      <c r="Q634" t="str">
        <f>IF(Table1[[#This Row],[Exit Date]]="", "Active","Exited")</f>
        <v>Active</v>
      </c>
      <c r="R634" s="2">
        <f ca="1">IFERROR(DATEDIF(Table1[[#This Row],[Hire Date]],IF(Table1[[#This Row],[Exit Date]]="",TODAY(),Table1[[#This Row],[Exit Date]]),"Y"),"")</f>
        <v>7</v>
      </c>
      <c r="S634" t="str" cm="1">
        <f t="array" ref="S634">_xlfn.IFS(Table1[[#This Row],[Age]]&lt;30,"Under 30",Table1[[#This Row],[Age]]&lt;=40,"30-40",Table1[[#This Row],[Age]]&lt;50,"41-50",TRUE,"50+")</f>
        <v>30-40</v>
      </c>
    </row>
    <row r="635" spans="1:19" x14ac:dyDescent="0.35">
      <c r="A635" t="s">
        <v>1305</v>
      </c>
      <c r="B635" t="s">
        <v>1306</v>
      </c>
      <c r="C635" t="s">
        <v>124</v>
      </c>
      <c r="D635" t="s">
        <v>48</v>
      </c>
      <c r="E635" t="s">
        <v>35</v>
      </c>
      <c r="F635" t="s">
        <v>19</v>
      </c>
      <c r="G635" t="s">
        <v>28</v>
      </c>
      <c r="H635" s="3">
        <v>60</v>
      </c>
      <c r="I635" s="8">
        <v>41647</v>
      </c>
      <c r="J635" s="4">
        <v>51877</v>
      </c>
      <c r="K635" s="1">
        <v>0</v>
      </c>
      <c r="L635" t="s">
        <v>29</v>
      </c>
      <c r="M635" t="s">
        <v>114</v>
      </c>
      <c r="O635" s="5">
        <f t="shared" si="9"/>
        <v>0</v>
      </c>
      <c r="P635" s="6">
        <f>Table1[[#This Row],[Annual Salary]]+Table1[[#This Row],[Bonus Amount]]</f>
        <v>51877</v>
      </c>
      <c r="Q635" t="str">
        <f>IF(Table1[[#This Row],[Exit Date]]="", "Active","Exited")</f>
        <v>Active</v>
      </c>
      <c r="R635" s="2">
        <f ca="1">IFERROR(DATEDIF(Table1[[#This Row],[Hire Date]],IF(Table1[[#This Row],[Exit Date]]="",TODAY(),Table1[[#This Row],[Exit Date]]),"Y"),"")</f>
        <v>12</v>
      </c>
      <c r="S635" t="str" cm="1">
        <f t="array" ref="S635">_xlfn.IFS(Table1[[#This Row],[Age]]&lt;30,"Under 30",Table1[[#This Row],[Age]]&lt;=40,"30-40",Table1[[#This Row],[Age]]&lt;50,"41-50",TRUE,"50+")</f>
        <v>50+</v>
      </c>
    </row>
    <row r="636" spans="1:19" x14ac:dyDescent="0.35">
      <c r="A636" t="s">
        <v>269</v>
      </c>
      <c r="B636" t="s">
        <v>1307</v>
      </c>
      <c r="C636" t="s">
        <v>372</v>
      </c>
      <c r="D636" t="s">
        <v>17</v>
      </c>
      <c r="E636" t="s">
        <v>26</v>
      </c>
      <c r="F636" t="s">
        <v>27</v>
      </c>
      <c r="G636" t="s">
        <v>28</v>
      </c>
      <c r="H636" s="3">
        <v>43</v>
      </c>
      <c r="I636" s="8">
        <v>42753</v>
      </c>
      <c r="J636" s="4">
        <v>86417</v>
      </c>
      <c r="K636" s="1">
        <v>0</v>
      </c>
      <c r="L636" t="s">
        <v>21</v>
      </c>
      <c r="M636" t="s">
        <v>37</v>
      </c>
      <c r="O636" s="5">
        <f t="shared" si="9"/>
        <v>0</v>
      </c>
      <c r="P636" s="6">
        <f>Table1[[#This Row],[Annual Salary]]+Table1[[#This Row],[Bonus Amount]]</f>
        <v>86417</v>
      </c>
      <c r="Q636" t="str">
        <f>IF(Table1[[#This Row],[Exit Date]]="", "Active","Exited")</f>
        <v>Active</v>
      </c>
      <c r="R636" s="2">
        <f ca="1">IFERROR(DATEDIF(Table1[[#This Row],[Hire Date]],IF(Table1[[#This Row],[Exit Date]]="",TODAY(),Table1[[#This Row],[Exit Date]]),"Y"),"")</f>
        <v>9</v>
      </c>
      <c r="S636" t="str" cm="1">
        <f t="array" ref="S636">_xlfn.IFS(Table1[[#This Row],[Age]]&lt;30,"Under 30",Table1[[#This Row],[Age]]&lt;=40,"30-40",Table1[[#This Row],[Age]]&lt;50,"41-50",TRUE,"50+")</f>
        <v>41-50</v>
      </c>
    </row>
    <row r="637" spans="1:19" x14ac:dyDescent="0.35">
      <c r="A637" t="s">
        <v>1308</v>
      </c>
      <c r="B637" t="s">
        <v>1309</v>
      </c>
      <c r="C637" t="s">
        <v>299</v>
      </c>
      <c r="D637" t="s">
        <v>17</v>
      </c>
      <c r="E637" t="s">
        <v>18</v>
      </c>
      <c r="F637" t="s">
        <v>19</v>
      </c>
      <c r="G637" t="s">
        <v>28</v>
      </c>
      <c r="H637" s="3">
        <v>65</v>
      </c>
      <c r="I637" s="8">
        <v>37749</v>
      </c>
      <c r="J637" s="4">
        <v>96548</v>
      </c>
      <c r="K637" s="1">
        <v>0</v>
      </c>
      <c r="L637" t="s">
        <v>21</v>
      </c>
      <c r="M637" t="s">
        <v>60</v>
      </c>
      <c r="O637" s="5">
        <f t="shared" si="9"/>
        <v>0</v>
      </c>
      <c r="P637" s="6">
        <f>Table1[[#This Row],[Annual Salary]]+Table1[[#This Row],[Bonus Amount]]</f>
        <v>96548</v>
      </c>
      <c r="Q637" t="str">
        <f>IF(Table1[[#This Row],[Exit Date]]="", "Active","Exited")</f>
        <v>Active</v>
      </c>
      <c r="R637" s="2">
        <f ca="1">IFERROR(DATEDIF(Table1[[#This Row],[Hire Date]],IF(Table1[[#This Row],[Exit Date]]="",TODAY(),Table1[[#This Row],[Exit Date]]),"Y"),"")</f>
        <v>22</v>
      </c>
      <c r="S637" t="str" cm="1">
        <f t="array" ref="S637">_xlfn.IFS(Table1[[#This Row],[Age]]&lt;30,"Under 30",Table1[[#This Row],[Age]]&lt;=40,"30-40",Table1[[#This Row],[Age]]&lt;50,"41-50",TRUE,"50+")</f>
        <v>50+</v>
      </c>
    </row>
    <row r="638" spans="1:19" x14ac:dyDescent="0.35">
      <c r="A638" t="s">
        <v>1310</v>
      </c>
      <c r="B638" t="s">
        <v>1311</v>
      </c>
      <c r="C638" t="s">
        <v>43</v>
      </c>
      <c r="D638" t="s">
        <v>59</v>
      </c>
      <c r="E638" t="s">
        <v>26</v>
      </c>
      <c r="F638" t="s">
        <v>19</v>
      </c>
      <c r="G638" t="s">
        <v>28</v>
      </c>
      <c r="H638" s="3">
        <v>43</v>
      </c>
      <c r="I638" s="8">
        <v>41662</v>
      </c>
      <c r="J638" s="4">
        <v>92940</v>
      </c>
      <c r="K638" s="1">
        <v>0</v>
      </c>
      <c r="L638" t="s">
        <v>29</v>
      </c>
      <c r="M638" t="s">
        <v>134</v>
      </c>
      <c r="O638" s="5">
        <f t="shared" si="9"/>
        <v>0</v>
      </c>
      <c r="P638" s="6">
        <f>Table1[[#This Row],[Annual Salary]]+Table1[[#This Row],[Bonus Amount]]</f>
        <v>92940</v>
      </c>
      <c r="Q638" t="str">
        <f>IF(Table1[[#This Row],[Exit Date]]="", "Active","Exited")</f>
        <v>Active</v>
      </c>
      <c r="R638" s="2">
        <f ca="1">IFERROR(DATEDIF(Table1[[#This Row],[Hire Date]],IF(Table1[[#This Row],[Exit Date]]="",TODAY(),Table1[[#This Row],[Exit Date]]),"Y"),"")</f>
        <v>12</v>
      </c>
      <c r="S638" t="str" cm="1">
        <f t="array" ref="S638">_xlfn.IFS(Table1[[#This Row],[Age]]&lt;30,"Under 30",Table1[[#This Row],[Age]]&lt;=40,"30-40",Table1[[#This Row],[Age]]&lt;50,"41-50",TRUE,"50+")</f>
        <v>41-50</v>
      </c>
    </row>
    <row r="639" spans="1:19" x14ac:dyDescent="0.35">
      <c r="A639" t="s">
        <v>971</v>
      </c>
      <c r="B639" t="s">
        <v>1312</v>
      </c>
      <c r="C639" t="s">
        <v>124</v>
      </c>
      <c r="D639" t="s">
        <v>59</v>
      </c>
      <c r="E639" t="s">
        <v>35</v>
      </c>
      <c r="F639" t="s">
        <v>27</v>
      </c>
      <c r="G639" t="s">
        <v>28</v>
      </c>
      <c r="H639" s="3">
        <v>28</v>
      </c>
      <c r="I639" s="8">
        <v>43336</v>
      </c>
      <c r="J639" s="4">
        <v>61410</v>
      </c>
      <c r="K639" s="1">
        <v>0</v>
      </c>
      <c r="L639" t="s">
        <v>21</v>
      </c>
      <c r="M639" t="s">
        <v>44</v>
      </c>
      <c r="O639" s="5">
        <f t="shared" si="9"/>
        <v>0</v>
      </c>
      <c r="P639" s="6">
        <f>Table1[[#This Row],[Annual Salary]]+Table1[[#This Row],[Bonus Amount]]</f>
        <v>61410</v>
      </c>
      <c r="Q639" t="str">
        <f>IF(Table1[[#This Row],[Exit Date]]="", "Active","Exited")</f>
        <v>Active</v>
      </c>
      <c r="R639" s="2">
        <f ca="1">IFERROR(DATEDIF(Table1[[#This Row],[Hire Date]],IF(Table1[[#This Row],[Exit Date]]="",TODAY(),Table1[[#This Row],[Exit Date]]),"Y"),"")</f>
        <v>7</v>
      </c>
      <c r="S639" t="str" cm="1">
        <f t="array" ref="S639">_xlfn.IFS(Table1[[#This Row],[Age]]&lt;30,"Under 30",Table1[[#This Row],[Age]]&lt;=40,"30-40",Table1[[#This Row],[Age]]&lt;50,"41-50",TRUE,"50+")</f>
        <v>Under 30</v>
      </c>
    </row>
    <row r="640" spans="1:19" x14ac:dyDescent="0.35">
      <c r="A640" t="s">
        <v>1313</v>
      </c>
      <c r="B640" t="s">
        <v>1314</v>
      </c>
      <c r="C640" t="s">
        <v>52</v>
      </c>
      <c r="D640" t="s">
        <v>34</v>
      </c>
      <c r="E640" t="s">
        <v>35</v>
      </c>
      <c r="F640" t="s">
        <v>19</v>
      </c>
      <c r="G640" t="s">
        <v>20</v>
      </c>
      <c r="H640" s="3">
        <v>61</v>
      </c>
      <c r="I640" s="8">
        <v>40293</v>
      </c>
      <c r="J640" s="4">
        <v>110302</v>
      </c>
      <c r="K640" s="1">
        <v>0.06</v>
      </c>
      <c r="L640" t="s">
        <v>21</v>
      </c>
      <c r="M640" t="s">
        <v>56</v>
      </c>
      <c r="O640" s="5">
        <f t="shared" si="9"/>
        <v>6618.12</v>
      </c>
      <c r="P640" s="6">
        <f>Table1[[#This Row],[Annual Salary]]+Table1[[#This Row],[Bonus Amount]]</f>
        <v>116920.12</v>
      </c>
      <c r="Q640" t="str">
        <f>IF(Table1[[#This Row],[Exit Date]]="", "Active","Exited")</f>
        <v>Active</v>
      </c>
      <c r="R640" s="2">
        <f ca="1">IFERROR(DATEDIF(Table1[[#This Row],[Hire Date]],IF(Table1[[#This Row],[Exit Date]]="",TODAY(),Table1[[#This Row],[Exit Date]]),"Y"),"")</f>
        <v>15</v>
      </c>
      <c r="S640" t="str" cm="1">
        <f t="array" ref="S640">_xlfn.IFS(Table1[[#This Row],[Age]]&lt;30,"Under 30",Table1[[#This Row],[Age]]&lt;=40,"30-40",Table1[[#This Row],[Age]]&lt;50,"41-50",TRUE,"50+")</f>
        <v>50+</v>
      </c>
    </row>
    <row r="641" spans="1:19" x14ac:dyDescent="0.35">
      <c r="A641" t="s">
        <v>1315</v>
      </c>
      <c r="B641" t="s">
        <v>1316</v>
      </c>
      <c r="C641" t="s">
        <v>33</v>
      </c>
      <c r="D641" t="s">
        <v>69</v>
      </c>
      <c r="E641" t="s">
        <v>35</v>
      </c>
      <c r="F641" t="s">
        <v>19</v>
      </c>
      <c r="G641" t="s">
        <v>20</v>
      </c>
      <c r="H641" s="3">
        <v>45</v>
      </c>
      <c r="I641" s="8">
        <v>43212</v>
      </c>
      <c r="J641" s="4">
        <v>187205</v>
      </c>
      <c r="K641" s="1">
        <v>0.24</v>
      </c>
      <c r="L641" t="s">
        <v>21</v>
      </c>
      <c r="M641" t="s">
        <v>88</v>
      </c>
      <c r="N641" s="7">
        <v>44732</v>
      </c>
      <c r="O641" s="5">
        <f t="shared" si="9"/>
        <v>44929.2</v>
      </c>
      <c r="P641" s="6">
        <f>Table1[[#This Row],[Annual Salary]]+Table1[[#This Row],[Bonus Amount]]</f>
        <v>232134.2</v>
      </c>
      <c r="Q641" t="str">
        <f>IF(Table1[[#This Row],[Exit Date]]="", "Active","Exited")</f>
        <v>Exited</v>
      </c>
      <c r="R641" s="2">
        <f ca="1">IFERROR(DATEDIF(Table1[[#This Row],[Hire Date]],IF(Table1[[#This Row],[Exit Date]]="",TODAY(),Table1[[#This Row],[Exit Date]]),"Y"),"")</f>
        <v>4</v>
      </c>
      <c r="S641" t="str" cm="1">
        <f t="array" ref="S641">_xlfn.IFS(Table1[[#This Row],[Age]]&lt;30,"Under 30",Table1[[#This Row],[Age]]&lt;=40,"30-40",Table1[[#This Row],[Age]]&lt;50,"41-50",TRUE,"50+")</f>
        <v>41-50</v>
      </c>
    </row>
    <row r="642" spans="1:19" x14ac:dyDescent="0.35">
      <c r="A642" t="s">
        <v>1317</v>
      </c>
      <c r="B642" t="s">
        <v>1318</v>
      </c>
      <c r="C642" t="s">
        <v>43</v>
      </c>
      <c r="D642" t="s">
        <v>48</v>
      </c>
      <c r="E642" t="s">
        <v>49</v>
      </c>
      <c r="F642" t="s">
        <v>27</v>
      </c>
      <c r="G642" t="s">
        <v>36</v>
      </c>
      <c r="H642" s="3">
        <v>45</v>
      </c>
      <c r="I642" s="8">
        <v>40618</v>
      </c>
      <c r="J642" s="4">
        <v>81687</v>
      </c>
      <c r="K642" s="1">
        <v>0</v>
      </c>
      <c r="L642" t="s">
        <v>21</v>
      </c>
      <c r="M642" t="s">
        <v>44</v>
      </c>
      <c r="O642" s="5">
        <f t="shared" si="9"/>
        <v>0</v>
      </c>
      <c r="P642" s="6">
        <f>Table1[[#This Row],[Annual Salary]]+Table1[[#This Row],[Bonus Amount]]</f>
        <v>81687</v>
      </c>
      <c r="Q642" t="str">
        <f>IF(Table1[[#This Row],[Exit Date]]="", "Active","Exited")</f>
        <v>Active</v>
      </c>
      <c r="R642" s="2">
        <f ca="1">IFERROR(DATEDIF(Table1[[#This Row],[Hire Date]],IF(Table1[[#This Row],[Exit Date]]="",TODAY(),Table1[[#This Row],[Exit Date]]),"Y"),"")</f>
        <v>15</v>
      </c>
      <c r="S642" t="str" cm="1">
        <f t="array" ref="S642">_xlfn.IFS(Table1[[#This Row],[Age]]&lt;30,"Under 30",Table1[[#This Row],[Age]]&lt;=40,"30-40",Table1[[#This Row],[Age]]&lt;50,"41-50",TRUE,"50+")</f>
        <v>41-50</v>
      </c>
    </row>
    <row r="643" spans="1:19" x14ac:dyDescent="0.35">
      <c r="A643" t="s">
        <v>1319</v>
      </c>
      <c r="B643" t="s">
        <v>1320</v>
      </c>
      <c r="C643" t="s">
        <v>79</v>
      </c>
      <c r="D643" t="s">
        <v>17</v>
      </c>
      <c r="E643" t="s">
        <v>35</v>
      </c>
      <c r="F643" t="s">
        <v>27</v>
      </c>
      <c r="G643" t="s">
        <v>85</v>
      </c>
      <c r="H643" s="3">
        <v>54</v>
      </c>
      <c r="I643" s="8">
        <v>40040</v>
      </c>
      <c r="J643" s="4">
        <v>241083</v>
      </c>
      <c r="K643" s="1">
        <v>0.39</v>
      </c>
      <c r="L643" t="s">
        <v>21</v>
      </c>
      <c r="M643" t="s">
        <v>88</v>
      </c>
      <c r="O643" s="5">
        <f t="shared" ref="O643:O706" si="10">J643*K643</f>
        <v>94022.37000000001</v>
      </c>
      <c r="P643" s="6">
        <f>Table1[[#This Row],[Annual Salary]]+Table1[[#This Row],[Bonus Amount]]</f>
        <v>335105.37</v>
      </c>
      <c r="Q643" t="str">
        <f>IF(Table1[[#This Row],[Exit Date]]="", "Active","Exited")</f>
        <v>Active</v>
      </c>
      <c r="R643" s="2">
        <f ca="1">IFERROR(DATEDIF(Table1[[#This Row],[Hire Date]],IF(Table1[[#This Row],[Exit Date]]="",TODAY(),Table1[[#This Row],[Exit Date]]),"Y"),"")</f>
        <v>16</v>
      </c>
      <c r="S643" t="str" cm="1">
        <f t="array" ref="S643">_xlfn.IFS(Table1[[#This Row],[Age]]&lt;30,"Under 30",Table1[[#This Row],[Age]]&lt;=40,"30-40",Table1[[#This Row],[Age]]&lt;50,"41-50",TRUE,"50+")</f>
        <v>50+</v>
      </c>
    </row>
    <row r="644" spans="1:19" x14ac:dyDescent="0.35">
      <c r="A644" t="s">
        <v>1321</v>
      </c>
      <c r="B644" t="s">
        <v>1322</v>
      </c>
      <c r="C644" t="s">
        <v>79</v>
      </c>
      <c r="D644" t="s">
        <v>34</v>
      </c>
      <c r="E644" t="s">
        <v>35</v>
      </c>
      <c r="F644" t="s">
        <v>19</v>
      </c>
      <c r="G644" t="s">
        <v>20</v>
      </c>
      <c r="H644" s="3">
        <v>38</v>
      </c>
      <c r="I644" s="8">
        <v>43413</v>
      </c>
      <c r="J644" s="4">
        <v>223805</v>
      </c>
      <c r="K644" s="1">
        <v>0.36</v>
      </c>
      <c r="L644" t="s">
        <v>21</v>
      </c>
      <c r="M644" t="s">
        <v>37</v>
      </c>
      <c r="O644" s="5">
        <f t="shared" si="10"/>
        <v>80569.8</v>
      </c>
      <c r="P644" s="6">
        <f>Table1[[#This Row],[Annual Salary]]+Table1[[#This Row],[Bonus Amount]]</f>
        <v>304374.8</v>
      </c>
      <c r="Q644" t="str">
        <f>IF(Table1[[#This Row],[Exit Date]]="", "Active","Exited")</f>
        <v>Active</v>
      </c>
      <c r="R644" s="2">
        <f ca="1">IFERROR(DATEDIF(Table1[[#This Row],[Hire Date]],IF(Table1[[#This Row],[Exit Date]]="",TODAY(),Table1[[#This Row],[Exit Date]]),"Y"),"")</f>
        <v>7</v>
      </c>
      <c r="S644" t="str" cm="1">
        <f t="array" ref="S644">_xlfn.IFS(Table1[[#This Row],[Age]]&lt;30,"Under 30",Table1[[#This Row],[Age]]&lt;=40,"30-40",Table1[[#This Row],[Age]]&lt;50,"41-50",TRUE,"50+")</f>
        <v>30-40</v>
      </c>
    </row>
    <row r="645" spans="1:19" x14ac:dyDescent="0.35">
      <c r="A645" t="s">
        <v>1323</v>
      </c>
      <c r="B645" t="s">
        <v>1324</v>
      </c>
      <c r="C645" t="s">
        <v>33</v>
      </c>
      <c r="D645" t="s">
        <v>59</v>
      </c>
      <c r="E645" t="s">
        <v>49</v>
      </c>
      <c r="F645" t="s">
        <v>19</v>
      </c>
      <c r="G645" t="s">
        <v>36</v>
      </c>
      <c r="H645" s="3">
        <v>27</v>
      </c>
      <c r="I645" s="8">
        <v>44393</v>
      </c>
      <c r="J645" s="4">
        <v>161759</v>
      </c>
      <c r="K645" s="1">
        <v>0.16</v>
      </c>
      <c r="L645" t="s">
        <v>21</v>
      </c>
      <c r="M645" t="s">
        <v>56</v>
      </c>
      <c r="O645" s="5">
        <f t="shared" si="10"/>
        <v>25881.440000000002</v>
      </c>
      <c r="P645" s="6">
        <f>Table1[[#This Row],[Annual Salary]]+Table1[[#This Row],[Bonus Amount]]</f>
        <v>187640.44</v>
      </c>
      <c r="Q645" t="str">
        <f>IF(Table1[[#This Row],[Exit Date]]="", "Active","Exited")</f>
        <v>Active</v>
      </c>
      <c r="R645" s="2">
        <f ca="1">IFERROR(DATEDIF(Table1[[#This Row],[Hire Date]],IF(Table1[[#This Row],[Exit Date]]="",TODAY(),Table1[[#This Row],[Exit Date]]),"Y"),"")</f>
        <v>4</v>
      </c>
      <c r="S645" t="str" cm="1">
        <f t="array" ref="S645">_xlfn.IFS(Table1[[#This Row],[Age]]&lt;30,"Under 30",Table1[[#This Row],[Age]]&lt;=40,"30-40",Table1[[#This Row],[Age]]&lt;50,"41-50",TRUE,"50+")</f>
        <v>Under 30</v>
      </c>
    </row>
    <row r="646" spans="1:19" x14ac:dyDescent="0.35">
      <c r="A646" t="s">
        <v>1325</v>
      </c>
      <c r="B646" t="s">
        <v>1326</v>
      </c>
      <c r="C646" t="s">
        <v>40</v>
      </c>
      <c r="D646" t="s">
        <v>17</v>
      </c>
      <c r="E646" t="s">
        <v>18</v>
      </c>
      <c r="F646" t="s">
        <v>27</v>
      </c>
      <c r="G646" t="s">
        <v>20</v>
      </c>
      <c r="H646" s="3">
        <v>40</v>
      </c>
      <c r="I646" s="8">
        <v>43520</v>
      </c>
      <c r="J646" s="4">
        <v>95899</v>
      </c>
      <c r="K646" s="1">
        <v>0.1</v>
      </c>
      <c r="L646" t="s">
        <v>21</v>
      </c>
      <c r="M646" t="s">
        <v>88</v>
      </c>
      <c r="N646" s="7">
        <v>44263</v>
      </c>
      <c r="O646" s="5">
        <f t="shared" si="10"/>
        <v>9589.9</v>
      </c>
      <c r="P646" s="6">
        <f>Table1[[#This Row],[Annual Salary]]+Table1[[#This Row],[Bonus Amount]]</f>
        <v>105488.9</v>
      </c>
      <c r="Q646" t="str">
        <f>IF(Table1[[#This Row],[Exit Date]]="", "Active","Exited")</f>
        <v>Exited</v>
      </c>
      <c r="R646" s="2">
        <f ca="1">IFERROR(DATEDIF(Table1[[#This Row],[Hire Date]],IF(Table1[[#This Row],[Exit Date]]="",TODAY(),Table1[[#This Row],[Exit Date]]),"Y"),"")</f>
        <v>2</v>
      </c>
      <c r="S646" t="str" cm="1">
        <f t="array" ref="S646">_xlfn.IFS(Table1[[#This Row],[Age]]&lt;30,"Under 30",Table1[[#This Row],[Age]]&lt;=40,"30-40",Table1[[#This Row],[Age]]&lt;50,"41-50",TRUE,"50+")</f>
        <v>30-40</v>
      </c>
    </row>
    <row r="647" spans="1:19" x14ac:dyDescent="0.35">
      <c r="A647" t="s">
        <v>1327</v>
      </c>
      <c r="B647" t="s">
        <v>1328</v>
      </c>
      <c r="C647" t="s">
        <v>43</v>
      </c>
      <c r="D647" t="s">
        <v>34</v>
      </c>
      <c r="E647" t="s">
        <v>49</v>
      </c>
      <c r="F647" t="s">
        <v>27</v>
      </c>
      <c r="G647" t="s">
        <v>28</v>
      </c>
      <c r="H647" s="3">
        <v>49</v>
      </c>
      <c r="I647" s="8">
        <v>43623</v>
      </c>
      <c r="J647" s="4">
        <v>80700</v>
      </c>
      <c r="K647" s="1">
        <v>0</v>
      </c>
      <c r="L647" t="s">
        <v>21</v>
      </c>
      <c r="M647" t="s">
        <v>88</v>
      </c>
      <c r="O647" s="5">
        <f t="shared" si="10"/>
        <v>0</v>
      </c>
      <c r="P647" s="6">
        <f>Table1[[#This Row],[Annual Salary]]+Table1[[#This Row],[Bonus Amount]]</f>
        <v>80700</v>
      </c>
      <c r="Q647" t="str">
        <f>IF(Table1[[#This Row],[Exit Date]]="", "Active","Exited")</f>
        <v>Active</v>
      </c>
      <c r="R647" s="2">
        <f ca="1">IFERROR(DATEDIF(Table1[[#This Row],[Hire Date]],IF(Table1[[#This Row],[Exit Date]]="",TODAY(),Table1[[#This Row],[Exit Date]]),"Y"),"")</f>
        <v>6</v>
      </c>
      <c r="S647" t="str" cm="1">
        <f t="array" ref="S647">_xlfn.IFS(Table1[[#This Row],[Age]]&lt;30,"Under 30",Table1[[#This Row],[Age]]&lt;=40,"30-40",Table1[[#This Row],[Age]]&lt;50,"41-50",TRUE,"50+")</f>
        <v>41-50</v>
      </c>
    </row>
    <row r="648" spans="1:19" x14ac:dyDescent="0.35">
      <c r="A648" t="s">
        <v>773</v>
      </c>
      <c r="B648" t="s">
        <v>1329</v>
      </c>
      <c r="C648" t="s">
        <v>52</v>
      </c>
      <c r="D648" t="s">
        <v>65</v>
      </c>
      <c r="E648" t="s">
        <v>35</v>
      </c>
      <c r="F648" t="s">
        <v>27</v>
      </c>
      <c r="G648" t="s">
        <v>28</v>
      </c>
      <c r="H648" s="3">
        <v>54</v>
      </c>
      <c r="I648" s="8">
        <v>35500</v>
      </c>
      <c r="J648" s="4">
        <v>128136</v>
      </c>
      <c r="K648" s="1">
        <v>0.05</v>
      </c>
      <c r="L648" t="s">
        <v>29</v>
      </c>
      <c r="M648" t="s">
        <v>114</v>
      </c>
      <c r="O648" s="5">
        <f t="shared" si="10"/>
        <v>6406.8</v>
      </c>
      <c r="P648" s="6">
        <f>Table1[[#This Row],[Annual Salary]]+Table1[[#This Row],[Bonus Amount]]</f>
        <v>134542.79999999999</v>
      </c>
      <c r="Q648" t="str">
        <f>IF(Table1[[#This Row],[Exit Date]]="", "Active","Exited")</f>
        <v>Active</v>
      </c>
      <c r="R648" s="2">
        <f ca="1">IFERROR(DATEDIF(Table1[[#This Row],[Hire Date]],IF(Table1[[#This Row],[Exit Date]]="",TODAY(),Table1[[#This Row],[Exit Date]]),"Y"),"")</f>
        <v>29</v>
      </c>
      <c r="S648" t="str" cm="1">
        <f t="array" ref="S648">_xlfn.IFS(Table1[[#This Row],[Age]]&lt;30,"Under 30",Table1[[#This Row],[Age]]&lt;=40,"30-40",Table1[[#This Row],[Age]]&lt;50,"41-50",TRUE,"50+")</f>
        <v>50+</v>
      </c>
    </row>
    <row r="649" spans="1:19" x14ac:dyDescent="0.35">
      <c r="A649" t="s">
        <v>1330</v>
      </c>
      <c r="B649" t="s">
        <v>1331</v>
      </c>
      <c r="C649" t="s">
        <v>124</v>
      </c>
      <c r="D649" t="s">
        <v>80</v>
      </c>
      <c r="E649" t="s">
        <v>49</v>
      </c>
      <c r="F649" t="s">
        <v>19</v>
      </c>
      <c r="G649" t="s">
        <v>36</v>
      </c>
      <c r="H649" s="3">
        <v>39</v>
      </c>
      <c r="I649" s="8">
        <v>42843</v>
      </c>
      <c r="J649" s="4">
        <v>58745</v>
      </c>
      <c r="K649" s="1">
        <v>0</v>
      </c>
      <c r="L649" t="s">
        <v>21</v>
      </c>
      <c r="M649" t="s">
        <v>60</v>
      </c>
      <c r="O649" s="5">
        <f t="shared" si="10"/>
        <v>0</v>
      </c>
      <c r="P649" s="6">
        <f>Table1[[#This Row],[Annual Salary]]+Table1[[#This Row],[Bonus Amount]]</f>
        <v>58745</v>
      </c>
      <c r="Q649" t="str">
        <f>IF(Table1[[#This Row],[Exit Date]]="", "Active","Exited")</f>
        <v>Active</v>
      </c>
      <c r="R649" s="2">
        <f ca="1">IFERROR(DATEDIF(Table1[[#This Row],[Hire Date]],IF(Table1[[#This Row],[Exit Date]]="",TODAY(),Table1[[#This Row],[Exit Date]]),"Y"),"")</f>
        <v>8</v>
      </c>
      <c r="S649" t="str" cm="1">
        <f t="array" ref="S649">_xlfn.IFS(Table1[[#This Row],[Age]]&lt;30,"Under 30",Table1[[#This Row],[Age]]&lt;=40,"30-40",Table1[[#This Row],[Age]]&lt;50,"41-50",TRUE,"50+")</f>
        <v>30-40</v>
      </c>
    </row>
    <row r="650" spans="1:19" x14ac:dyDescent="0.35">
      <c r="A650" t="s">
        <v>1332</v>
      </c>
      <c r="B650" t="s">
        <v>1333</v>
      </c>
      <c r="C650" t="s">
        <v>25</v>
      </c>
      <c r="D650" t="s">
        <v>17</v>
      </c>
      <c r="E650" t="s">
        <v>49</v>
      </c>
      <c r="F650" t="s">
        <v>19</v>
      </c>
      <c r="G650" t="s">
        <v>28</v>
      </c>
      <c r="H650" s="3">
        <v>57</v>
      </c>
      <c r="I650" s="8">
        <v>33728</v>
      </c>
      <c r="J650" s="4">
        <v>76202</v>
      </c>
      <c r="K650" s="1">
        <v>0</v>
      </c>
      <c r="L650" t="s">
        <v>21</v>
      </c>
      <c r="M650" t="s">
        <v>60</v>
      </c>
      <c r="N650" s="7">
        <v>34686</v>
      </c>
      <c r="O650" s="5">
        <f t="shared" si="10"/>
        <v>0</v>
      </c>
      <c r="P650" s="6">
        <f>Table1[[#This Row],[Annual Salary]]+Table1[[#This Row],[Bonus Amount]]</f>
        <v>76202</v>
      </c>
      <c r="Q650" t="str">
        <f>IF(Table1[[#This Row],[Exit Date]]="", "Active","Exited")</f>
        <v>Exited</v>
      </c>
      <c r="R650" s="2">
        <f ca="1">IFERROR(DATEDIF(Table1[[#This Row],[Hire Date]],IF(Table1[[#This Row],[Exit Date]]="",TODAY(),Table1[[#This Row],[Exit Date]]),"Y"),"")</f>
        <v>2</v>
      </c>
      <c r="S650" t="str" cm="1">
        <f t="array" ref="S650">_xlfn.IFS(Table1[[#This Row],[Age]]&lt;30,"Under 30",Table1[[#This Row],[Age]]&lt;=40,"30-40",Table1[[#This Row],[Age]]&lt;50,"41-50",TRUE,"50+")</f>
        <v>50+</v>
      </c>
    </row>
    <row r="651" spans="1:19" x14ac:dyDescent="0.35">
      <c r="A651" t="s">
        <v>1334</v>
      </c>
      <c r="B651" t="s">
        <v>1335</v>
      </c>
      <c r="C651" t="s">
        <v>79</v>
      </c>
      <c r="D651" t="s">
        <v>48</v>
      </c>
      <c r="E651" t="s">
        <v>35</v>
      </c>
      <c r="F651" t="s">
        <v>27</v>
      </c>
      <c r="G651" t="s">
        <v>20</v>
      </c>
      <c r="H651" s="3">
        <v>36</v>
      </c>
      <c r="I651" s="8">
        <v>43178</v>
      </c>
      <c r="J651" s="4">
        <v>195200</v>
      </c>
      <c r="K651" s="1">
        <v>0.36</v>
      </c>
      <c r="L651" t="s">
        <v>21</v>
      </c>
      <c r="M651" t="s">
        <v>60</v>
      </c>
      <c r="O651" s="5">
        <f t="shared" si="10"/>
        <v>70272</v>
      </c>
      <c r="P651" s="6">
        <f>Table1[[#This Row],[Annual Salary]]+Table1[[#This Row],[Bonus Amount]]</f>
        <v>265472</v>
      </c>
      <c r="Q651" t="str">
        <f>IF(Table1[[#This Row],[Exit Date]]="", "Active","Exited")</f>
        <v>Active</v>
      </c>
      <c r="R651" s="2">
        <f ca="1">IFERROR(DATEDIF(Table1[[#This Row],[Hire Date]],IF(Table1[[#This Row],[Exit Date]]="",TODAY(),Table1[[#This Row],[Exit Date]]),"Y"),"")</f>
        <v>8</v>
      </c>
      <c r="S651" t="str" cm="1">
        <f t="array" ref="S651">_xlfn.IFS(Table1[[#This Row],[Age]]&lt;30,"Under 30",Table1[[#This Row],[Age]]&lt;=40,"30-40",Table1[[#This Row],[Age]]&lt;50,"41-50",TRUE,"50+")</f>
        <v>30-40</v>
      </c>
    </row>
    <row r="652" spans="1:19" x14ac:dyDescent="0.35">
      <c r="A652" t="s">
        <v>1336</v>
      </c>
      <c r="B652" t="s">
        <v>1337</v>
      </c>
      <c r="C652" t="s">
        <v>124</v>
      </c>
      <c r="D652" t="s">
        <v>34</v>
      </c>
      <c r="E652" t="s">
        <v>26</v>
      </c>
      <c r="F652" t="s">
        <v>19</v>
      </c>
      <c r="G652" t="s">
        <v>28</v>
      </c>
      <c r="H652" s="3">
        <v>45</v>
      </c>
      <c r="I652" s="8">
        <v>42711</v>
      </c>
      <c r="J652" s="4">
        <v>71454</v>
      </c>
      <c r="K652" s="1">
        <v>0</v>
      </c>
      <c r="L652" t="s">
        <v>29</v>
      </c>
      <c r="M652" t="s">
        <v>74</v>
      </c>
      <c r="O652" s="5">
        <f t="shared" si="10"/>
        <v>0</v>
      </c>
      <c r="P652" s="6">
        <f>Table1[[#This Row],[Annual Salary]]+Table1[[#This Row],[Bonus Amount]]</f>
        <v>71454</v>
      </c>
      <c r="Q652" t="str">
        <f>IF(Table1[[#This Row],[Exit Date]]="", "Active","Exited")</f>
        <v>Active</v>
      </c>
      <c r="R652" s="2">
        <f ca="1">IFERROR(DATEDIF(Table1[[#This Row],[Hire Date]],IF(Table1[[#This Row],[Exit Date]]="",TODAY(),Table1[[#This Row],[Exit Date]]),"Y"),"")</f>
        <v>9</v>
      </c>
      <c r="S652" t="str" cm="1">
        <f t="array" ref="S652">_xlfn.IFS(Table1[[#This Row],[Age]]&lt;30,"Under 30",Table1[[#This Row],[Age]]&lt;=40,"30-40",Table1[[#This Row],[Age]]&lt;50,"41-50",TRUE,"50+")</f>
        <v>41-50</v>
      </c>
    </row>
    <row r="653" spans="1:19" x14ac:dyDescent="0.35">
      <c r="A653" t="s">
        <v>1338</v>
      </c>
      <c r="B653" t="s">
        <v>1339</v>
      </c>
      <c r="C653" t="s">
        <v>207</v>
      </c>
      <c r="D653" t="s">
        <v>17</v>
      </c>
      <c r="E653" t="s">
        <v>26</v>
      </c>
      <c r="F653" t="s">
        <v>19</v>
      </c>
      <c r="G653" t="s">
        <v>36</v>
      </c>
      <c r="H653" s="3">
        <v>30</v>
      </c>
      <c r="I653" s="8">
        <v>43864</v>
      </c>
      <c r="J653" s="4">
        <v>94652</v>
      </c>
      <c r="K653" s="1">
        <v>0</v>
      </c>
      <c r="L653" t="s">
        <v>21</v>
      </c>
      <c r="M653" t="s">
        <v>22</v>
      </c>
      <c r="O653" s="5">
        <f t="shared" si="10"/>
        <v>0</v>
      </c>
      <c r="P653" s="6">
        <f>Table1[[#This Row],[Annual Salary]]+Table1[[#This Row],[Bonus Amount]]</f>
        <v>94652</v>
      </c>
      <c r="Q653" t="str">
        <f>IF(Table1[[#This Row],[Exit Date]]="", "Active","Exited")</f>
        <v>Active</v>
      </c>
      <c r="R653" s="2">
        <f ca="1">IFERROR(DATEDIF(Table1[[#This Row],[Hire Date]],IF(Table1[[#This Row],[Exit Date]]="",TODAY(),Table1[[#This Row],[Exit Date]]),"Y"),"")</f>
        <v>6</v>
      </c>
      <c r="S653" t="str" cm="1">
        <f t="array" ref="S653">_xlfn.IFS(Table1[[#This Row],[Age]]&lt;30,"Under 30",Table1[[#This Row],[Age]]&lt;=40,"30-40",Table1[[#This Row],[Age]]&lt;50,"41-50",TRUE,"50+")</f>
        <v>30-40</v>
      </c>
    </row>
    <row r="654" spans="1:19" x14ac:dyDescent="0.35">
      <c r="A654" t="s">
        <v>1340</v>
      </c>
      <c r="B654" t="s">
        <v>1341</v>
      </c>
      <c r="C654" t="s">
        <v>25</v>
      </c>
      <c r="D654" t="s">
        <v>17</v>
      </c>
      <c r="E654" t="s">
        <v>26</v>
      </c>
      <c r="F654" t="s">
        <v>27</v>
      </c>
      <c r="G654" t="s">
        <v>20</v>
      </c>
      <c r="H654" s="3">
        <v>34</v>
      </c>
      <c r="I654" s="8">
        <v>42416</v>
      </c>
      <c r="J654" s="4">
        <v>63411</v>
      </c>
      <c r="K654" s="1">
        <v>0</v>
      </c>
      <c r="L654" t="s">
        <v>21</v>
      </c>
      <c r="M654" t="s">
        <v>56</v>
      </c>
      <c r="O654" s="5">
        <f t="shared" si="10"/>
        <v>0</v>
      </c>
      <c r="P654" s="6">
        <f>Table1[[#This Row],[Annual Salary]]+Table1[[#This Row],[Bonus Amount]]</f>
        <v>63411</v>
      </c>
      <c r="Q654" t="str">
        <f>IF(Table1[[#This Row],[Exit Date]]="", "Active","Exited")</f>
        <v>Active</v>
      </c>
      <c r="R654" s="2">
        <f ca="1">IFERROR(DATEDIF(Table1[[#This Row],[Hire Date]],IF(Table1[[#This Row],[Exit Date]]="",TODAY(),Table1[[#This Row],[Exit Date]]),"Y"),"")</f>
        <v>10</v>
      </c>
      <c r="S654" t="str" cm="1">
        <f t="array" ref="S654">_xlfn.IFS(Table1[[#This Row],[Age]]&lt;30,"Under 30",Table1[[#This Row],[Age]]&lt;=40,"30-40",Table1[[#This Row],[Age]]&lt;50,"41-50",TRUE,"50+")</f>
        <v>30-40</v>
      </c>
    </row>
    <row r="655" spans="1:19" x14ac:dyDescent="0.35">
      <c r="A655" t="s">
        <v>1342</v>
      </c>
      <c r="B655" t="s">
        <v>1343</v>
      </c>
      <c r="C655" t="s">
        <v>124</v>
      </c>
      <c r="D655" t="s">
        <v>48</v>
      </c>
      <c r="E655" t="s">
        <v>35</v>
      </c>
      <c r="F655" t="s">
        <v>27</v>
      </c>
      <c r="G655" t="s">
        <v>28</v>
      </c>
      <c r="H655" s="3">
        <v>31</v>
      </c>
      <c r="I655" s="8">
        <v>43878</v>
      </c>
      <c r="J655" s="4">
        <v>67171</v>
      </c>
      <c r="K655" s="1">
        <v>0</v>
      </c>
      <c r="L655" t="s">
        <v>29</v>
      </c>
      <c r="M655" t="s">
        <v>30</v>
      </c>
      <c r="N655" s="7">
        <v>44317</v>
      </c>
      <c r="O655" s="5">
        <f t="shared" si="10"/>
        <v>0</v>
      </c>
      <c r="P655" s="6">
        <f>Table1[[#This Row],[Annual Salary]]+Table1[[#This Row],[Bonus Amount]]</f>
        <v>67171</v>
      </c>
      <c r="Q655" t="str">
        <f>IF(Table1[[#This Row],[Exit Date]]="", "Active","Exited")</f>
        <v>Exited</v>
      </c>
      <c r="R655" s="2">
        <f ca="1">IFERROR(DATEDIF(Table1[[#This Row],[Hire Date]],IF(Table1[[#This Row],[Exit Date]]="",TODAY(),Table1[[#This Row],[Exit Date]]),"Y"),"")</f>
        <v>1</v>
      </c>
      <c r="S655" t="str" cm="1">
        <f t="array" ref="S655">_xlfn.IFS(Table1[[#This Row],[Age]]&lt;30,"Under 30",Table1[[#This Row],[Age]]&lt;=40,"30-40",Table1[[#This Row],[Age]]&lt;50,"41-50",TRUE,"50+")</f>
        <v>30-40</v>
      </c>
    </row>
    <row r="656" spans="1:19" x14ac:dyDescent="0.35">
      <c r="A656" t="s">
        <v>1344</v>
      </c>
      <c r="B656" t="s">
        <v>1345</v>
      </c>
      <c r="C656" t="s">
        <v>16</v>
      </c>
      <c r="D656" t="s">
        <v>59</v>
      </c>
      <c r="E656" t="s">
        <v>35</v>
      </c>
      <c r="F656" t="s">
        <v>19</v>
      </c>
      <c r="G656" t="s">
        <v>85</v>
      </c>
      <c r="H656" s="3">
        <v>28</v>
      </c>
      <c r="I656" s="8">
        <v>43652</v>
      </c>
      <c r="J656" s="4">
        <v>152036</v>
      </c>
      <c r="K656" s="1">
        <v>0.15</v>
      </c>
      <c r="L656" t="s">
        <v>93</v>
      </c>
      <c r="M656" t="s">
        <v>99</v>
      </c>
      <c r="O656" s="5">
        <f t="shared" si="10"/>
        <v>22805.399999999998</v>
      </c>
      <c r="P656" s="6">
        <f>Table1[[#This Row],[Annual Salary]]+Table1[[#This Row],[Bonus Amount]]</f>
        <v>174841.4</v>
      </c>
      <c r="Q656" t="str">
        <f>IF(Table1[[#This Row],[Exit Date]]="", "Active","Exited")</f>
        <v>Active</v>
      </c>
      <c r="R656" s="2">
        <f ca="1">IFERROR(DATEDIF(Table1[[#This Row],[Hire Date]],IF(Table1[[#This Row],[Exit Date]]="",TODAY(),Table1[[#This Row],[Exit Date]]),"Y"),"")</f>
        <v>6</v>
      </c>
      <c r="S656" t="str" cm="1">
        <f t="array" ref="S656">_xlfn.IFS(Table1[[#This Row],[Age]]&lt;30,"Under 30",Table1[[#This Row],[Age]]&lt;=40,"30-40",Table1[[#This Row],[Age]]&lt;50,"41-50",TRUE,"50+")</f>
        <v>Under 30</v>
      </c>
    </row>
    <row r="657" spans="1:19" x14ac:dyDescent="0.35">
      <c r="A657" t="s">
        <v>1346</v>
      </c>
      <c r="B657" t="s">
        <v>1347</v>
      </c>
      <c r="C657" t="s">
        <v>68</v>
      </c>
      <c r="D657" t="s">
        <v>69</v>
      </c>
      <c r="E657" t="s">
        <v>26</v>
      </c>
      <c r="F657" t="s">
        <v>19</v>
      </c>
      <c r="G657" t="s">
        <v>20</v>
      </c>
      <c r="H657" s="3">
        <v>55</v>
      </c>
      <c r="I657" s="8">
        <v>44276</v>
      </c>
      <c r="J657" s="4">
        <v>95562</v>
      </c>
      <c r="K657" s="1">
        <v>0</v>
      </c>
      <c r="L657" t="s">
        <v>21</v>
      </c>
      <c r="M657" t="s">
        <v>37</v>
      </c>
      <c r="O657" s="5">
        <f t="shared" si="10"/>
        <v>0</v>
      </c>
      <c r="P657" s="6">
        <f>Table1[[#This Row],[Annual Salary]]+Table1[[#This Row],[Bonus Amount]]</f>
        <v>95562</v>
      </c>
      <c r="Q657" t="str">
        <f>IF(Table1[[#This Row],[Exit Date]]="", "Active","Exited")</f>
        <v>Active</v>
      </c>
      <c r="R657" s="2">
        <f ca="1">IFERROR(DATEDIF(Table1[[#This Row],[Hire Date]],IF(Table1[[#This Row],[Exit Date]]="",TODAY(),Table1[[#This Row],[Exit Date]]),"Y"),"")</f>
        <v>5</v>
      </c>
      <c r="S657" t="str" cm="1">
        <f t="array" ref="S657">_xlfn.IFS(Table1[[#This Row],[Age]]&lt;30,"Under 30",Table1[[#This Row],[Age]]&lt;=40,"30-40",Table1[[#This Row],[Age]]&lt;50,"41-50",TRUE,"50+")</f>
        <v>50+</v>
      </c>
    </row>
    <row r="658" spans="1:19" x14ac:dyDescent="0.35">
      <c r="A658" t="s">
        <v>1348</v>
      </c>
      <c r="B658" t="s">
        <v>1349</v>
      </c>
      <c r="C658" t="s">
        <v>43</v>
      </c>
      <c r="D658" t="s">
        <v>48</v>
      </c>
      <c r="E658" t="s">
        <v>18</v>
      </c>
      <c r="F658" t="s">
        <v>27</v>
      </c>
      <c r="G658" t="s">
        <v>36</v>
      </c>
      <c r="H658" s="3">
        <v>30</v>
      </c>
      <c r="I658" s="8">
        <v>43773</v>
      </c>
      <c r="J658" s="4">
        <v>96092</v>
      </c>
      <c r="K658" s="1">
        <v>0</v>
      </c>
      <c r="L658" t="s">
        <v>21</v>
      </c>
      <c r="M658" t="s">
        <v>60</v>
      </c>
      <c r="O658" s="5">
        <f t="shared" si="10"/>
        <v>0</v>
      </c>
      <c r="P658" s="6">
        <f>Table1[[#This Row],[Annual Salary]]+Table1[[#This Row],[Bonus Amount]]</f>
        <v>96092</v>
      </c>
      <c r="Q658" t="str">
        <f>IF(Table1[[#This Row],[Exit Date]]="", "Active","Exited")</f>
        <v>Active</v>
      </c>
      <c r="R658" s="2">
        <f ca="1">IFERROR(DATEDIF(Table1[[#This Row],[Hire Date]],IF(Table1[[#This Row],[Exit Date]]="",TODAY(),Table1[[#This Row],[Exit Date]]),"Y"),"")</f>
        <v>6</v>
      </c>
      <c r="S658" t="str" cm="1">
        <f t="array" ref="S658">_xlfn.IFS(Table1[[#This Row],[Age]]&lt;30,"Under 30",Table1[[#This Row],[Age]]&lt;=40,"30-40",Table1[[#This Row],[Age]]&lt;50,"41-50",TRUE,"50+")</f>
        <v>30-40</v>
      </c>
    </row>
    <row r="659" spans="1:19" x14ac:dyDescent="0.35">
      <c r="A659" t="s">
        <v>1350</v>
      </c>
      <c r="B659" t="s">
        <v>1351</v>
      </c>
      <c r="C659" t="s">
        <v>79</v>
      </c>
      <c r="D659" t="s">
        <v>69</v>
      </c>
      <c r="E659" t="s">
        <v>26</v>
      </c>
      <c r="F659" t="s">
        <v>27</v>
      </c>
      <c r="G659" t="s">
        <v>28</v>
      </c>
      <c r="H659" s="3">
        <v>63</v>
      </c>
      <c r="I659" s="8">
        <v>41428</v>
      </c>
      <c r="J659" s="4">
        <v>254289</v>
      </c>
      <c r="K659" s="1">
        <v>0.39</v>
      </c>
      <c r="L659" t="s">
        <v>21</v>
      </c>
      <c r="M659" t="s">
        <v>37</v>
      </c>
      <c r="O659" s="5">
        <f t="shared" si="10"/>
        <v>99172.71</v>
      </c>
      <c r="P659" s="6">
        <f>Table1[[#This Row],[Annual Salary]]+Table1[[#This Row],[Bonus Amount]]</f>
        <v>353461.71</v>
      </c>
      <c r="Q659" t="str">
        <f>IF(Table1[[#This Row],[Exit Date]]="", "Active","Exited")</f>
        <v>Active</v>
      </c>
      <c r="R659" s="2">
        <f ca="1">IFERROR(DATEDIF(Table1[[#This Row],[Hire Date]],IF(Table1[[#This Row],[Exit Date]]="",TODAY(),Table1[[#This Row],[Exit Date]]),"Y"),"")</f>
        <v>12</v>
      </c>
      <c r="S659" t="str" cm="1">
        <f t="array" ref="S659">_xlfn.IFS(Table1[[#This Row],[Age]]&lt;30,"Under 30",Table1[[#This Row],[Age]]&lt;=40,"30-40",Table1[[#This Row],[Age]]&lt;50,"41-50",TRUE,"50+")</f>
        <v>50+</v>
      </c>
    </row>
    <row r="660" spans="1:19" x14ac:dyDescent="0.35">
      <c r="A660" t="s">
        <v>1352</v>
      </c>
      <c r="B660" t="s">
        <v>1353</v>
      </c>
      <c r="C660" t="s">
        <v>40</v>
      </c>
      <c r="D660" t="s">
        <v>17</v>
      </c>
      <c r="E660" t="s">
        <v>18</v>
      </c>
      <c r="F660" t="s">
        <v>27</v>
      </c>
      <c r="G660" t="s">
        <v>36</v>
      </c>
      <c r="H660" s="3">
        <v>26</v>
      </c>
      <c r="I660" s="8">
        <v>43656</v>
      </c>
      <c r="J660" s="4">
        <v>69110</v>
      </c>
      <c r="K660" s="1">
        <v>0.05</v>
      </c>
      <c r="L660" t="s">
        <v>21</v>
      </c>
      <c r="M660" t="s">
        <v>37</v>
      </c>
      <c r="O660" s="5">
        <f t="shared" si="10"/>
        <v>3455.5</v>
      </c>
      <c r="P660" s="6">
        <f>Table1[[#This Row],[Annual Salary]]+Table1[[#This Row],[Bonus Amount]]</f>
        <v>72565.5</v>
      </c>
      <c r="Q660" t="str">
        <f>IF(Table1[[#This Row],[Exit Date]]="", "Active","Exited")</f>
        <v>Active</v>
      </c>
      <c r="R660" s="2">
        <f ca="1">IFERROR(DATEDIF(Table1[[#This Row],[Hire Date]],IF(Table1[[#This Row],[Exit Date]]="",TODAY(),Table1[[#This Row],[Exit Date]]),"Y"),"")</f>
        <v>6</v>
      </c>
      <c r="S660" t="str" cm="1">
        <f t="array" ref="S660">_xlfn.IFS(Table1[[#This Row],[Age]]&lt;30,"Under 30",Table1[[#This Row],[Age]]&lt;=40,"30-40",Table1[[#This Row],[Age]]&lt;50,"41-50",TRUE,"50+")</f>
        <v>Under 30</v>
      </c>
    </row>
    <row r="661" spans="1:19" x14ac:dyDescent="0.35">
      <c r="A661" t="s">
        <v>1354</v>
      </c>
      <c r="B661" t="s">
        <v>1355</v>
      </c>
      <c r="C661" t="s">
        <v>79</v>
      </c>
      <c r="D661" t="s">
        <v>80</v>
      </c>
      <c r="E661" t="s">
        <v>35</v>
      </c>
      <c r="F661" t="s">
        <v>27</v>
      </c>
      <c r="G661" t="s">
        <v>36</v>
      </c>
      <c r="H661" s="3">
        <v>52</v>
      </c>
      <c r="I661" s="8">
        <v>37418</v>
      </c>
      <c r="J661" s="4">
        <v>236314</v>
      </c>
      <c r="K661" s="1">
        <v>0.34</v>
      </c>
      <c r="L661" t="s">
        <v>21</v>
      </c>
      <c r="M661" t="s">
        <v>56</v>
      </c>
      <c r="O661" s="5">
        <f t="shared" si="10"/>
        <v>80346.760000000009</v>
      </c>
      <c r="P661" s="6">
        <f>Table1[[#This Row],[Annual Salary]]+Table1[[#This Row],[Bonus Amount]]</f>
        <v>316660.76</v>
      </c>
      <c r="Q661" t="str">
        <f>IF(Table1[[#This Row],[Exit Date]]="", "Active","Exited")</f>
        <v>Active</v>
      </c>
      <c r="R661" s="2">
        <f ca="1">IFERROR(DATEDIF(Table1[[#This Row],[Hire Date]],IF(Table1[[#This Row],[Exit Date]]="",TODAY(),Table1[[#This Row],[Exit Date]]),"Y"),"")</f>
        <v>23</v>
      </c>
      <c r="S661" t="str" cm="1">
        <f t="array" ref="S661">_xlfn.IFS(Table1[[#This Row],[Age]]&lt;30,"Under 30",Table1[[#This Row],[Age]]&lt;=40,"30-40",Table1[[#This Row],[Age]]&lt;50,"41-50",TRUE,"50+")</f>
        <v>50+</v>
      </c>
    </row>
    <row r="662" spans="1:19" x14ac:dyDescent="0.35">
      <c r="A662" t="s">
        <v>1356</v>
      </c>
      <c r="B662" t="s">
        <v>1357</v>
      </c>
      <c r="C662" t="s">
        <v>55</v>
      </c>
      <c r="D662" t="s">
        <v>80</v>
      </c>
      <c r="E662" t="s">
        <v>49</v>
      </c>
      <c r="F662" t="s">
        <v>27</v>
      </c>
      <c r="G662" t="s">
        <v>85</v>
      </c>
      <c r="H662" s="3">
        <v>51</v>
      </c>
      <c r="I662" s="8">
        <v>39252</v>
      </c>
      <c r="J662" s="4">
        <v>45206</v>
      </c>
      <c r="K662" s="1">
        <v>0</v>
      </c>
      <c r="L662" t="s">
        <v>21</v>
      </c>
      <c r="M662" t="s">
        <v>88</v>
      </c>
      <c r="O662" s="5">
        <f t="shared" si="10"/>
        <v>0</v>
      </c>
      <c r="P662" s="6">
        <f>Table1[[#This Row],[Annual Salary]]+Table1[[#This Row],[Bonus Amount]]</f>
        <v>45206</v>
      </c>
      <c r="Q662" t="str">
        <f>IF(Table1[[#This Row],[Exit Date]]="", "Active","Exited")</f>
        <v>Active</v>
      </c>
      <c r="R662" s="2">
        <f ca="1">IFERROR(DATEDIF(Table1[[#This Row],[Hire Date]],IF(Table1[[#This Row],[Exit Date]]="",TODAY(),Table1[[#This Row],[Exit Date]]),"Y"),"")</f>
        <v>18</v>
      </c>
      <c r="S662" t="str" cm="1">
        <f t="array" ref="S662">_xlfn.IFS(Table1[[#This Row],[Age]]&lt;30,"Under 30",Table1[[#This Row],[Age]]&lt;=40,"30-40",Table1[[#This Row],[Age]]&lt;50,"41-50",TRUE,"50+")</f>
        <v>50+</v>
      </c>
    </row>
    <row r="663" spans="1:19" x14ac:dyDescent="0.35">
      <c r="A663" t="s">
        <v>1358</v>
      </c>
      <c r="B663" t="s">
        <v>1359</v>
      </c>
      <c r="C663" t="s">
        <v>79</v>
      </c>
      <c r="D663" t="s">
        <v>34</v>
      </c>
      <c r="E663" t="s">
        <v>18</v>
      </c>
      <c r="F663" t="s">
        <v>19</v>
      </c>
      <c r="G663" t="s">
        <v>28</v>
      </c>
      <c r="H663" s="3">
        <v>25</v>
      </c>
      <c r="I663" s="8">
        <v>44515</v>
      </c>
      <c r="J663" s="4">
        <v>210708</v>
      </c>
      <c r="K663" s="1">
        <v>0.33</v>
      </c>
      <c r="L663" t="s">
        <v>21</v>
      </c>
      <c r="M663" t="s">
        <v>37</v>
      </c>
      <c r="O663" s="5">
        <f t="shared" si="10"/>
        <v>69533.64</v>
      </c>
      <c r="P663" s="6">
        <f>Table1[[#This Row],[Annual Salary]]+Table1[[#This Row],[Bonus Amount]]</f>
        <v>280241.64</v>
      </c>
      <c r="Q663" t="str">
        <f>IF(Table1[[#This Row],[Exit Date]]="", "Active","Exited")</f>
        <v>Active</v>
      </c>
      <c r="R663" s="2">
        <f ca="1">IFERROR(DATEDIF(Table1[[#This Row],[Hire Date]],IF(Table1[[#This Row],[Exit Date]]="",TODAY(),Table1[[#This Row],[Exit Date]]),"Y"),"")</f>
        <v>4</v>
      </c>
      <c r="S663" t="str" cm="1">
        <f t="array" ref="S663">_xlfn.IFS(Table1[[#This Row],[Age]]&lt;30,"Under 30",Table1[[#This Row],[Age]]&lt;=40,"30-40",Table1[[#This Row],[Age]]&lt;50,"41-50",TRUE,"50+")</f>
        <v>Under 30</v>
      </c>
    </row>
    <row r="664" spans="1:19" x14ac:dyDescent="0.35">
      <c r="A664" t="s">
        <v>1360</v>
      </c>
      <c r="B664" t="s">
        <v>1361</v>
      </c>
      <c r="C664" t="s">
        <v>299</v>
      </c>
      <c r="D664" t="s">
        <v>17</v>
      </c>
      <c r="E664" t="s">
        <v>49</v>
      </c>
      <c r="F664" t="s">
        <v>27</v>
      </c>
      <c r="G664" t="s">
        <v>85</v>
      </c>
      <c r="H664" s="3">
        <v>40</v>
      </c>
      <c r="I664" s="8">
        <v>44465</v>
      </c>
      <c r="J664" s="4">
        <v>87770</v>
      </c>
      <c r="K664" s="1">
        <v>0</v>
      </c>
      <c r="L664" t="s">
        <v>21</v>
      </c>
      <c r="M664" t="s">
        <v>60</v>
      </c>
      <c r="O664" s="5">
        <f t="shared" si="10"/>
        <v>0</v>
      </c>
      <c r="P664" s="6">
        <f>Table1[[#This Row],[Annual Salary]]+Table1[[#This Row],[Bonus Amount]]</f>
        <v>87770</v>
      </c>
      <c r="Q664" t="str">
        <f>IF(Table1[[#This Row],[Exit Date]]="", "Active","Exited")</f>
        <v>Active</v>
      </c>
      <c r="R664" s="2">
        <f ca="1">IFERROR(DATEDIF(Table1[[#This Row],[Hire Date]],IF(Table1[[#This Row],[Exit Date]]="",TODAY(),Table1[[#This Row],[Exit Date]]),"Y"),"")</f>
        <v>4</v>
      </c>
      <c r="S664" t="str" cm="1">
        <f t="array" ref="S664">_xlfn.IFS(Table1[[#This Row],[Age]]&lt;30,"Under 30",Table1[[#This Row],[Age]]&lt;=40,"30-40",Table1[[#This Row],[Age]]&lt;50,"41-50",TRUE,"50+")</f>
        <v>30-40</v>
      </c>
    </row>
    <row r="665" spans="1:19" x14ac:dyDescent="0.35">
      <c r="A665" t="s">
        <v>1362</v>
      </c>
      <c r="B665" t="s">
        <v>1363</v>
      </c>
      <c r="C665" t="s">
        <v>52</v>
      </c>
      <c r="D665" t="s">
        <v>59</v>
      </c>
      <c r="E665" t="s">
        <v>49</v>
      </c>
      <c r="F665" t="s">
        <v>19</v>
      </c>
      <c r="G665" t="s">
        <v>36</v>
      </c>
      <c r="H665" s="3">
        <v>38</v>
      </c>
      <c r="I665" s="8">
        <v>42228</v>
      </c>
      <c r="J665" s="4">
        <v>106858</v>
      </c>
      <c r="K665" s="1">
        <v>0.05</v>
      </c>
      <c r="L665" t="s">
        <v>21</v>
      </c>
      <c r="M665" t="s">
        <v>22</v>
      </c>
      <c r="O665" s="5">
        <f t="shared" si="10"/>
        <v>5342.9000000000005</v>
      </c>
      <c r="P665" s="6">
        <f>Table1[[#This Row],[Annual Salary]]+Table1[[#This Row],[Bonus Amount]]</f>
        <v>112200.9</v>
      </c>
      <c r="Q665" t="str">
        <f>IF(Table1[[#This Row],[Exit Date]]="", "Active","Exited")</f>
        <v>Active</v>
      </c>
      <c r="R665" s="2">
        <f ca="1">IFERROR(DATEDIF(Table1[[#This Row],[Hire Date]],IF(Table1[[#This Row],[Exit Date]]="",TODAY(),Table1[[#This Row],[Exit Date]]),"Y"),"")</f>
        <v>10</v>
      </c>
      <c r="S665" t="str" cm="1">
        <f t="array" ref="S665">_xlfn.IFS(Table1[[#This Row],[Age]]&lt;30,"Under 30",Table1[[#This Row],[Age]]&lt;=40,"30-40",Table1[[#This Row],[Age]]&lt;50,"41-50",TRUE,"50+")</f>
        <v>30-40</v>
      </c>
    </row>
    <row r="666" spans="1:19" x14ac:dyDescent="0.35">
      <c r="A666" t="s">
        <v>1364</v>
      </c>
      <c r="B666" t="s">
        <v>1365</v>
      </c>
      <c r="C666" t="s">
        <v>33</v>
      </c>
      <c r="D666" t="s">
        <v>65</v>
      </c>
      <c r="E666" t="s">
        <v>49</v>
      </c>
      <c r="F666" t="s">
        <v>27</v>
      </c>
      <c r="G666" t="s">
        <v>36</v>
      </c>
      <c r="H666" s="3">
        <v>60</v>
      </c>
      <c r="I666" s="8">
        <v>42108</v>
      </c>
      <c r="J666" s="4">
        <v>155788</v>
      </c>
      <c r="K666" s="1">
        <v>0.17</v>
      </c>
      <c r="L666" t="s">
        <v>21</v>
      </c>
      <c r="M666" t="s">
        <v>22</v>
      </c>
      <c r="O666" s="5">
        <f t="shared" si="10"/>
        <v>26483.960000000003</v>
      </c>
      <c r="P666" s="6">
        <f>Table1[[#This Row],[Annual Salary]]+Table1[[#This Row],[Bonus Amount]]</f>
        <v>182271.96</v>
      </c>
      <c r="Q666" t="str">
        <f>IF(Table1[[#This Row],[Exit Date]]="", "Active","Exited")</f>
        <v>Active</v>
      </c>
      <c r="R666" s="2">
        <f ca="1">IFERROR(DATEDIF(Table1[[#This Row],[Hire Date]],IF(Table1[[#This Row],[Exit Date]]="",TODAY(),Table1[[#This Row],[Exit Date]]),"Y"),"")</f>
        <v>10</v>
      </c>
      <c r="S666" t="str" cm="1">
        <f t="array" ref="S666">_xlfn.IFS(Table1[[#This Row],[Age]]&lt;30,"Under 30",Table1[[#This Row],[Age]]&lt;=40,"30-40",Table1[[#This Row],[Age]]&lt;50,"41-50",TRUE,"50+")</f>
        <v>50+</v>
      </c>
    </row>
    <row r="667" spans="1:19" x14ac:dyDescent="0.35">
      <c r="A667" t="s">
        <v>1366</v>
      </c>
      <c r="B667" t="s">
        <v>1367</v>
      </c>
      <c r="C667" t="s">
        <v>143</v>
      </c>
      <c r="D667" t="s">
        <v>65</v>
      </c>
      <c r="E667" t="s">
        <v>35</v>
      </c>
      <c r="F667" t="s">
        <v>19</v>
      </c>
      <c r="G667" t="s">
        <v>85</v>
      </c>
      <c r="H667" s="3">
        <v>45</v>
      </c>
      <c r="I667" s="8">
        <v>43581</v>
      </c>
      <c r="J667" s="4">
        <v>74891</v>
      </c>
      <c r="K667" s="1">
        <v>0</v>
      </c>
      <c r="L667" t="s">
        <v>93</v>
      </c>
      <c r="M667" t="s">
        <v>99</v>
      </c>
      <c r="O667" s="5">
        <f t="shared" si="10"/>
        <v>0</v>
      </c>
      <c r="P667" s="6">
        <f>Table1[[#This Row],[Annual Salary]]+Table1[[#This Row],[Bonus Amount]]</f>
        <v>74891</v>
      </c>
      <c r="Q667" t="str">
        <f>IF(Table1[[#This Row],[Exit Date]]="", "Active","Exited")</f>
        <v>Active</v>
      </c>
      <c r="R667" s="2">
        <f ca="1">IFERROR(DATEDIF(Table1[[#This Row],[Hire Date]],IF(Table1[[#This Row],[Exit Date]]="",TODAY(),Table1[[#This Row],[Exit Date]]),"Y"),"")</f>
        <v>6</v>
      </c>
      <c r="S667" t="str" cm="1">
        <f t="array" ref="S667">_xlfn.IFS(Table1[[#This Row],[Age]]&lt;30,"Under 30",Table1[[#This Row],[Age]]&lt;=40,"30-40",Table1[[#This Row],[Age]]&lt;50,"41-50",TRUE,"50+")</f>
        <v>41-50</v>
      </c>
    </row>
    <row r="668" spans="1:19" x14ac:dyDescent="0.35">
      <c r="A668" t="s">
        <v>1368</v>
      </c>
      <c r="B668" t="s">
        <v>1369</v>
      </c>
      <c r="C668" t="s">
        <v>68</v>
      </c>
      <c r="D668" t="s">
        <v>69</v>
      </c>
      <c r="E668" t="s">
        <v>49</v>
      </c>
      <c r="F668" t="s">
        <v>27</v>
      </c>
      <c r="G668" t="s">
        <v>28</v>
      </c>
      <c r="H668" s="3">
        <v>28</v>
      </c>
      <c r="I668" s="8">
        <v>44548</v>
      </c>
      <c r="J668" s="4">
        <v>95670</v>
      </c>
      <c r="K668" s="1">
        <v>0</v>
      </c>
      <c r="L668" t="s">
        <v>21</v>
      </c>
      <c r="M668" t="s">
        <v>44</v>
      </c>
      <c r="O668" s="5">
        <f t="shared" si="10"/>
        <v>0</v>
      </c>
      <c r="P668" s="6">
        <f>Table1[[#This Row],[Annual Salary]]+Table1[[#This Row],[Bonus Amount]]</f>
        <v>95670</v>
      </c>
      <c r="Q668" t="str">
        <f>IF(Table1[[#This Row],[Exit Date]]="", "Active","Exited")</f>
        <v>Active</v>
      </c>
      <c r="R668" s="2">
        <f ca="1">IFERROR(DATEDIF(Table1[[#This Row],[Hire Date]],IF(Table1[[#This Row],[Exit Date]]="",TODAY(),Table1[[#This Row],[Exit Date]]),"Y"),"")</f>
        <v>4</v>
      </c>
      <c r="S668" t="str" cm="1">
        <f t="array" ref="S668">_xlfn.IFS(Table1[[#This Row],[Age]]&lt;30,"Under 30",Table1[[#This Row],[Age]]&lt;=40,"30-40",Table1[[#This Row],[Age]]&lt;50,"41-50",TRUE,"50+")</f>
        <v>Under 30</v>
      </c>
    </row>
    <row r="669" spans="1:19" x14ac:dyDescent="0.35">
      <c r="A669" t="s">
        <v>1370</v>
      </c>
      <c r="B669" t="s">
        <v>1371</v>
      </c>
      <c r="C669" t="s">
        <v>47</v>
      </c>
      <c r="D669" t="s">
        <v>48</v>
      </c>
      <c r="E669" t="s">
        <v>18</v>
      </c>
      <c r="F669" t="s">
        <v>19</v>
      </c>
      <c r="G669" t="s">
        <v>20</v>
      </c>
      <c r="H669" s="3">
        <v>65</v>
      </c>
      <c r="I669" s="8">
        <v>36798</v>
      </c>
      <c r="J669" s="4">
        <v>67837</v>
      </c>
      <c r="K669" s="1">
        <v>0</v>
      </c>
      <c r="L669" t="s">
        <v>21</v>
      </c>
      <c r="M669" t="s">
        <v>60</v>
      </c>
      <c r="O669" s="5">
        <f t="shared" si="10"/>
        <v>0</v>
      </c>
      <c r="P669" s="6">
        <f>Table1[[#This Row],[Annual Salary]]+Table1[[#This Row],[Bonus Amount]]</f>
        <v>67837</v>
      </c>
      <c r="Q669" t="str">
        <f>IF(Table1[[#This Row],[Exit Date]]="", "Active","Exited")</f>
        <v>Active</v>
      </c>
      <c r="R669" s="2">
        <f ca="1">IFERROR(DATEDIF(Table1[[#This Row],[Hire Date]],IF(Table1[[#This Row],[Exit Date]]="",TODAY(),Table1[[#This Row],[Exit Date]]),"Y"),"")</f>
        <v>25</v>
      </c>
      <c r="S669" t="str" cm="1">
        <f t="array" ref="S669">_xlfn.IFS(Table1[[#This Row],[Age]]&lt;30,"Under 30",Table1[[#This Row],[Age]]&lt;=40,"30-40",Table1[[#This Row],[Age]]&lt;50,"41-50",TRUE,"50+")</f>
        <v>50+</v>
      </c>
    </row>
    <row r="670" spans="1:19" x14ac:dyDescent="0.35">
      <c r="A670" t="s">
        <v>1372</v>
      </c>
      <c r="B670" t="s">
        <v>1373</v>
      </c>
      <c r="C670" t="s">
        <v>124</v>
      </c>
      <c r="D670" t="s">
        <v>48</v>
      </c>
      <c r="E670" t="s">
        <v>18</v>
      </c>
      <c r="F670" t="s">
        <v>27</v>
      </c>
      <c r="G670" t="s">
        <v>28</v>
      </c>
      <c r="H670" s="3">
        <v>41</v>
      </c>
      <c r="I670" s="8">
        <v>40333</v>
      </c>
      <c r="J670" s="4">
        <v>72425</v>
      </c>
      <c r="K670" s="1">
        <v>0</v>
      </c>
      <c r="L670" t="s">
        <v>29</v>
      </c>
      <c r="M670" t="s">
        <v>114</v>
      </c>
      <c r="O670" s="5">
        <f t="shared" si="10"/>
        <v>0</v>
      </c>
      <c r="P670" s="6">
        <f>Table1[[#This Row],[Annual Salary]]+Table1[[#This Row],[Bonus Amount]]</f>
        <v>72425</v>
      </c>
      <c r="Q670" t="str">
        <f>IF(Table1[[#This Row],[Exit Date]]="", "Active","Exited")</f>
        <v>Active</v>
      </c>
      <c r="R670" s="2">
        <f ca="1">IFERROR(DATEDIF(Table1[[#This Row],[Hire Date]],IF(Table1[[#This Row],[Exit Date]]="",TODAY(),Table1[[#This Row],[Exit Date]]),"Y"),"")</f>
        <v>15</v>
      </c>
      <c r="S670" t="str" cm="1">
        <f t="array" ref="S670">_xlfn.IFS(Table1[[#This Row],[Age]]&lt;30,"Under 30",Table1[[#This Row],[Age]]&lt;=40,"30-40",Table1[[#This Row],[Age]]&lt;50,"41-50",TRUE,"50+")</f>
        <v>41-50</v>
      </c>
    </row>
    <row r="671" spans="1:19" x14ac:dyDescent="0.35">
      <c r="A671" t="s">
        <v>1374</v>
      </c>
      <c r="B671" t="s">
        <v>1375</v>
      </c>
      <c r="C671" t="s">
        <v>43</v>
      </c>
      <c r="D671" t="s">
        <v>48</v>
      </c>
      <c r="E671" t="s">
        <v>49</v>
      </c>
      <c r="F671" t="s">
        <v>19</v>
      </c>
      <c r="G671" t="s">
        <v>85</v>
      </c>
      <c r="H671" s="3">
        <v>52</v>
      </c>
      <c r="I671" s="8">
        <v>34623</v>
      </c>
      <c r="J671" s="4">
        <v>93103</v>
      </c>
      <c r="K671" s="1">
        <v>0</v>
      </c>
      <c r="L671" t="s">
        <v>21</v>
      </c>
      <c r="M671" t="s">
        <v>44</v>
      </c>
      <c r="O671" s="5">
        <f t="shared" si="10"/>
        <v>0</v>
      </c>
      <c r="P671" s="6">
        <f>Table1[[#This Row],[Annual Salary]]+Table1[[#This Row],[Bonus Amount]]</f>
        <v>93103</v>
      </c>
      <c r="Q671" t="str">
        <f>IF(Table1[[#This Row],[Exit Date]]="", "Active","Exited")</f>
        <v>Active</v>
      </c>
      <c r="R671" s="2">
        <f ca="1">IFERROR(DATEDIF(Table1[[#This Row],[Hire Date]],IF(Table1[[#This Row],[Exit Date]]="",TODAY(),Table1[[#This Row],[Exit Date]]),"Y"),"")</f>
        <v>31</v>
      </c>
      <c r="S671" t="str" cm="1">
        <f t="array" ref="S671">_xlfn.IFS(Table1[[#This Row],[Age]]&lt;30,"Under 30",Table1[[#This Row],[Age]]&lt;=40,"30-40",Table1[[#This Row],[Age]]&lt;50,"41-50",TRUE,"50+")</f>
        <v>50+</v>
      </c>
    </row>
    <row r="672" spans="1:19" x14ac:dyDescent="0.35">
      <c r="A672" t="s">
        <v>1376</v>
      </c>
      <c r="B672" t="s">
        <v>1377</v>
      </c>
      <c r="C672" t="s">
        <v>68</v>
      </c>
      <c r="D672" t="s">
        <v>69</v>
      </c>
      <c r="E672" t="s">
        <v>49</v>
      </c>
      <c r="F672" t="s">
        <v>19</v>
      </c>
      <c r="G672" t="s">
        <v>36</v>
      </c>
      <c r="H672" s="3">
        <v>56</v>
      </c>
      <c r="I672" s="8">
        <v>42291</v>
      </c>
      <c r="J672" s="4">
        <v>76272</v>
      </c>
      <c r="K672" s="1">
        <v>0</v>
      </c>
      <c r="L672" t="s">
        <v>21</v>
      </c>
      <c r="M672" t="s">
        <v>56</v>
      </c>
      <c r="N672" s="7">
        <v>44491</v>
      </c>
      <c r="O672" s="5">
        <f t="shared" si="10"/>
        <v>0</v>
      </c>
      <c r="P672" s="6">
        <f>Table1[[#This Row],[Annual Salary]]+Table1[[#This Row],[Bonus Amount]]</f>
        <v>76272</v>
      </c>
      <c r="Q672" t="str">
        <f>IF(Table1[[#This Row],[Exit Date]]="", "Active","Exited")</f>
        <v>Exited</v>
      </c>
      <c r="R672" s="2">
        <f ca="1">IFERROR(DATEDIF(Table1[[#This Row],[Hire Date]],IF(Table1[[#This Row],[Exit Date]]="",TODAY(),Table1[[#This Row],[Exit Date]]),"Y"),"")</f>
        <v>6</v>
      </c>
      <c r="S672" t="str" cm="1">
        <f t="array" ref="S672">_xlfn.IFS(Table1[[#This Row],[Age]]&lt;30,"Under 30",Table1[[#This Row],[Age]]&lt;=40,"30-40",Table1[[#This Row],[Age]]&lt;50,"41-50",TRUE,"50+")</f>
        <v>50+</v>
      </c>
    </row>
    <row r="673" spans="1:19" x14ac:dyDescent="0.35">
      <c r="A673" t="s">
        <v>1378</v>
      </c>
      <c r="B673" t="s">
        <v>1379</v>
      </c>
      <c r="C673" t="s">
        <v>124</v>
      </c>
      <c r="D673" t="s">
        <v>34</v>
      </c>
      <c r="E673" t="s">
        <v>26</v>
      </c>
      <c r="F673" t="s">
        <v>19</v>
      </c>
      <c r="G673" t="s">
        <v>28</v>
      </c>
      <c r="H673" s="3">
        <v>48</v>
      </c>
      <c r="I673" s="8">
        <v>37796</v>
      </c>
      <c r="J673" s="4">
        <v>55760</v>
      </c>
      <c r="K673" s="1">
        <v>0</v>
      </c>
      <c r="L673" t="s">
        <v>21</v>
      </c>
      <c r="M673" t="s">
        <v>60</v>
      </c>
      <c r="O673" s="5">
        <f t="shared" si="10"/>
        <v>0</v>
      </c>
      <c r="P673" s="6">
        <f>Table1[[#This Row],[Annual Salary]]+Table1[[#This Row],[Bonus Amount]]</f>
        <v>55760</v>
      </c>
      <c r="Q673" t="str">
        <f>IF(Table1[[#This Row],[Exit Date]]="", "Active","Exited")</f>
        <v>Active</v>
      </c>
      <c r="R673" s="2">
        <f ca="1">IFERROR(DATEDIF(Table1[[#This Row],[Hire Date]],IF(Table1[[#This Row],[Exit Date]]="",TODAY(),Table1[[#This Row],[Exit Date]]),"Y"),"")</f>
        <v>22</v>
      </c>
      <c r="S673" t="str" cm="1">
        <f t="array" ref="S673">_xlfn.IFS(Table1[[#This Row],[Age]]&lt;30,"Under 30",Table1[[#This Row],[Age]]&lt;=40,"30-40",Table1[[#This Row],[Age]]&lt;50,"41-50",TRUE,"50+")</f>
        <v>41-50</v>
      </c>
    </row>
    <row r="674" spans="1:19" x14ac:dyDescent="0.35">
      <c r="A674" t="s">
        <v>1380</v>
      </c>
      <c r="B674" t="s">
        <v>1381</v>
      </c>
      <c r="C674" t="s">
        <v>79</v>
      </c>
      <c r="D674" t="s">
        <v>59</v>
      </c>
      <c r="E674" t="s">
        <v>49</v>
      </c>
      <c r="F674" t="s">
        <v>19</v>
      </c>
      <c r="G674" t="s">
        <v>36</v>
      </c>
      <c r="H674" s="3">
        <v>36</v>
      </c>
      <c r="I674" s="8">
        <v>43843</v>
      </c>
      <c r="J674" s="4">
        <v>253294</v>
      </c>
      <c r="K674" s="1">
        <v>0.4</v>
      </c>
      <c r="L674" t="s">
        <v>21</v>
      </c>
      <c r="M674" t="s">
        <v>56</v>
      </c>
      <c r="O674" s="5">
        <f t="shared" si="10"/>
        <v>101317.6</v>
      </c>
      <c r="P674" s="6">
        <f>Table1[[#This Row],[Annual Salary]]+Table1[[#This Row],[Bonus Amount]]</f>
        <v>354611.6</v>
      </c>
      <c r="Q674" t="str">
        <f>IF(Table1[[#This Row],[Exit Date]]="", "Active","Exited")</f>
        <v>Active</v>
      </c>
      <c r="R674" s="2">
        <f ca="1">IFERROR(DATEDIF(Table1[[#This Row],[Hire Date]],IF(Table1[[#This Row],[Exit Date]]="",TODAY(),Table1[[#This Row],[Exit Date]]),"Y"),"")</f>
        <v>6</v>
      </c>
      <c r="S674" t="str" cm="1">
        <f t="array" ref="S674">_xlfn.IFS(Table1[[#This Row],[Age]]&lt;30,"Under 30",Table1[[#This Row],[Age]]&lt;=40,"30-40",Table1[[#This Row],[Age]]&lt;50,"41-50",TRUE,"50+")</f>
        <v>30-40</v>
      </c>
    </row>
    <row r="675" spans="1:19" x14ac:dyDescent="0.35">
      <c r="A675" t="s">
        <v>1382</v>
      </c>
      <c r="B675" t="s">
        <v>1383</v>
      </c>
      <c r="C675" t="s">
        <v>124</v>
      </c>
      <c r="D675" t="s">
        <v>34</v>
      </c>
      <c r="E675" t="s">
        <v>49</v>
      </c>
      <c r="F675" t="s">
        <v>27</v>
      </c>
      <c r="G675" t="s">
        <v>36</v>
      </c>
      <c r="H675" s="3">
        <v>60</v>
      </c>
      <c r="I675" s="8">
        <v>39310</v>
      </c>
      <c r="J675" s="4">
        <v>58671</v>
      </c>
      <c r="K675" s="1">
        <v>0</v>
      </c>
      <c r="L675" t="s">
        <v>21</v>
      </c>
      <c r="M675" t="s">
        <v>88</v>
      </c>
      <c r="O675" s="5">
        <f t="shared" si="10"/>
        <v>0</v>
      </c>
      <c r="P675" s="6">
        <f>Table1[[#This Row],[Annual Salary]]+Table1[[#This Row],[Bonus Amount]]</f>
        <v>58671</v>
      </c>
      <c r="Q675" t="str">
        <f>IF(Table1[[#This Row],[Exit Date]]="", "Active","Exited")</f>
        <v>Active</v>
      </c>
      <c r="R675" s="2">
        <f ca="1">IFERROR(DATEDIF(Table1[[#This Row],[Hire Date]],IF(Table1[[#This Row],[Exit Date]]="",TODAY(),Table1[[#This Row],[Exit Date]]),"Y"),"")</f>
        <v>18</v>
      </c>
      <c r="S675" t="str" cm="1">
        <f t="array" ref="S675">_xlfn.IFS(Table1[[#This Row],[Age]]&lt;30,"Under 30",Table1[[#This Row],[Age]]&lt;=40,"30-40",Table1[[#This Row],[Age]]&lt;50,"41-50",TRUE,"50+")</f>
        <v>50+</v>
      </c>
    </row>
    <row r="676" spans="1:19" x14ac:dyDescent="0.35">
      <c r="A676" t="s">
        <v>1384</v>
      </c>
      <c r="B676" t="s">
        <v>1385</v>
      </c>
      <c r="C676" t="s">
        <v>47</v>
      </c>
      <c r="D676" t="s">
        <v>48</v>
      </c>
      <c r="E676" t="s">
        <v>18</v>
      </c>
      <c r="F676" t="s">
        <v>19</v>
      </c>
      <c r="G676" t="s">
        <v>28</v>
      </c>
      <c r="H676" s="3">
        <v>40</v>
      </c>
      <c r="I676" s="8">
        <v>43175</v>
      </c>
      <c r="J676" s="4">
        <v>55457</v>
      </c>
      <c r="K676" s="1">
        <v>0</v>
      </c>
      <c r="L676" t="s">
        <v>21</v>
      </c>
      <c r="M676" t="s">
        <v>88</v>
      </c>
      <c r="O676" s="5">
        <f t="shared" si="10"/>
        <v>0</v>
      </c>
      <c r="P676" s="6">
        <f>Table1[[#This Row],[Annual Salary]]+Table1[[#This Row],[Bonus Amount]]</f>
        <v>55457</v>
      </c>
      <c r="Q676" t="str">
        <f>IF(Table1[[#This Row],[Exit Date]]="", "Active","Exited")</f>
        <v>Active</v>
      </c>
      <c r="R676" s="2">
        <f ca="1">IFERROR(DATEDIF(Table1[[#This Row],[Hire Date]],IF(Table1[[#This Row],[Exit Date]]="",TODAY(),Table1[[#This Row],[Exit Date]]),"Y"),"")</f>
        <v>8</v>
      </c>
      <c r="S676" t="str" cm="1">
        <f t="array" ref="S676">_xlfn.IFS(Table1[[#This Row],[Age]]&lt;30,"Under 30",Table1[[#This Row],[Age]]&lt;=40,"30-40",Table1[[#This Row],[Age]]&lt;50,"41-50",TRUE,"50+")</f>
        <v>30-40</v>
      </c>
    </row>
    <row r="677" spans="1:19" x14ac:dyDescent="0.35">
      <c r="A677" t="s">
        <v>1386</v>
      </c>
      <c r="B677" t="s">
        <v>1387</v>
      </c>
      <c r="C677" t="s">
        <v>47</v>
      </c>
      <c r="D677" t="s">
        <v>48</v>
      </c>
      <c r="E677" t="s">
        <v>26</v>
      </c>
      <c r="F677" t="s">
        <v>19</v>
      </c>
      <c r="G677" t="s">
        <v>28</v>
      </c>
      <c r="H677" s="3">
        <v>63</v>
      </c>
      <c r="I677" s="8">
        <v>43004</v>
      </c>
      <c r="J677" s="4">
        <v>72340</v>
      </c>
      <c r="K677" s="1">
        <v>0</v>
      </c>
      <c r="L677" t="s">
        <v>21</v>
      </c>
      <c r="M677" t="s">
        <v>44</v>
      </c>
      <c r="N677" s="7">
        <v>43558</v>
      </c>
      <c r="O677" s="5">
        <f t="shared" si="10"/>
        <v>0</v>
      </c>
      <c r="P677" s="6">
        <f>Table1[[#This Row],[Annual Salary]]+Table1[[#This Row],[Bonus Amount]]</f>
        <v>72340</v>
      </c>
      <c r="Q677" t="str">
        <f>IF(Table1[[#This Row],[Exit Date]]="", "Active","Exited")</f>
        <v>Exited</v>
      </c>
      <c r="R677" s="2">
        <f ca="1">IFERROR(DATEDIF(Table1[[#This Row],[Hire Date]],IF(Table1[[#This Row],[Exit Date]]="",TODAY(),Table1[[#This Row],[Exit Date]]),"Y"),"")</f>
        <v>1</v>
      </c>
      <c r="S677" t="str" cm="1">
        <f t="array" ref="S677">_xlfn.IFS(Table1[[#This Row],[Age]]&lt;30,"Under 30",Table1[[#This Row],[Age]]&lt;=40,"30-40",Table1[[#This Row],[Age]]&lt;50,"41-50",TRUE,"50+")</f>
        <v>50+</v>
      </c>
    </row>
    <row r="678" spans="1:19" x14ac:dyDescent="0.35">
      <c r="A678" t="s">
        <v>1388</v>
      </c>
      <c r="B678" t="s">
        <v>1389</v>
      </c>
      <c r="C678" t="s">
        <v>52</v>
      </c>
      <c r="D678" t="s">
        <v>80</v>
      </c>
      <c r="E678" t="s">
        <v>49</v>
      </c>
      <c r="F678" t="s">
        <v>19</v>
      </c>
      <c r="G678" t="s">
        <v>36</v>
      </c>
      <c r="H678" s="3">
        <v>29</v>
      </c>
      <c r="I678" s="8">
        <v>42676</v>
      </c>
      <c r="J678" s="4">
        <v>122054</v>
      </c>
      <c r="K678" s="1">
        <v>0.06</v>
      </c>
      <c r="L678" t="s">
        <v>21</v>
      </c>
      <c r="M678" t="s">
        <v>44</v>
      </c>
      <c r="O678" s="5">
        <f t="shared" si="10"/>
        <v>7323.24</v>
      </c>
      <c r="P678" s="6">
        <f>Table1[[#This Row],[Annual Salary]]+Table1[[#This Row],[Bonus Amount]]</f>
        <v>129377.24</v>
      </c>
      <c r="Q678" t="str">
        <f>IF(Table1[[#This Row],[Exit Date]]="", "Active","Exited")</f>
        <v>Active</v>
      </c>
      <c r="R678" s="2">
        <f ca="1">IFERROR(DATEDIF(Table1[[#This Row],[Hire Date]],IF(Table1[[#This Row],[Exit Date]]="",TODAY(),Table1[[#This Row],[Exit Date]]),"Y"),"")</f>
        <v>9</v>
      </c>
      <c r="S678" t="str" cm="1">
        <f t="array" ref="S678">_xlfn.IFS(Table1[[#This Row],[Age]]&lt;30,"Under 30",Table1[[#This Row],[Age]]&lt;=40,"30-40",Table1[[#This Row],[Age]]&lt;50,"41-50",TRUE,"50+")</f>
        <v>Under 30</v>
      </c>
    </row>
    <row r="679" spans="1:19" x14ac:dyDescent="0.35">
      <c r="A679" t="s">
        <v>1390</v>
      </c>
      <c r="B679" t="s">
        <v>1391</v>
      </c>
      <c r="C679" t="s">
        <v>33</v>
      </c>
      <c r="D679" t="s">
        <v>17</v>
      </c>
      <c r="E679" t="s">
        <v>26</v>
      </c>
      <c r="F679" t="s">
        <v>19</v>
      </c>
      <c r="G679" t="s">
        <v>28</v>
      </c>
      <c r="H679" s="3">
        <v>27</v>
      </c>
      <c r="I679" s="8">
        <v>43103</v>
      </c>
      <c r="J679" s="4">
        <v>167100</v>
      </c>
      <c r="K679" s="1">
        <v>0.2</v>
      </c>
      <c r="L679" t="s">
        <v>29</v>
      </c>
      <c r="M679" t="s">
        <v>134</v>
      </c>
      <c r="O679" s="5">
        <f t="shared" si="10"/>
        <v>33420</v>
      </c>
      <c r="P679" s="6">
        <f>Table1[[#This Row],[Annual Salary]]+Table1[[#This Row],[Bonus Amount]]</f>
        <v>200520</v>
      </c>
      <c r="Q679" t="str">
        <f>IF(Table1[[#This Row],[Exit Date]]="", "Active","Exited")</f>
        <v>Active</v>
      </c>
      <c r="R679" s="2">
        <f ca="1">IFERROR(DATEDIF(Table1[[#This Row],[Hire Date]],IF(Table1[[#This Row],[Exit Date]]="",TODAY(),Table1[[#This Row],[Exit Date]]),"Y"),"")</f>
        <v>8</v>
      </c>
      <c r="S679" t="str" cm="1">
        <f t="array" ref="S679">_xlfn.IFS(Table1[[#This Row],[Age]]&lt;30,"Under 30",Table1[[#This Row],[Age]]&lt;=40,"30-40",Table1[[#This Row],[Age]]&lt;50,"41-50",TRUE,"50+")</f>
        <v>Under 30</v>
      </c>
    </row>
    <row r="680" spans="1:19" x14ac:dyDescent="0.35">
      <c r="A680" t="s">
        <v>1392</v>
      </c>
      <c r="B680" t="s">
        <v>1393</v>
      </c>
      <c r="C680" t="s">
        <v>25</v>
      </c>
      <c r="D680" t="s">
        <v>17</v>
      </c>
      <c r="E680" t="s">
        <v>49</v>
      </c>
      <c r="F680" t="s">
        <v>19</v>
      </c>
      <c r="G680" t="s">
        <v>36</v>
      </c>
      <c r="H680" s="3">
        <v>53</v>
      </c>
      <c r="I680" s="8">
        <v>35543</v>
      </c>
      <c r="J680" s="4">
        <v>78153</v>
      </c>
      <c r="K680" s="1">
        <v>0</v>
      </c>
      <c r="L680" t="s">
        <v>21</v>
      </c>
      <c r="M680" t="s">
        <v>56</v>
      </c>
      <c r="O680" s="5">
        <f t="shared" si="10"/>
        <v>0</v>
      </c>
      <c r="P680" s="6">
        <f>Table1[[#This Row],[Annual Salary]]+Table1[[#This Row],[Bonus Amount]]</f>
        <v>78153</v>
      </c>
      <c r="Q680" t="str">
        <f>IF(Table1[[#This Row],[Exit Date]]="", "Active","Exited")</f>
        <v>Active</v>
      </c>
      <c r="R680" s="2">
        <f ca="1">IFERROR(DATEDIF(Table1[[#This Row],[Hire Date]],IF(Table1[[#This Row],[Exit Date]]="",TODAY(),Table1[[#This Row],[Exit Date]]),"Y"),"")</f>
        <v>28</v>
      </c>
      <c r="S680" t="str" cm="1">
        <f t="array" ref="S680">_xlfn.IFS(Table1[[#This Row],[Age]]&lt;30,"Under 30",Table1[[#This Row],[Age]]&lt;=40,"30-40",Table1[[#This Row],[Age]]&lt;50,"41-50",TRUE,"50+")</f>
        <v>50+</v>
      </c>
    </row>
    <row r="681" spans="1:19" x14ac:dyDescent="0.35">
      <c r="A681" t="s">
        <v>1394</v>
      </c>
      <c r="B681" t="s">
        <v>1395</v>
      </c>
      <c r="C681" t="s">
        <v>52</v>
      </c>
      <c r="D681" t="s">
        <v>34</v>
      </c>
      <c r="E681" t="s">
        <v>26</v>
      </c>
      <c r="F681" t="s">
        <v>19</v>
      </c>
      <c r="G681" t="s">
        <v>36</v>
      </c>
      <c r="H681" s="3">
        <v>37</v>
      </c>
      <c r="I681" s="8">
        <v>43935</v>
      </c>
      <c r="J681" s="4">
        <v>103524</v>
      </c>
      <c r="K681" s="1">
        <v>0.09</v>
      </c>
      <c r="L681" t="s">
        <v>21</v>
      </c>
      <c r="M681" t="s">
        <v>44</v>
      </c>
      <c r="O681" s="5">
        <f t="shared" si="10"/>
        <v>9317.16</v>
      </c>
      <c r="P681" s="6">
        <f>Table1[[#This Row],[Annual Salary]]+Table1[[#This Row],[Bonus Amount]]</f>
        <v>112841.16</v>
      </c>
      <c r="Q681" t="str">
        <f>IF(Table1[[#This Row],[Exit Date]]="", "Active","Exited")</f>
        <v>Active</v>
      </c>
      <c r="R681" s="2">
        <f ca="1">IFERROR(DATEDIF(Table1[[#This Row],[Hire Date]],IF(Table1[[#This Row],[Exit Date]]="",TODAY(),Table1[[#This Row],[Exit Date]]),"Y"),"")</f>
        <v>5</v>
      </c>
      <c r="S681" t="str" cm="1">
        <f t="array" ref="S681">_xlfn.IFS(Table1[[#This Row],[Age]]&lt;30,"Under 30",Table1[[#This Row],[Age]]&lt;=40,"30-40",Table1[[#This Row],[Age]]&lt;50,"41-50",TRUE,"50+")</f>
        <v>30-40</v>
      </c>
    </row>
    <row r="682" spans="1:19" x14ac:dyDescent="0.35">
      <c r="A682" t="s">
        <v>1396</v>
      </c>
      <c r="B682" t="s">
        <v>1397</v>
      </c>
      <c r="C682" t="s">
        <v>52</v>
      </c>
      <c r="D682" t="s">
        <v>17</v>
      </c>
      <c r="E682" t="s">
        <v>49</v>
      </c>
      <c r="F682" t="s">
        <v>27</v>
      </c>
      <c r="G682" t="s">
        <v>36</v>
      </c>
      <c r="H682" s="3">
        <v>30</v>
      </c>
      <c r="I682" s="8">
        <v>42952</v>
      </c>
      <c r="J682" s="4">
        <v>119906</v>
      </c>
      <c r="K682" s="1">
        <v>0.05</v>
      </c>
      <c r="L682" t="s">
        <v>21</v>
      </c>
      <c r="M682" t="s">
        <v>88</v>
      </c>
      <c r="O682" s="5">
        <f t="shared" si="10"/>
        <v>5995.3</v>
      </c>
      <c r="P682" s="6">
        <f>Table1[[#This Row],[Annual Salary]]+Table1[[#This Row],[Bonus Amount]]</f>
        <v>125901.3</v>
      </c>
      <c r="Q682" t="str">
        <f>IF(Table1[[#This Row],[Exit Date]]="", "Active","Exited")</f>
        <v>Active</v>
      </c>
      <c r="R682" s="2">
        <f ca="1">IFERROR(DATEDIF(Table1[[#This Row],[Hire Date]],IF(Table1[[#This Row],[Exit Date]]="",TODAY(),Table1[[#This Row],[Exit Date]]),"Y"),"")</f>
        <v>8</v>
      </c>
      <c r="S682" t="str" cm="1">
        <f t="array" ref="S682">_xlfn.IFS(Table1[[#This Row],[Age]]&lt;30,"Under 30",Table1[[#This Row],[Age]]&lt;=40,"30-40",Table1[[#This Row],[Age]]&lt;50,"41-50",TRUE,"50+")</f>
        <v>30-40</v>
      </c>
    </row>
    <row r="683" spans="1:19" x14ac:dyDescent="0.35">
      <c r="A683" t="s">
        <v>1398</v>
      </c>
      <c r="B683" t="s">
        <v>1399</v>
      </c>
      <c r="C683" t="s">
        <v>55</v>
      </c>
      <c r="D683" t="s">
        <v>80</v>
      </c>
      <c r="E683" t="s">
        <v>35</v>
      </c>
      <c r="F683" t="s">
        <v>19</v>
      </c>
      <c r="G683" t="s">
        <v>36</v>
      </c>
      <c r="H683" s="3">
        <v>28</v>
      </c>
      <c r="I683" s="8">
        <v>43847</v>
      </c>
      <c r="J683" s="4">
        <v>45061</v>
      </c>
      <c r="K683" s="1">
        <v>0</v>
      </c>
      <c r="L683" t="s">
        <v>21</v>
      </c>
      <c r="M683" t="s">
        <v>56</v>
      </c>
      <c r="O683" s="5">
        <f t="shared" si="10"/>
        <v>0</v>
      </c>
      <c r="P683" s="6">
        <f>Table1[[#This Row],[Annual Salary]]+Table1[[#This Row],[Bonus Amount]]</f>
        <v>45061</v>
      </c>
      <c r="Q683" t="str">
        <f>IF(Table1[[#This Row],[Exit Date]]="", "Active","Exited")</f>
        <v>Active</v>
      </c>
      <c r="R683" s="2">
        <f ca="1">IFERROR(DATEDIF(Table1[[#This Row],[Hire Date]],IF(Table1[[#This Row],[Exit Date]]="",TODAY(),Table1[[#This Row],[Exit Date]]),"Y"),"")</f>
        <v>6</v>
      </c>
      <c r="S683" t="str" cm="1">
        <f t="array" ref="S683">_xlfn.IFS(Table1[[#This Row],[Age]]&lt;30,"Under 30",Table1[[#This Row],[Age]]&lt;=40,"30-40",Table1[[#This Row],[Age]]&lt;50,"41-50",TRUE,"50+")</f>
        <v>Under 30</v>
      </c>
    </row>
    <row r="684" spans="1:19" x14ac:dyDescent="0.35">
      <c r="A684" t="s">
        <v>1400</v>
      </c>
      <c r="B684" t="s">
        <v>1401</v>
      </c>
      <c r="C684" t="s">
        <v>442</v>
      </c>
      <c r="D684" t="s">
        <v>17</v>
      </c>
      <c r="E684" t="s">
        <v>49</v>
      </c>
      <c r="F684" t="s">
        <v>27</v>
      </c>
      <c r="G684" t="s">
        <v>28</v>
      </c>
      <c r="H684" s="3">
        <v>51</v>
      </c>
      <c r="I684" s="8">
        <v>37638</v>
      </c>
      <c r="J684" s="4">
        <v>91399</v>
      </c>
      <c r="K684" s="1">
        <v>0</v>
      </c>
      <c r="L684" t="s">
        <v>21</v>
      </c>
      <c r="M684" t="s">
        <v>22</v>
      </c>
      <c r="O684" s="5">
        <f t="shared" si="10"/>
        <v>0</v>
      </c>
      <c r="P684" s="6">
        <f>Table1[[#This Row],[Annual Salary]]+Table1[[#This Row],[Bonus Amount]]</f>
        <v>91399</v>
      </c>
      <c r="Q684" t="str">
        <f>IF(Table1[[#This Row],[Exit Date]]="", "Active","Exited")</f>
        <v>Active</v>
      </c>
      <c r="R684" s="2">
        <f ca="1">IFERROR(DATEDIF(Table1[[#This Row],[Hire Date]],IF(Table1[[#This Row],[Exit Date]]="",TODAY(),Table1[[#This Row],[Exit Date]]),"Y"),"")</f>
        <v>23</v>
      </c>
      <c r="S684" t="str" cm="1">
        <f t="array" ref="S684">_xlfn.IFS(Table1[[#This Row],[Age]]&lt;30,"Under 30",Table1[[#This Row],[Age]]&lt;=40,"30-40",Table1[[#This Row],[Age]]&lt;50,"41-50",TRUE,"50+")</f>
        <v>50+</v>
      </c>
    </row>
    <row r="685" spans="1:19" x14ac:dyDescent="0.35">
      <c r="A685" t="s">
        <v>1402</v>
      </c>
      <c r="B685" t="s">
        <v>1403</v>
      </c>
      <c r="C685" t="s">
        <v>131</v>
      </c>
      <c r="D685" t="s">
        <v>17</v>
      </c>
      <c r="E685" t="s">
        <v>18</v>
      </c>
      <c r="F685" t="s">
        <v>27</v>
      </c>
      <c r="G685" t="s">
        <v>85</v>
      </c>
      <c r="H685" s="3">
        <v>28</v>
      </c>
      <c r="I685" s="8">
        <v>43006</v>
      </c>
      <c r="J685" s="4">
        <v>97336</v>
      </c>
      <c r="K685" s="1">
        <v>0</v>
      </c>
      <c r="L685" t="s">
        <v>21</v>
      </c>
      <c r="M685" t="s">
        <v>60</v>
      </c>
      <c r="O685" s="5">
        <f t="shared" si="10"/>
        <v>0</v>
      </c>
      <c r="P685" s="6">
        <f>Table1[[#This Row],[Annual Salary]]+Table1[[#This Row],[Bonus Amount]]</f>
        <v>97336</v>
      </c>
      <c r="Q685" t="str">
        <f>IF(Table1[[#This Row],[Exit Date]]="", "Active","Exited")</f>
        <v>Active</v>
      </c>
      <c r="R685" s="2">
        <f ca="1">IFERROR(DATEDIF(Table1[[#This Row],[Hire Date]],IF(Table1[[#This Row],[Exit Date]]="",TODAY(),Table1[[#This Row],[Exit Date]]),"Y"),"")</f>
        <v>8</v>
      </c>
      <c r="S685" t="str" cm="1">
        <f t="array" ref="S685">_xlfn.IFS(Table1[[#This Row],[Age]]&lt;30,"Under 30",Table1[[#This Row],[Age]]&lt;=40,"30-40",Table1[[#This Row],[Age]]&lt;50,"41-50",TRUE,"50+")</f>
        <v>Under 30</v>
      </c>
    </row>
    <row r="686" spans="1:19" x14ac:dyDescent="0.35">
      <c r="A686" t="s">
        <v>1321</v>
      </c>
      <c r="B686" t="s">
        <v>1404</v>
      </c>
      <c r="C686" t="s">
        <v>16</v>
      </c>
      <c r="D686" t="s">
        <v>59</v>
      </c>
      <c r="E686" t="s">
        <v>49</v>
      </c>
      <c r="F686" t="s">
        <v>19</v>
      </c>
      <c r="G686" t="s">
        <v>20</v>
      </c>
      <c r="H686" s="3">
        <v>31</v>
      </c>
      <c r="I686" s="8">
        <v>42755</v>
      </c>
      <c r="J686" s="4">
        <v>124629</v>
      </c>
      <c r="K686" s="1">
        <v>0.1</v>
      </c>
      <c r="L686" t="s">
        <v>21</v>
      </c>
      <c r="M686" t="s">
        <v>88</v>
      </c>
      <c r="O686" s="5">
        <f t="shared" si="10"/>
        <v>12462.900000000001</v>
      </c>
      <c r="P686" s="6">
        <f>Table1[[#This Row],[Annual Salary]]+Table1[[#This Row],[Bonus Amount]]</f>
        <v>137091.9</v>
      </c>
      <c r="Q686" t="str">
        <f>IF(Table1[[#This Row],[Exit Date]]="", "Active","Exited")</f>
        <v>Active</v>
      </c>
      <c r="R686" s="2">
        <f ca="1">IFERROR(DATEDIF(Table1[[#This Row],[Hire Date]],IF(Table1[[#This Row],[Exit Date]]="",TODAY(),Table1[[#This Row],[Exit Date]]),"Y"),"")</f>
        <v>9</v>
      </c>
      <c r="S686" t="str" cm="1">
        <f t="array" ref="S686">_xlfn.IFS(Table1[[#This Row],[Age]]&lt;30,"Under 30",Table1[[#This Row],[Age]]&lt;=40,"30-40",Table1[[#This Row],[Age]]&lt;50,"41-50",TRUE,"50+")</f>
        <v>30-40</v>
      </c>
    </row>
    <row r="687" spans="1:19" x14ac:dyDescent="0.35">
      <c r="A687" t="s">
        <v>1405</v>
      </c>
      <c r="B687" t="s">
        <v>1406</v>
      </c>
      <c r="C687" t="s">
        <v>79</v>
      </c>
      <c r="D687" t="s">
        <v>65</v>
      </c>
      <c r="E687" t="s">
        <v>35</v>
      </c>
      <c r="F687" t="s">
        <v>19</v>
      </c>
      <c r="G687" t="s">
        <v>36</v>
      </c>
      <c r="H687" s="3">
        <v>28</v>
      </c>
      <c r="I687" s="8">
        <v>44402</v>
      </c>
      <c r="J687" s="4">
        <v>231850</v>
      </c>
      <c r="K687" s="1">
        <v>0.39</v>
      </c>
      <c r="L687" t="s">
        <v>21</v>
      </c>
      <c r="M687" t="s">
        <v>56</v>
      </c>
      <c r="O687" s="5">
        <f t="shared" si="10"/>
        <v>90421.5</v>
      </c>
      <c r="P687" s="6">
        <f>Table1[[#This Row],[Annual Salary]]+Table1[[#This Row],[Bonus Amount]]</f>
        <v>322271.5</v>
      </c>
      <c r="Q687" t="str">
        <f>IF(Table1[[#This Row],[Exit Date]]="", "Active","Exited")</f>
        <v>Active</v>
      </c>
      <c r="R687" s="2">
        <f ca="1">IFERROR(DATEDIF(Table1[[#This Row],[Hire Date]],IF(Table1[[#This Row],[Exit Date]]="",TODAY(),Table1[[#This Row],[Exit Date]]),"Y"),"")</f>
        <v>4</v>
      </c>
      <c r="S687" t="str" cm="1">
        <f t="array" ref="S687">_xlfn.IFS(Table1[[#This Row],[Age]]&lt;30,"Under 30",Table1[[#This Row],[Age]]&lt;=40,"30-40",Table1[[#This Row],[Age]]&lt;50,"41-50",TRUE,"50+")</f>
        <v>Under 30</v>
      </c>
    </row>
    <row r="688" spans="1:19" x14ac:dyDescent="0.35">
      <c r="A688" t="s">
        <v>1407</v>
      </c>
      <c r="B688" t="s">
        <v>1408</v>
      </c>
      <c r="C688" t="s">
        <v>52</v>
      </c>
      <c r="D688" t="s">
        <v>59</v>
      </c>
      <c r="E688" t="s">
        <v>18</v>
      </c>
      <c r="F688" t="s">
        <v>27</v>
      </c>
      <c r="G688" t="s">
        <v>85</v>
      </c>
      <c r="H688" s="3">
        <v>34</v>
      </c>
      <c r="I688" s="8">
        <v>43255</v>
      </c>
      <c r="J688" s="4">
        <v>128329</v>
      </c>
      <c r="K688" s="1">
        <v>0.08</v>
      </c>
      <c r="L688" t="s">
        <v>21</v>
      </c>
      <c r="M688" t="s">
        <v>44</v>
      </c>
      <c r="O688" s="5">
        <f t="shared" si="10"/>
        <v>10266.32</v>
      </c>
      <c r="P688" s="6">
        <f>Table1[[#This Row],[Annual Salary]]+Table1[[#This Row],[Bonus Amount]]</f>
        <v>138595.32</v>
      </c>
      <c r="Q688" t="str">
        <f>IF(Table1[[#This Row],[Exit Date]]="", "Active","Exited")</f>
        <v>Active</v>
      </c>
      <c r="R688" s="2">
        <f ca="1">IFERROR(DATEDIF(Table1[[#This Row],[Hire Date]],IF(Table1[[#This Row],[Exit Date]]="",TODAY(),Table1[[#This Row],[Exit Date]]),"Y"),"")</f>
        <v>7</v>
      </c>
      <c r="S688" t="str" cm="1">
        <f t="array" ref="S688">_xlfn.IFS(Table1[[#This Row],[Age]]&lt;30,"Under 30",Table1[[#This Row],[Age]]&lt;=40,"30-40",Table1[[#This Row],[Age]]&lt;50,"41-50",TRUE,"50+")</f>
        <v>30-40</v>
      </c>
    </row>
    <row r="689" spans="1:19" x14ac:dyDescent="0.35">
      <c r="A689" t="s">
        <v>1409</v>
      </c>
      <c r="B689" t="s">
        <v>1410</v>
      </c>
      <c r="C689" t="s">
        <v>79</v>
      </c>
      <c r="D689" t="s">
        <v>80</v>
      </c>
      <c r="E689" t="s">
        <v>35</v>
      </c>
      <c r="F689" t="s">
        <v>27</v>
      </c>
      <c r="G689" t="s">
        <v>85</v>
      </c>
      <c r="H689" s="3">
        <v>44</v>
      </c>
      <c r="I689" s="8">
        <v>44283</v>
      </c>
      <c r="J689" s="4">
        <v>186033</v>
      </c>
      <c r="K689" s="1">
        <v>0.34</v>
      </c>
      <c r="L689" t="s">
        <v>93</v>
      </c>
      <c r="M689" t="s">
        <v>218</v>
      </c>
      <c r="O689" s="5">
        <f t="shared" si="10"/>
        <v>63251.22</v>
      </c>
      <c r="P689" s="6">
        <f>Table1[[#This Row],[Annual Salary]]+Table1[[#This Row],[Bonus Amount]]</f>
        <v>249284.22</v>
      </c>
      <c r="Q689" t="str">
        <f>IF(Table1[[#This Row],[Exit Date]]="", "Active","Exited")</f>
        <v>Active</v>
      </c>
      <c r="R689" s="2">
        <f ca="1">IFERROR(DATEDIF(Table1[[#This Row],[Hire Date]],IF(Table1[[#This Row],[Exit Date]]="",TODAY(),Table1[[#This Row],[Exit Date]]),"Y"),"")</f>
        <v>4</v>
      </c>
      <c r="S689" t="str" cm="1">
        <f t="array" ref="S689">_xlfn.IFS(Table1[[#This Row],[Age]]&lt;30,"Under 30",Table1[[#This Row],[Age]]&lt;=40,"30-40",Table1[[#This Row],[Age]]&lt;50,"41-50",TRUE,"50+")</f>
        <v>41-50</v>
      </c>
    </row>
    <row r="690" spans="1:19" x14ac:dyDescent="0.35">
      <c r="A690" t="s">
        <v>1411</v>
      </c>
      <c r="B690" t="s">
        <v>1412</v>
      </c>
      <c r="C690" t="s">
        <v>16</v>
      </c>
      <c r="D690" t="s">
        <v>80</v>
      </c>
      <c r="E690" t="s">
        <v>26</v>
      </c>
      <c r="F690" t="s">
        <v>27</v>
      </c>
      <c r="G690" t="s">
        <v>28</v>
      </c>
      <c r="H690" s="3">
        <v>60</v>
      </c>
      <c r="I690" s="8">
        <v>44403</v>
      </c>
      <c r="J690" s="4">
        <v>121480</v>
      </c>
      <c r="K690" s="1">
        <v>0.14000000000000001</v>
      </c>
      <c r="L690" t="s">
        <v>21</v>
      </c>
      <c r="M690" t="s">
        <v>44</v>
      </c>
      <c r="O690" s="5">
        <f t="shared" si="10"/>
        <v>17007.2</v>
      </c>
      <c r="P690" s="6">
        <f>Table1[[#This Row],[Annual Salary]]+Table1[[#This Row],[Bonus Amount]]</f>
        <v>138487.20000000001</v>
      </c>
      <c r="Q690" t="str">
        <f>IF(Table1[[#This Row],[Exit Date]]="", "Active","Exited")</f>
        <v>Active</v>
      </c>
      <c r="R690" s="2">
        <f ca="1">IFERROR(DATEDIF(Table1[[#This Row],[Hire Date]],IF(Table1[[#This Row],[Exit Date]]="",TODAY(),Table1[[#This Row],[Exit Date]]),"Y"),"")</f>
        <v>4</v>
      </c>
      <c r="S690" t="str" cm="1">
        <f t="array" ref="S690">_xlfn.IFS(Table1[[#This Row],[Age]]&lt;30,"Under 30",Table1[[#This Row],[Age]]&lt;=40,"30-40",Table1[[#This Row],[Age]]&lt;50,"41-50",TRUE,"50+")</f>
        <v>50+</v>
      </c>
    </row>
    <row r="691" spans="1:19" x14ac:dyDescent="0.35">
      <c r="A691" t="s">
        <v>1413</v>
      </c>
      <c r="B691" t="s">
        <v>1414</v>
      </c>
      <c r="C691" t="s">
        <v>33</v>
      </c>
      <c r="D691" t="s">
        <v>65</v>
      </c>
      <c r="E691" t="s">
        <v>35</v>
      </c>
      <c r="F691" t="s">
        <v>19</v>
      </c>
      <c r="G691" t="s">
        <v>36</v>
      </c>
      <c r="H691" s="3">
        <v>41</v>
      </c>
      <c r="I691" s="8">
        <v>40319</v>
      </c>
      <c r="J691" s="4">
        <v>153275</v>
      </c>
      <c r="K691" s="1">
        <v>0.24</v>
      </c>
      <c r="L691" t="s">
        <v>21</v>
      </c>
      <c r="M691" t="s">
        <v>88</v>
      </c>
      <c r="O691" s="5">
        <f t="shared" si="10"/>
        <v>36786</v>
      </c>
      <c r="P691" s="6">
        <f>Table1[[#This Row],[Annual Salary]]+Table1[[#This Row],[Bonus Amount]]</f>
        <v>190061</v>
      </c>
      <c r="Q691" t="str">
        <f>IF(Table1[[#This Row],[Exit Date]]="", "Active","Exited")</f>
        <v>Active</v>
      </c>
      <c r="R691" s="2">
        <f ca="1">IFERROR(DATEDIF(Table1[[#This Row],[Hire Date]],IF(Table1[[#This Row],[Exit Date]]="",TODAY(),Table1[[#This Row],[Exit Date]]),"Y"),"")</f>
        <v>15</v>
      </c>
      <c r="S691" t="str" cm="1">
        <f t="array" ref="S691">_xlfn.IFS(Table1[[#This Row],[Age]]&lt;30,"Under 30",Table1[[#This Row],[Age]]&lt;=40,"30-40",Table1[[#This Row],[Age]]&lt;50,"41-50",TRUE,"50+")</f>
        <v>41-50</v>
      </c>
    </row>
    <row r="692" spans="1:19" x14ac:dyDescent="0.35">
      <c r="A692" t="s">
        <v>1415</v>
      </c>
      <c r="B692" t="s">
        <v>1416</v>
      </c>
      <c r="C692" t="s">
        <v>43</v>
      </c>
      <c r="D692" t="s">
        <v>48</v>
      </c>
      <c r="E692" t="s">
        <v>18</v>
      </c>
      <c r="F692" t="s">
        <v>19</v>
      </c>
      <c r="G692" t="s">
        <v>28</v>
      </c>
      <c r="H692" s="3">
        <v>62</v>
      </c>
      <c r="I692" s="8">
        <v>43969</v>
      </c>
      <c r="J692" s="4">
        <v>97830</v>
      </c>
      <c r="K692" s="1">
        <v>0</v>
      </c>
      <c r="L692" t="s">
        <v>21</v>
      </c>
      <c r="M692" t="s">
        <v>60</v>
      </c>
      <c r="O692" s="5">
        <f t="shared" si="10"/>
        <v>0</v>
      </c>
      <c r="P692" s="6">
        <f>Table1[[#This Row],[Annual Salary]]+Table1[[#This Row],[Bonus Amount]]</f>
        <v>97830</v>
      </c>
      <c r="Q692" t="str">
        <f>IF(Table1[[#This Row],[Exit Date]]="", "Active","Exited")</f>
        <v>Active</v>
      </c>
      <c r="R692" s="2">
        <f ca="1">IFERROR(DATEDIF(Table1[[#This Row],[Hire Date]],IF(Table1[[#This Row],[Exit Date]]="",TODAY(),Table1[[#This Row],[Exit Date]]),"Y"),"")</f>
        <v>5</v>
      </c>
      <c r="S692" t="str" cm="1">
        <f t="array" ref="S692">_xlfn.IFS(Table1[[#This Row],[Age]]&lt;30,"Under 30",Table1[[#This Row],[Age]]&lt;=40,"30-40",Table1[[#This Row],[Age]]&lt;50,"41-50",TRUE,"50+")</f>
        <v>50+</v>
      </c>
    </row>
    <row r="693" spans="1:19" x14ac:dyDescent="0.35">
      <c r="A693" t="s">
        <v>1417</v>
      </c>
      <c r="B693" t="s">
        <v>1418</v>
      </c>
      <c r="C693" t="s">
        <v>79</v>
      </c>
      <c r="D693" t="s">
        <v>80</v>
      </c>
      <c r="E693" t="s">
        <v>49</v>
      </c>
      <c r="F693" t="s">
        <v>19</v>
      </c>
      <c r="G693" t="s">
        <v>85</v>
      </c>
      <c r="H693" s="3">
        <v>47</v>
      </c>
      <c r="I693" s="8">
        <v>36232</v>
      </c>
      <c r="J693" s="4">
        <v>239394</v>
      </c>
      <c r="K693" s="1">
        <v>0.32</v>
      </c>
      <c r="L693" t="s">
        <v>21</v>
      </c>
      <c r="M693" t="s">
        <v>60</v>
      </c>
      <c r="O693" s="5">
        <f t="shared" si="10"/>
        <v>76606.080000000002</v>
      </c>
      <c r="P693" s="6">
        <f>Table1[[#This Row],[Annual Salary]]+Table1[[#This Row],[Bonus Amount]]</f>
        <v>316000.08</v>
      </c>
      <c r="Q693" t="str">
        <f>IF(Table1[[#This Row],[Exit Date]]="", "Active","Exited")</f>
        <v>Active</v>
      </c>
      <c r="R693" s="2">
        <f ca="1">IFERROR(DATEDIF(Table1[[#This Row],[Hire Date]],IF(Table1[[#This Row],[Exit Date]]="",TODAY(),Table1[[#This Row],[Exit Date]]),"Y"),"")</f>
        <v>27</v>
      </c>
      <c r="S693" t="str" cm="1">
        <f t="array" ref="S693">_xlfn.IFS(Table1[[#This Row],[Age]]&lt;30,"Under 30",Table1[[#This Row],[Age]]&lt;=40,"30-40",Table1[[#This Row],[Age]]&lt;50,"41-50",TRUE,"50+")</f>
        <v>41-50</v>
      </c>
    </row>
    <row r="694" spans="1:19" x14ac:dyDescent="0.35">
      <c r="A694" t="s">
        <v>667</v>
      </c>
      <c r="B694" t="s">
        <v>1419</v>
      </c>
      <c r="C694" t="s">
        <v>55</v>
      </c>
      <c r="D694" t="s">
        <v>34</v>
      </c>
      <c r="E694" t="s">
        <v>35</v>
      </c>
      <c r="F694" t="s">
        <v>19</v>
      </c>
      <c r="G694" t="s">
        <v>28</v>
      </c>
      <c r="H694" s="3">
        <v>62</v>
      </c>
      <c r="I694" s="8">
        <v>37519</v>
      </c>
      <c r="J694" s="4">
        <v>49738</v>
      </c>
      <c r="K694" s="1">
        <v>0</v>
      </c>
      <c r="L694" t="s">
        <v>29</v>
      </c>
      <c r="M694" t="s">
        <v>114</v>
      </c>
      <c r="O694" s="5">
        <f t="shared" si="10"/>
        <v>0</v>
      </c>
      <c r="P694" s="6">
        <f>Table1[[#This Row],[Annual Salary]]+Table1[[#This Row],[Bonus Amount]]</f>
        <v>49738</v>
      </c>
      <c r="Q694" t="str">
        <f>IF(Table1[[#This Row],[Exit Date]]="", "Active","Exited")</f>
        <v>Active</v>
      </c>
      <c r="R694" s="2">
        <f ca="1">IFERROR(DATEDIF(Table1[[#This Row],[Hire Date]],IF(Table1[[#This Row],[Exit Date]]="",TODAY(),Table1[[#This Row],[Exit Date]]),"Y"),"")</f>
        <v>23</v>
      </c>
      <c r="S694" t="str" cm="1">
        <f t="array" ref="S694">_xlfn.IFS(Table1[[#This Row],[Age]]&lt;30,"Under 30",Table1[[#This Row],[Age]]&lt;=40,"30-40",Table1[[#This Row],[Age]]&lt;50,"41-50",TRUE,"50+")</f>
        <v>50+</v>
      </c>
    </row>
    <row r="695" spans="1:19" x14ac:dyDescent="0.35">
      <c r="A695" t="s">
        <v>1420</v>
      </c>
      <c r="B695" t="s">
        <v>1421</v>
      </c>
      <c r="C695" t="s">
        <v>55</v>
      </c>
      <c r="D695" t="s">
        <v>59</v>
      </c>
      <c r="E695" t="s">
        <v>26</v>
      </c>
      <c r="F695" t="s">
        <v>19</v>
      </c>
      <c r="G695" t="s">
        <v>85</v>
      </c>
      <c r="H695" s="3">
        <v>33</v>
      </c>
      <c r="I695" s="8">
        <v>43247</v>
      </c>
      <c r="J695" s="4">
        <v>45049</v>
      </c>
      <c r="K695" s="1">
        <v>0</v>
      </c>
      <c r="L695" t="s">
        <v>21</v>
      </c>
      <c r="M695" t="s">
        <v>22</v>
      </c>
      <c r="O695" s="5">
        <f t="shared" si="10"/>
        <v>0</v>
      </c>
      <c r="P695" s="6">
        <f>Table1[[#This Row],[Annual Salary]]+Table1[[#This Row],[Bonus Amount]]</f>
        <v>45049</v>
      </c>
      <c r="Q695" t="str">
        <f>IF(Table1[[#This Row],[Exit Date]]="", "Active","Exited")</f>
        <v>Active</v>
      </c>
      <c r="R695" s="2">
        <f ca="1">IFERROR(DATEDIF(Table1[[#This Row],[Hire Date]],IF(Table1[[#This Row],[Exit Date]]="",TODAY(),Table1[[#This Row],[Exit Date]]),"Y"),"")</f>
        <v>7</v>
      </c>
      <c r="S695" t="str" cm="1">
        <f t="array" ref="S695">_xlfn.IFS(Table1[[#This Row],[Age]]&lt;30,"Under 30",Table1[[#This Row],[Age]]&lt;=40,"30-40",Table1[[#This Row],[Age]]&lt;50,"41-50",TRUE,"50+")</f>
        <v>30-40</v>
      </c>
    </row>
    <row r="696" spans="1:19" x14ac:dyDescent="0.35">
      <c r="A696" t="s">
        <v>1422</v>
      </c>
      <c r="B696" t="s">
        <v>1423</v>
      </c>
      <c r="C696" t="s">
        <v>33</v>
      </c>
      <c r="D696" t="s">
        <v>34</v>
      </c>
      <c r="E696" t="s">
        <v>18</v>
      </c>
      <c r="F696" t="s">
        <v>19</v>
      </c>
      <c r="G696" t="s">
        <v>28</v>
      </c>
      <c r="H696" s="3">
        <v>27</v>
      </c>
      <c r="I696" s="8">
        <v>43977</v>
      </c>
      <c r="J696" s="4">
        <v>153628</v>
      </c>
      <c r="K696" s="1">
        <v>0.28999999999999998</v>
      </c>
      <c r="L696" t="s">
        <v>29</v>
      </c>
      <c r="M696" t="s">
        <v>30</v>
      </c>
      <c r="N696" s="7">
        <v>44177</v>
      </c>
      <c r="O696" s="5">
        <f t="shared" si="10"/>
        <v>44552.119999999995</v>
      </c>
      <c r="P696" s="6">
        <f>Table1[[#This Row],[Annual Salary]]+Table1[[#This Row],[Bonus Amount]]</f>
        <v>198180.12</v>
      </c>
      <c r="Q696" t="str">
        <f>IF(Table1[[#This Row],[Exit Date]]="", "Active","Exited")</f>
        <v>Exited</v>
      </c>
      <c r="R696" s="2">
        <f ca="1">IFERROR(DATEDIF(Table1[[#This Row],[Hire Date]],IF(Table1[[#This Row],[Exit Date]]="",TODAY(),Table1[[#This Row],[Exit Date]]),"Y"),"")</f>
        <v>0</v>
      </c>
      <c r="S696" t="str" cm="1">
        <f t="array" ref="S696">_xlfn.IFS(Table1[[#This Row],[Age]]&lt;30,"Under 30",Table1[[#This Row],[Age]]&lt;=40,"30-40",Table1[[#This Row],[Age]]&lt;50,"41-50",TRUE,"50+")</f>
        <v>Under 30</v>
      </c>
    </row>
    <row r="697" spans="1:19" x14ac:dyDescent="0.35">
      <c r="A697" t="s">
        <v>1424</v>
      </c>
      <c r="B697" t="s">
        <v>1425</v>
      </c>
      <c r="C697" t="s">
        <v>16</v>
      </c>
      <c r="D697" t="s">
        <v>48</v>
      </c>
      <c r="E697" t="s">
        <v>26</v>
      </c>
      <c r="F697" t="s">
        <v>27</v>
      </c>
      <c r="G697" t="s">
        <v>28</v>
      </c>
      <c r="H697" s="3">
        <v>25</v>
      </c>
      <c r="I697" s="8">
        <v>44362</v>
      </c>
      <c r="J697" s="4">
        <v>142731</v>
      </c>
      <c r="K697" s="1">
        <v>0.11</v>
      </c>
      <c r="L697" t="s">
        <v>29</v>
      </c>
      <c r="M697" t="s">
        <v>74</v>
      </c>
      <c r="N697" s="7">
        <v>44715</v>
      </c>
      <c r="O697" s="5">
        <f t="shared" si="10"/>
        <v>15700.41</v>
      </c>
      <c r="P697" s="6">
        <f>Table1[[#This Row],[Annual Salary]]+Table1[[#This Row],[Bonus Amount]]</f>
        <v>158431.41</v>
      </c>
      <c r="Q697" t="str">
        <f>IF(Table1[[#This Row],[Exit Date]]="", "Active","Exited")</f>
        <v>Exited</v>
      </c>
      <c r="R697" s="2">
        <f ca="1">IFERROR(DATEDIF(Table1[[#This Row],[Hire Date]],IF(Table1[[#This Row],[Exit Date]]="",TODAY(),Table1[[#This Row],[Exit Date]]),"Y"),"")</f>
        <v>0</v>
      </c>
      <c r="S697" t="str" cm="1">
        <f t="array" ref="S697">_xlfn.IFS(Table1[[#This Row],[Age]]&lt;30,"Under 30",Table1[[#This Row],[Age]]&lt;=40,"30-40",Table1[[#This Row],[Age]]&lt;50,"41-50",TRUE,"50+")</f>
        <v>Under 30</v>
      </c>
    </row>
    <row r="698" spans="1:19" x14ac:dyDescent="0.35">
      <c r="A698" t="s">
        <v>1426</v>
      </c>
      <c r="B698" t="s">
        <v>1427</v>
      </c>
      <c r="C698" t="s">
        <v>16</v>
      </c>
      <c r="D698" t="s">
        <v>80</v>
      </c>
      <c r="E698" t="s">
        <v>35</v>
      </c>
      <c r="F698" t="s">
        <v>19</v>
      </c>
      <c r="G698" t="s">
        <v>85</v>
      </c>
      <c r="H698" s="3">
        <v>29</v>
      </c>
      <c r="I698" s="8">
        <v>43966</v>
      </c>
      <c r="J698" s="4">
        <v>137106</v>
      </c>
      <c r="K698" s="1">
        <v>0.12</v>
      </c>
      <c r="L698" t="s">
        <v>93</v>
      </c>
      <c r="M698" t="s">
        <v>218</v>
      </c>
      <c r="O698" s="5">
        <f t="shared" si="10"/>
        <v>16452.72</v>
      </c>
      <c r="P698" s="6">
        <f>Table1[[#This Row],[Annual Salary]]+Table1[[#This Row],[Bonus Amount]]</f>
        <v>153558.72</v>
      </c>
      <c r="Q698" t="str">
        <f>IF(Table1[[#This Row],[Exit Date]]="", "Active","Exited")</f>
        <v>Active</v>
      </c>
      <c r="R698" s="2">
        <f ca="1">IFERROR(DATEDIF(Table1[[#This Row],[Hire Date]],IF(Table1[[#This Row],[Exit Date]]="",TODAY(),Table1[[#This Row],[Exit Date]]),"Y"),"")</f>
        <v>5</v>
      </c>
      <c r="S698" t="str" cm="1">
        <f t="array" ref="S698">_xlfn.IFS(Table1[[#This Row],[Age]]&lt;30,"Under 30",Table1[[#This Row],[Age]]&lt;=40,"30-40",Table1[[#This Row],[Age]]&lt;50,"41-50",TRUE,"50+")</f>
        <v>Under 30</v>
      </c>
    </row>
    <row r="699" spans="1:19" x14ac:dyDescent="0.35">
      <c r="A699" t="s">
        <v>252</v>
      </c>
      <c r="B699" t="s">
        <v>1428</v>
      </c>
      <c r="C699" t="s">
        <v>79</v>
      </c>
      <c r="D699" t="s">
        <v>34</v>
      </c>
      <c r="E699" t="s">
        <v>49</v>
      </c>
      <c r="F699" t="s">
        <v>19</v>
      </c>
      <c r="G699" t="s">
        <v>28</v>
      </c>
      <c r="H699" s="3">
        <v>54</v>
      </c>
      <c r="I699" s="8">
        <v>39330</v>
      </c>
      <c r="J699" s="4">
        <v>183239</v>
      </c>
      <c r="K699" s="1">
        <v>0.32</v>
      </c>
      <c r="L699" t="s">
        <v>21</v>
      </c>
      <c r="M699" t="s">
        <v>22</v>
      </c>
      <c r="O699" s="5">
        <f t="shared" si="10"/>
        <v>58636.480000000003</v>
      </c>
      <c r="P699" s="6">
        <f>Table1[[#This Row],[Annual Salary]]+Table1[[#This Row],[Bonus Amount]]</f>
        <v>241875.48</v>
      </c>
      <c r="Q699" t="str">
        <f>IF(Table1[[#This Row],[Exit Date]]="", "Active","Exited")</f>
        <v>Active</v>
      </c>
      <c r="R699" s="2">
        <f ca="1">IFERROR(DATEDIF(Table1[[#This Row],[Hire Date]],IF(Table1[[#This Row],[Exit Date]]="",TODAY(),Table1[[#This Row],[Exit Date]]),"Y"),"")</f>
        <v>18</v>
      </c>
      <c r="S699" t="str" cm="1">
        <f t="array" ref="S699">_xlfn.IFS(Table1[[#This Row],[Age]]&lt;30,"Under 30",Table1[[#This Row],[Age]]&lt;=40,"30-40",Table1[[#This Row],[Age]]&lt;50,"41-50",TRUE,"50+")</f>
        <v>50+</v>
      </c>
    </row>
    <row r="700" spans="1:19" x14ac:dyDescent="0.35">
      <c r="A700" t="s">
        <v>1020</v>
      </c>
      <c r="B700" t="s">
        <v>1429</v>
      </c>
      <c r="C700" t="s">
        <v>55</v>
      </c>
      <c r="D700" t="s">
        <v>59</v>
      </c>
      <c r="E700" t="s">
        <v>26</v>
      </c>
      <c r="F700" t="s">
        <v>19</v>
      </c>
      <c r="G700" t="s">
        <v>36</v>
      </c>
      <c r="H700" s="3">
        <v>28</v>
      </c>
      <c r="I700" s="8">
        <v>43610</v>
      </c>
      <c r="J700" s="4">
        <v>45819</v>
      </c>
      <c r="K700" s="1">
        <v>0</v>
      </c>
      <c r="L700" t="s">
        <v>21</v>
      </c>
      <c r="M700" t="s">
        <v>56</v>
      </c>
      <c r="O700" s="5">
        <f t="shared" si="10"/>
        <v>0</v>
      </c>
      <c r="P700" s="6">
        <f>Table1[[#This Row],[Annual Salary]]+Table1[[#This Row],[Bonus Amount]]</f>
        <v>45819</v>
      </c>
      <c r="Q700" t="str">
        <f>IF(Table1[[#This Row],[Exit Date]]="", "Active","Exited")</f>
        <v>Active</v>
      </c>
      <c r="R700" s="2">
        <f ca="1">IFERROR(DATEDIF(Table1[[#This Row],[Hire Date]],IF(Table1[[#This Row],[Exit Date]]="",TODAY(),Table1[[#This Row],[Exit Date]]),"Y"),"")</f>
        <v>6</v>
      </c>
      <c r="S700" t="str" cm="1">
        <f t="array" ref="S700">_xlfn.IFS(Table1[[#This Row],[Age]]&lt;30,"Under 30",Table1[[#This Row],[Age]]&lt;=40,"30-40",Table1[[#This Row],[Age]]&lt;50,"41-50",TRUE,"50+")</f>
        <v>Under 30</v>
      </c>
    </row>
    <row r="701" spans="1:19" x14ac:dyDescent="0.35">
      <c r="A701" t="s">
        <v>1430</v>
      </c>
      <c r="B701" t="s">
        <v>1431</v>
      </c>
      <c r="C701" t="s">
        <v>55</v>
      </c>
      <c r="D701" t="s">
        <v>59</v>
      </c>
      <c r="E701" t="s">
        <v>18</v>
      </c>
      <c r="F701" t="s">
        <v>19</v>
      </c>
      <c r="G701" t="s">
        <v>28</v>
      </c>
      <c r="H701" s="3">
        <v>54</v>
      </c>
      <c r="I701" s="8">
        <v>39080</v>
      </c>
      <c r="J701" s="4">
        <v>55518</v>
      </c>
      <c r="K701" s="1">
        <v>0</v>
      </c>
      <c r="L701" t="s">
        <v>21</v>
      </c>
      <c r="M701" t="s">
        <v>88</v>
      </c>
      <c r="O701" s="5">
        <f t="shared" si="10"/>
        <v>0</v>
      </c>
      <c r="P701" s="6">
        <f>Table1[[#This Row],[Annual Salary]]+Table1[[#This Row],[Bonus Amount]]</f>
        <v>55518</v>
      </c>
      <c r="Q701" t="str">
        <f>IF(Table1[[#This Row],[Exit Date]]="", "Active","Exited")</f>
        <v>Active</v>
      </c>
      <c r="R701" s="2">
        <f ca="1">IFERROR(DATEDIF(Table1[[#This Row],[Hire Date]],IF(Table1[[#This Row],[Exit Date]]="",TODAY(),Table1[[#This Row],[Exit Date]]),"Y"),"")</f>
        <v>19</v>
      </c>
      <c r="S701" t="str" cm="1">
        <f t="array" ref="S701">_xlfn.IFS(Table1[[#This Row],[Age]]&lt;30,"Under 30",Table1[[#This Row],[Age]]&lt;=40,"30-40",Table1[[#This Row],[Age]]&lt;50,"41-50",TRUE,"50+")</f>
        <v>50+</v>
      </c>
    </row>
    <row r="702" spans="1:19" x14ac:dyDescent="0.35">
      <c r="A702" t="s">
        <v>1432</v>
      </c>
      <c r="B702" t="s">
        <v>1433</v>
      </c>
      <c r="C702" t="s">
        <v>52</v>
      </c>
      <c r="D702" t="s">
        <v>80</v>
      </c>
      <c r="E702" t="s">
        <v>26</v>
      </c>
      <c r="F702" t="s">
        <v>19</v>
      </c>
      <c r="G702" t="s">
        <v>28</v>
      </c>
      <c r="H702" s="3">
        <v>50</v>
      </c>
      <c r="I702" s="8">
        <v>40979</v>
      </c>
      <c r="J702" s="4">
        <v>108134</v>
      </c>
      <c r="K702" s="1">
        <v>0.1</v>
      </c>
      <c r="L702" t="s">
        <v>29</v>
      </c>
      <c r="M702" t="s">
        <v>74</v>
      </c>
      <c r="O702" s="5">
        <f t="shared" si="10"/>
        <v>10813.400000000001</v>
      </c>
      <c r="P702" s="6">
        <f>Table1[[#This Row],[Annual Salary]]+Table1[[#This Row],[Bonus Amount]]</f>
        <v>118947.4</v>
      </c>
      <c r="Q702" t="str">
        <f>IF(Table1[[#This Row],[Exit Date]]="", "Active","Exited")</f>
        <v>Active</v>
      </c>
      <c r="R702" s="2">
        <f ca="1">IFERROR(DATEDIF(Table1[[#This Row],[Hire Date]],IF(Table1[[#This Row],[Exit Date]]="",TODAY(),Table1[[#This Row],[Exit Date]]),"Y"),"")</f>
        <v>14</v>
      </c>
      <c r="S702" t="str" cm="1">
        <f t="array" ref="S702">_xlfn.IFS(Table1[[#This Row],[Age]]&lt;30,"Under 30",Table1[[#This Row],[Age]]&lt;=40,"30-40",Table1[[#This Row],[Age]]&lt;50,"41-50",TRUE,"50+")</f>
        <v>50+</v>
      </c>
    </row>
    <row r="703" spans="1:19" x14ac:dyDescent="0.35">
      <c r="A703" t="s">
        <v>1434</v>
      </c>
      <c r="B703" t="s">
        <v>1435</v>
      </c>
      <c r="C703" t="s">
        <v>52</v>
      </c>
      <c r="D703" t="s">
        <v>80</v>
      </c>
      <c r="E703" t="s">
        <v>18</v>
      </c>
      <c r="F703" t="s">
        <v>19</v>
      </c>
      <c r="G703" t="s">
        <v>20</v>
      </c>
      <c r="H703" s="3">
        <v>55</v>
      </c>
      <c r="I703" s="8">
        <v>33958</v>
      </c>
      <c r="J703" s="4">
        <v>113950</v>
      </c>
      <c r="K703" s="1">
        <v>0.09</v>
      </c>
      <c r="L703" t="s">
        <v>21</v>
      </c>
      <c r="M703" t="s">
        <v>56</v>
      </c>
      <c r="O703" s="5">
        <f t="shared" si="10"/>
        <v>10255.5</v>
      </c>
      <c r="P703" s="6">
        <f>Table1[[#This Row],[Annual Salary]]+Table1[[#This Row],[Bonus Amount]]</f>
        <v>124205.5</v>
      </c>
      <c r="Q703" t="str">
        <f>IF(Table1[[#This Row],[Exit Date]]="", "Active","Exited")</f>
        <v>Active</v>
      </c>
      <c r="R703" s="2">
        <f ca="1">IFERROR(DATEDIF(Table1[[#This Row],[Hire Date]],IF(Table1[[#This Row],[Exit Date]]="",TODAY(),Table1[[#This Row],[Exit Date]]),"Y"),"")</f>
        <v>33</v>
      </c>
      <c r="S703" t="str" cm="1">
        <f t="array" ref="S703">_xlfn.IFS(Table1[[#This Row],[Age]]&lt;30,"Under 30",Table1[[#This Row],[Age]]&lt;=40,"30-40",Table1[[#This Row],[Age]]&lt;50,"41-50",TRUE,"50+")</f>
        <v>50+</v>
      </c>
    </row>
    <row r="704" spans="1:19" x14ac:dyDescent="0.35">
      <c r="A704" t="s">
        <v>1068</v>
      </c>
      <c r="B704" t="s">
        <v>1436</v>
      </c>
      <c r="C704" t="s">
        <v>79</v>
      </c>
      <c r="D704" t="s">
        <v>80</v>
      </c>
      <c r="E704" t="s">
        <v>35</v>
      </c>
      <c r="F704" t="s">
        <v>19</v>
      </c>
      <c r="G704" t="s">
        <v>28</v>
      </c>
      <c r="H704" s="3">
        <v>52</v>
      </c>
      <c r="I704" s="8">
        <v>35886</v>
      </c>
      <c r="J704" s="4">
        <v>182035</v>
      </c>
      <c r="K704" s="1">
        <v>0.3</v>
      </c>
      <c r="L704" t="s">
        <v>21</v>
      </c>
      <c r="M704" t="s">
        <v>37</v>
      </c>
      <c r="O704" s="5">
        <f t="shared" si="10"/>
        <v>54610.5</v>
      </c>
      <c r="P704" s="6">
        <f>Table1[[#This Row],[Annual Salary]]+Table1[[#This Row],[Bonus Amount]]</f>
        <v>236645.5</v>
      </c>
      <c r="Q704" t="str">
        <f>IF(Table1[[#This Row],[Exit Date]]="", "Active","Exited")</f>
        <v>Active</v>
      </c>
      <c r="R704" s="2">
        <f ca="1">IFERROR(DATEDIF(Table1[[#This Row],[Hire Date]],IF(Table1[[#This Row],[Exit Date]]="",TODAY(),Table1[[#This Row],[Exit Date]]),"Y"),"")</f>
        <v>27</v>
      </c>
      <c r="S704" t="str" cm="1">
        <f t="array" ref="S704">_xlfn.IFS(Table1[[#This Row],[Age]]&lt;30,"Under 30",Table1[[#This Row],[Age]]&lt;=40,"30-40",Table1[[#This Row],[Age]]&lt;50,"41-50",TRUE,"50+")</f>
        <v>50+</v>
      </c>
    </row>
    <row r="705" spans="1:19" x14ac:dyDescent="0.35">
      <c r="A705" t="s">
        <v>205</v>
      </c>
      <c r="B705" t="s">
        <v>1437</v>
      </c>
      <c r="C705" t="s">
        <v>33</v>
      </c>
      <c r="D705" t="s">
        <v>59</v>
      </c>
      <c r="E705" t="s">
        <v>35</v>
      </c>
      <c r="F705" t="s">
        <v>27</v>
      </c>
      <c r="G705" t="s">
        <v>28</v>
      </c>
      <c r="H705" s="3">
        <v>35</v>
      </c>
      <c r="I705" s="8">
        <v>42963</v>
      </c>
      <c r="J705" s="4">
        <v>181356</v>
      </c>
      <c r="K705" s="1">
        <v>0.23</v>
      </c>
      <c r="L705" t="s">
        <v>29</v>
      </c>
      <c r="M705" t="s">
        <v>114</v>
      </c>
      <c r="O705" s="5">
        <f t="shared" si="10"/>
        <v>41711.880000000005</v>
      </c>
      <c r="P705" s="6">
        <f>Table1[[#This Row],[Annual Salary]]+Table1[[#This Row],[Bonus Amount]]</f>
        <v>223067.88</v>
      </c>
      <c r="Q705" t="str">
        <f>IF(Table1[[#This Row],[Exit Date]]="", "Active","Exited")</f>
        <v>Active</v>
      </c>
      <c r="R705" s="2">
        <f ca="1">IFERROR(DATEDIF(Table1[[#This Row],[Hire Date]],IF(Table1[[#This Row],[Exit Date]]="",TODAY(),Table1[[#This Row],[Exit Date]]),"Y"),"")</f>
        <v>8</v>
      </c>
      <c r="S705" t="str" cm="1">
        <f t="array" ref="S705">_xlfn.IFS(Table1[[#This Row],[Age]]&lt;30,"Under 30",Table1[[#This Row],[Age]]&lt;=40,"30-40",Table1[[#This Row],[Age]]&lt;50,"41-50",TRUE,"50+")</f>
        <v>30-40</v>
      </c>
    </row>
    <row r="706" spans="1:19" x14ac:dyDescent="0.35">
      <c r="A706" t="s">
        <v>1438</v>
      </c>
      <c r="B706" t="s">
        <v>1439</v>
      </c>
      <c r="C706" t="s">
        <v>47</v>
      </c>
      <c r="D706" t="s">
        <v>48</v>
      </c>
      <c r="E706" t="s">
        <v>49</v>
      </c>
      <c r="F706" t="s">
        <v>19</v>
      </c>
      <c r="G706" t="s">
        <v>20</v>
      </c>
      <c r="H706" s="3">
        <v>26</v>
      </c>
      <c r="I706" s="8">
        <v>43698</v>
      </c>
      <c r="J706" s="4">
        <v>66084</v>
      </c>
      <c r="K706" s="1">
        <v>0</v>
      </c>
      <c r="L706" t="s">
        <v>21</v>
      </c>
      <c r="M706" t="s">
        <v>22</v>
      </c>
      <c r="O706" s="5">
        <f t="shared" si="10"/>
        <v>0</v>
      </c>
      <c r="P706" s="6">
        <f>Table1[[#This Row],[Annual Salary]]+Table1[[#This Row],[Bonus Amount]]</f>
        <v>66084</v>
      </c>
      <c r="Q706" t="str">
        <f>IF(Table1[[#This Row],[Exit Date]]="", "Active","Exited")</f>
        <v>Active</v>
      </c>
      <c r="R706" s="2">
        <f ca="1">IFERROR(DATEDIF(Table1[[#This Row],[Hire Date]],IF(Table1[[#This Row],[Exit Date]]="",TODAY(),Table1[[#This Row],[Exit Date]]),"Y"),"")</f>
        <v>6</v>
      </c>
      <c r="S706" t="str" cm="1">
        <f t="array" ref="S706">_xlfn.IFS(Table1[[#This Row],[Age]]&lt;30,"Under 30",Table1[[#This Row],[Age]]&lt;=40,"30-40",Table1[[#This Row],[Age]]&lt;50,"41-50",TRUE,"50+")</f>
        <v>Under 30</v>
      </c>
    </row>
    <row r="707" spans="1:19" x14ac:dyDescent="0.35">
      <c r="A707" t="s">
        <v>1440</v>
      </c>
      <c r="B707" t="s">
        <v>1441</v>
      </c>
      <c r="C707" t="s">
        <v>372</v>
      </c>
      <c r="D707" t="s">
        <v>17</v>
      </c>
      <c r="E707" t="s">
        <v>35</v>
      </c>
      <c r="F707" t="s">
        <v>19</v>
      </c>
      <c r="G707" t="s">
        <v>85</v>
      </c>
      <c r="H707" s="3">
        <v>43</v>
      </c>
      <c r="I707" s="8">
        <v>40290</v>
      </c>
      <c r="J707" s="4">
        <v>76912</v>
      </c>
      <c r="K707" s="1">
        <v>0</v>
      </c>
      <c r="L707" t="s">
        <v>93</v>
      </c>
      <c r="M707" t="s">
        <v>218</v>
      </c>
      <c r="O707" s="5">
        <f t="shared" ref="O707:O770" si="11">J707*K707</f>
        <v>0</v>
      </c>
      <c r="P707" s="6">
        <f>Table1[[#This Row],[Annual Salary]]+Table1[[#This Row],[Bonus Amount]]</f>
        <v>76912</v>
      </c>
      <c r="Q707" t="str">
        <f>IF(Table1[[#This Row],[Exit Date]]="", "Active","Exited")</f>
        <v>Active</v>
      </c>
      <c r="R707" s="2">
        <f ca="1">IFERROR(DATEDIF(Table1[[#This Row],[Hire Date]],IF(Table1[[#This Row],[Exit Date]]="",TODAY(),Table1[[#This Row],[Exit Date]]),"Y"),"")</f>
        <v>15</v>
      </c>
      <c r="S707" t="str" cm="1">
        <f t="array" ref="S707">_xlfn.IFS(Table1[[#This Row],[Age]]&lt;30,"Under 30",Table1[[#This Row],[Age]]&lt;=40,"30-40",Table1[[#This Row],[Age]]&lt;50,"41-50",TRUE,"50+")</f>
        <v>41-50</v>
      </c>
    </row>
    <row r="708" spans="1:19" x14ac:dyDescent="0.35">
      <c r="A708" t="s">
        <v>1442</v>
      </c>
      <c r="B708" t="s">
        <v>1443</v>
      </c>
      <c r="C708" t="s">
        <v>223</v>
      </c>
      <c r="D708" t="s">
        <v>69</v>
      </c>
      <c r="E708" t="s">
        <v>18</v>
      </c>
      <c r="F708" t="s">
        <v>19</v>
      </c>
      <c r="G708" t="s">
        <v>28</v>
      </c>
      <c r="H708" s="3">
        <v>63</v>
      </c>
      <c r="I708" s="8">
        <v>43227</v>
      </c>
      <c r="J708" s="4">
        <v>67987</v>
      </c>
      <c r="K708" s="1">
        <v>0</v>
      </c>
      <c r="L708" t="s">
        <v>21</v>
      </c>
      <c r="M708" t="s">
        <v>56</v>
      </c>
      <c r="O708" s="5">
        <f t="shared" si="11"/>
        <v>0</v>
      </c>
      <c r="P708" s="6">
        <f>Table1[[#This Row],[Annual Salary]]+Table1[[#This Row],[Bonus Amount]]</f>
        <v>67987</v>
      </c>
      <c r="Q708" t="str">
        <f>IF(Table1[[#This Row],[Exit Date]]="", "Active","Exited")</f>
        <v>Active</v>
      </c>
      <c r="R708" s="2">
        <f ca="1">IFERROR(DATEDIF(Table1[[#This Row],[Hire Date]],IF(Table1[[#This Row],[Exit Date]]="",TODAY(),Table1[[#This Row],[Exit Date]]),"Y"),"")</f>
        <v>7</v>
      </c>
      <c r="S708" t="str" cm="1">
        <f t="array" ref="S708">_xlfn.IFS(Table1[[#This Row],[Age]]&lt;30,"Under 30",Table1[[#This Row],[Age]]&lt;=40,"30-40",Table1[[#This Row],[Age]]&lt;50,"41-50",TRUE,"50+")</f>
        <v>50+</v>
      </c>
    </row>
    <row r="709" spans="1:19" x14ac:dyDescent="0.35">
      <c r="A709" t="s">
        <v>1444</v>
      </c>
      <c r="B709" t="s">
        <v>1445</v>
      </c>
      <c r="C709" t="s">
        <v>124</v>
      </c>
      <c r="D709" t="s">
        <v>80</v>
      </c>
      <c r="E709" t="s">
        <v>26</v>
      </c>
      <c r="F709" t="s">
        <v>27</v>
      </c>
      <c r="G709" t="s">
        <v>36</v>
      </c>
      <c r="H709" s="3">
        <v>65</v>
      </c>
      <c r="I709" s="8">
        <v>38584</v>
      </c>
      <c r="J709" s="4">
        <v>59833</v>
      </c>
      <c r="K709" s="1">
        <v>0</v>
      </c>
      <c r="L709" t="s">
        <v>21</v>
      </c>
      <c r="M709" t="s">
        <v>88</v>
      </c>
      <c r="O709" s="5">
        <f t="shared" si="11"/>
        <v>0</v>
      </c>
      <c r="P709" s="6">
        <f>Table1[[#This Row],[Annual Salary]]+Table1[[#This Row],[Bonus Amount]]</f>
        <v>59833</v>
      </c>
      <c r="Q709" t="str">
        <f>IF(Table1[[#This Row],[Exit Date]]="", "Active","Exited")</f>
        <v>Active</v>
      </c>
      <c r="R709" s="2">
        <f ca="1">IFERROR(DATEDIF(Table1[[#This Row],[Hire Date]],IF(Table1[[#This Row],[Exit Date]]="",TODAY(),Table1[[#This Row],[Exit Date]]),"Y"),"")</f>
        <v>20</v>
      </c>
      <c r="S709" t="str" cm="1">
        <f t="array" ref="S709">_xlfn.IFS(Table1[[#This Row],[Age]]&lt;30,"Under 30",Table1[[#This Row],[Age]]&lt;=40,"30-40",Table1[[#This Row],[Age]]&lt;50,"41-50",TRUE,"50+")</f>
        <v>50+</v>
      </c>
    </row>
    <row r="710" spans="1:19" x14ac:dyDescent="0.35">
      <c r="A710" t="s">
        <v>1446</v>
      </c>
      <c r="B710" t="s">
        <v>1447</v>
      </c>
      <c r="C710" t="s">
        <v>16</v>
      </c>
      <c r="D710" t="s">
        <v>80</v>
      </c>
      <c r="E710" t="s">
        <v>35</v>
      </c>
      <c r="F710" t="s">
        <v>27</v>
      </c>
      <c r="G710" t="s">
        <v>28</v>
      </c>
      <c r="H710" s="3">
        <v>45</v>
      </c>
      <c r="I710" s="8">
        <v>38453</v>
      </c>
      <c r="J710" s="4">
        <v>128468</v>
      </c>
      <c r="K710" s="1">
        <v>0.11</v>
      </c>
      <c r="L710" t="s">
        <v>21</v>
      </c>
      <c r="M710" t="s">
        <v>37</v>
      </c>
      <c r="O710" s="5">
        <f t="shared" si="11"/>
        <v>14131.48</v>
      </c>
      <c r="P710" s="6">
        <f>Table1[[#This Row],[Annual Salary]]+Table1[[#This Row],[Bonus Amount]]</f>
        <v>142599.48000000001</v>
      </c>
      <c r="Q710" t="str">
        <f>IF(Table1[[#This Row],[Exit Date]]="", "Active","Exited")</f>
        <v>Active</v>
      </c>
      <c r="R710" s="2">
        <f ca="1">IFERROR(DATEDIF(Table1[[#This Row],[Hire Date]],IF(Table1[[#This Row],[Exit Date]]="",TODAY(),Table1[[#This Row],[Exit Date]]),"Y"),"")</f>
        <v>20</v>
      </c>
      <c r="S710" t="str" cm="1">
        <f t="array" ref="S710">_xlfn.IFS(Table1[[#This Row],[Age]]&lt;30,"Under 30",Table1[[#This Row],[Age]]&lt;=40,"30-40",Table1[[#This Row],[Age]]&lt;50,"41-50",TRUE,"50+")</f>
        <v>41-50</v>
      </c>
    </row>
    <row r="711" spans="1:19" x14ac:dyDescent="0.35">
      <c r="A711" t="s">
        <v>586</v>
      </c>
      <c r="B711" t="s">
        <v>1448</v>
      </c>
      <c r="C711" t="s">
        <v>52</v>
      </c>
      <c r="D711" t="s">
        <v>48</v>
      </c>
      <c r="E711" t="s">
        <v>49</v>
      </c>
      <c r="F711" t="s">
        <v>27</v>
      </c>
      <c r="G711" t="s">
        <v>20</v>
      </c>
      <c r="H711" s="3">
        <v>42</v>
      </c>
      <c r="I711" s="8">
        <v>40692</v>
      </c>
      <c r="J711" s="4">
        <v>102440</v>
      </c>
      <c r="K711" s="1">
        <v>0.06</v>
      </c>
      <c r="L711" t="s">
        <v>21</v>
      </c>
      <c r="M711" t="s">
        <v>37</v>
      </c>
      <c r="O711" s="5">
        <f t="shared" si="11"/>
        <v>6146.4</v>
      </c>
      <c r="P711" s="6">
        <f>Table1[[#This Row],[Annual Salary]]+Table1[[#This Row],[Bonus Amount]]</f>
        <v>108586.4</v>
      </c>
      <c r="Q711" t="str">
        <f>IF(Table1[[#This Row],[Exit Date]]="", "Active","Exited")</f>
        <v>Active</v>
      </c>
      <c r="R711" s="2">
        <f ca="1">IFERROR(DATEDIF(Table1[[#This Row],[Hire Date]],IF(Table1[[#This Row],[Exit Date]]="",TODAY(),Table1[[#This Row],[Exit Date]]),"Y"),"")</f>
        <v>14</v>
      </c>
      <c r="S711" t="str" cm="1">
        <f t="array" ref="S711">_xlfn.IFS(Table1[[#This Row],[Age]]&lt;30,"Under 30",Table1[[#This Row],[Age]]&lt;=40,"30-40",Table1[[#This Row],[Age]]&lt;50,"41-50",TRUE,"50+")</f>
        <v>41-50</v>
      </c>
    </row>
    <row r="712" spans="1:19" x14ac:dyDescent="0.35">
      <c r="A712" t="s">
        <v>1449</v>
      </c>
      <c r="B712" t="s">
        <v>1450</v>
      </c>
      <c r="C712" t="s">
        <v>79</v>
      </c>
      <c r="D712" t="s">
        <v>17</v>
      </c>
      <c r="E712" t="s">
        <v>35</v>
      </c>
      <c r="F712" t="s">
        <v>27</v>
      </c>
      <c r="G712" t="s">
        <v>20</v>
      </c>
      <c r="H712" s="3">
        <v>59</v>
      </c>
      <c r="I712" s="8">
        <v>40542</v>
      </c>
      <c r="J712" s="4">
        <v>246619</v>
      </c>
      <c r="K712" s="1">
        <v>0.36</v>
      </c>
      <c r="L712" t="s">
        <v>21</v>
      </c>
      <c r="M712" t="s">
        <v>56</v>
      </c>
      <c r="O712" s="5">
        <f t="shared" si="11"/>
        <v>88782.84</v>
      </c>
      <c r="P712" s="6">
        <f>Table1[[#This Row],[Annual Salary]]+Table1[[#This Row],[Bonus Amount]]</f>
        <v>335401.83999999997</v>
      </c>
      <c r="Q712" t="str">
        <f>IF(Table1[[#This Row],[Exit Date]]="", "Active","Exited")</f>
        <v>Active</v>
      </c>
      <c r="R712" s="2">
        <f ca="1">IFERROR(DATEDIF(Table1[[#This Row],[Hire Date]],IF(Table1[[#This Row],[Exit Date]]="",TODAY(),Table1[[#This Row],[Exit Date]]),"Y"),"")</f>
        <v>15</v>
      </c>
      <c r="S712" t="str" cm="1">
        <f t="array" ref="S712">_xlfn.IFS(Table1[[#This Row],[Age]]&lt;30,"Under 30",Table1[[#This Row],[Age]]&lt;=40,"30-40",Table1[[#This Row],[Age]]&lt;50,"41-50",TRUE,"50+")</f>
        <v>50+</v>
      </c>
    </row>
    <row r="713" spans="1:19" x14ac:dyDescent="0.35">
      <c r="A713" t="s">
        <v>1451</v>
      </c>
      <c r="B713" t="s">
        <v>1452</v>
      </c>
      <c r="C713" t="s">
        <v>52</v>
      </c>
      <c r="D713" t="s">
        <v>65</v>
      </c>
      <c r="E713" t="s">
        <v>49</v>
      </c>
      <c r="F713" t="s">
        <v>19</v>
      </c>
      <c r="G713" t="s">
        <v>85</v>
      </c>
      <c r="H713" s="3">
        <v>42</v>
      </c>
      <c r="I713" s="8">
        <v>43058</v>
      </c>
      <c r="J713" s="4">
        <v>101143</v>
      </c>
      <c r="K713" s="1">
        <v>0.06</v>
      </c>
      <c r="L713" t="s">
        <v>21</v>
      </c>
      <c r="M713" t="s">
        <v>56</v>
      </c>
      <c r="O713" s="5">
        <f t="shared" si="11"/>
        <v>6068.58</v>
      </c>
      <c r="P713" s="6">
        <f>Table1[[#This Row],[Annual Salary]]+Table1[[#This Row],[Bonus Amount]]</f>
        <v>107211.58</v>
      </c>
      <c r="Q713" t="str">
        <f>IF(Table1[[#This Row],[Exit Date]]="", "Active","Exited")</f>
        <v>Active</v>
      </c>
      <c r="R713" s="2">
        <f ca="1">IFERROR(DATEDIF(Table1[[#This Row],[Hire Date]],IF(Table1[[#This Row],[Exit Date]]="",TODAY(),Table1[[#This Row],[Exit Date]]),"Y"),"")</f>
        <v>8</v>
      </c>
      <c r="S713" t="str" cm="1">
        <f t="array" ref="S713">_xlfn.IFS(Table1[[#This Row],[Age]]&lt;30,"Under 30",Table1[[#This Row],[Age]]&lt;=40,"30-40",Table1[[#This Row],[Age]]&lt;50,"41-50",TRUE,"50+")</f>
        <v>41-50</v>
      </c>
    </row>
    <row r="714" spans="1:19" x14ac:dyDescent="0.35">
      <c r="A714" t="s">
        <v>1453</v>
      </c>
      <c r="B714" t="s">
        <v>1454</v>
      </c>
      <c r="C714" t="s">
        <v>184</v>
      </c>
      <c r="D714" t="s">
        <v>65</v>
      </c>
      <c r="E714" t="s">
        <v>26</v>
      </c>
      <c r="F714" t="s">
        <v>19</v>
      </c>
      <c r="G714" t="s">
        <v>85</v>
      </c>
      <c r="H714" s="3">
        <v>45</v>
      </c>
      <c r="I714" s="8">
        <v>38639</v>
      </c>
      <c r="J714" s="4">
        <v>51404</v>
      </c>
      <c r="K714" s="1">
        <v>0</v>
      </c>
      <c r="L714" t="s">
        <v>93</v>
      </c>
      <c r="M714" t="s">
        <v>94</v>
      </c>
      <c r="N714" s="7">
        <v>40153</v>
      </c>
      <c r="O714" s="5">
        <f t="shared" si="11"/>
        <v>0</v>
      </c>
      <c r="P714" s="6">
        <f>Table1[[#This Row],[Annual Salary]]+Table1[[#This Row],[Bonus Amount]]</f>
        <v>51404</v>
      </c>
      <c r="Q714" t="str">
        <f>IF(Table1[[#This Row],[Exit Date]]="", "Active","Exited")</f>
        <v>Exited</v>
      </c>
      <c r="R714" s="2">
        <f ca="1">IFERROR(DATEDIF(Table1[[#This Row],[Hire Date]],IF(Table1[[#This Row],[Exit Date]]="",TODAY(),Table1[[#This Row],[Exit Date]]),"Y"),"")</f>
        <v>4</v>
      </c>
      <c r="S714" t="str" cm="1">
        <f t="array" ref="S714">_xlfn.IFS(Table1[[#This Row],[Age]]&lt;30,"Under 30",Table1[[#This Row],[Age]]&lt;=40,"30-40",Table1[[#This Row],[Age]]&lt;50,"41-50",TRUE,"50+")</f>
        <v>41-50</v>
      </c>
    </row>
    <row r="715" spans="1:19" x14ac:dyDescent="0.35">
      <c r="A715" t="s">
        <v>1455</v>
      </c>
      <c r="B715" t="s">
        <v>1456</v>
      </c>
      <c r="C715" t="s">
        <v>175</v>
      </c>
      <c r="D715" t="s">
        <v>69</v>
      </c>
      <c r="E715" t="s">
        <v>35</v>
      </c>
      <c r="F715" t="s">
        <v>27</v>
      </c>
      <c r="G715" t="s">
        <v>36</v>
      </c>
      <c r="H715" s="3">
        <v>45</v>
      </c>
      <c r="I715" s="8">
        <v>42329</v>
      </c>
      <c r="J715" s="4">
        <v>87292</v>
      </c>
      <c r="K715" s="1">
        <v>0</v>
      </c>
      <c r="L715" t="s">
        <v>21</v>
      </c>
      <c r="M715" t="s">
        <v>88</v>
      </c>
      <c r="O715" s="5">
        <f t="shared" si="11"/>
        <v>0</v>
      </c>
      <c r="P715" s="6">
        <f>Table1[[#This Row],[Annual Salary]]+Table1[[#This Row],[Bonus Amount]]</f>
        <v>87292</v>
      </c>
      <c r="Q715" t="str">
        <f>IF(Table1[[#This Row],[Exit Date]]="", "Active","Exited")</f>
        <v>Active</v>
      </c>
      <c r="R715" s="2">
        <f ca="1">IFERROR(DATEDIF(Table1[[#This Row],[Hire Date]],IF(Table1[[#This Row],[Exit Date]]="",TODAY(),Table1[[#This Row],[Exit Date]]),"Y"),"")</f>
        <v>10</v>
      </c>
      <c r="S715" t="str" cm="1">
        <f t="array" ref="S715">_xlfn.IFS(Table1[[#This Row],[Age]]&lt;30,"Under 30",Table1[[#This Row],[Age]]&lt;=40,"30-40",Table1[[#This Row],[Age]]&lt;50,"41-50",TRUE,"50+")</f>
        <v>41-50</v>
      </c>
    </row>
    <row r="716" spans="1:19" x14ac:dyDescent="0.35">
      <c r="A716" t="s">
        <v>1457</v>
      </c>
      <c r="B716" t="s">
        <v>1458</v>
      </c>
      <c r="C716" t="s">
        <v>33</v>
      </c>
      <c r="D716" t="s">
        <v>80</v>
      </c>
      <c r="E716" t="s">
        <v>35</v>
      </c>
      <c r="F716" t="s">
        <v>19</v>
      </c>
      <c r="G716" t="s">
        <v>28</v>
      </c>
      <c r="H716" s="3">
        <v>28</v>
      </c>
      <c r="I716" s="8">
        <v>43810</v>
      </c>
      <c r="J716" s="4">
        <v>182321</v>
      </c>
      <c r="K716" s="1">
        <v>0.28000000000000003</v>
      </c>
      <c r="L716" t="s">
        <v>29</v>
      </c>
      <c r="M716" t="s">
        <v>114</v>
      </c>
      <c r="O716" s="5">
        <f t="shared" si="11"/>
        <v>51049.880000000005</v>
      </c>
      <c r="P716" s="6">
        <f>Table1[[#This Row],[Annual Salary]]+Table1[[#This Row],[Bonus Amount]]</f>
        <v>233370.88</v>
      </c>
      <c r="Q716" t="str">
        <f>IF(Table1[[#This Row],[Exit Date]]="", "Active","Exited")</f>
        <v>Active</v>
      </c>
      <c r="R716" s="2">
        <f ca="1">IFERROR(DATEDIF(Table1[[#This Row],[Hire Date]],IF(Table1[[#This Row],[Exit Date]]="",TODAY(),Table1[[#This Row],[Exit Date]]),"Y"),"")</f>
        <v>6</v>
      </c>
      <c r="S716" t="str" cm="1">
        <f t="array" ref="S716">_xlfn.IFS(Table1[[#This Row],[Age]]&lt;30,"Under 30",Table1[[#This Row],[Age]]&lt;=40,"30-40",Table1[[#This Row],[Age]]&lt;50,"41-50",TRUE,"50+")</f>
        <v>Under 30</v>
      </c>
    </row>
    <row r="717" spans="1:19" x14ac:dyDescent="0.35">
      <c r="A717" t="s">
        <v>1321</v>
      </c>
      <c r="B717" t="s">
        <v>1459</v>
      </c>
      <c r="C717" t="s">
        <v>330</v>
      </c>
      <c r="D717" t="s">
        <v>17</v>
      </c>
      <c r="E717" t="s">
        <v>49</v>
      </c>
      <c r="F717" t="s">
        <v>27</v>
      </c>
      <c r="G717" t="s">
        <v>36</v>
      </c>
      <c r="H717" s="3">
        <v>51</v>
      </c>
      <c r="I717" s="8">
        <v>41697</v>
      </c>
      <c r="J717" s="4">
        <v>53929</v>
      </c>
      <c r="K717" s="1">
        <v>0</v>
      </c>
      <c r="L717" t="s">
        <v>21</v>
      </c>
      <c r="M717" t="s">
        <v>56</v>
      </c>
      <c r="N717" s="7">
        <v>43091</v>
      </c>
      <c r="O717" s="5">
        <f t="shared" si="11"/>
        <v>0</v>
      </c>
      <c r="P717" s="6">
        <f>Table1[[#This Row],[Annual Salary]]+Table1[[#This Row],[Bonus Amount]]</f>
        <v>53929</v>
      </c>
      <c r="Q717" t="str">
        <f>IF(Table1[[#This Row],[Exit Date]]="", "Active","Exited")</f>
        <v>Exited</v>
      </c>
      <c r="R717" s="2">
        <f ca="1">IFERROR(DATEDIF(Table1[[#This Row],[Hire Date]],IF(Table1[[#This Row],[Exit Date]]="",TODAY(),Table1[[#This Row],[Exit Date]]),"Y"),"")</f>
        <v>3</v>
      </c>
      <c r="S717" t="str" cm="1">
        <f t="array" ref="S717">_xlfn.IFS(Table1[[#This Row],[Age]]&lt;30,"Under 30",Table1[[#This Row],[Age]]&lt;=40,"30-40",Table1[[#This Row],[Age]]&lt;50,"41-50",TRUE,"50+")</f>
        <v>50+</v>
      </c>
    </row>
    <row r="718" spans="1:19" x14ac:dyDescent="0.35">
      <c r="A718" t="s">
        <v>1460</v>
      </c>
      <c r="B718" t="s">
        <v>1461</v>
      </c>
      <c r="C718" t="s">
        <v>79</v>
      </c>
      <c r="D718" t="s">
        <v>59</v>
      </c>
      <c r="E718" t="s">
        <v>26</v>
      </c>
      <c r="F718" t="s">
        <v>19</v>
      </c>
      <c r="G718" t="s">
        <v>28</v>
      </c>
      <c r="H718" s="3">
        <v>38</v>
      </c>
      <c r="I718" s="8">
        <v>41256</v>
      </c>
      <c r="J718" s="4">
        <v>191571</v>
      </c>
      <c r="K718" s="1">
        <v>0.32</v>
      </c>
      <c r="L718" t="s">
        <v>21</v>
      </c>
      <c r="M718" t="s">
        <v>60</v>
      </c>
      <c r="O718" s="5">
        <f t="shared" si="11"/>
        <v>61302.720000000001</v>
      </c>
      <c r="P718" s="6">
        <f>Table1[[#This Row],[Annual Salary]]+Table1[[#This Row],[Bonus Amount]]</f>
        <v>252873.72</v>
      </c>
      <c r="Q718" t="str">
        <f>IF(Table1[[#This Row],[Exit Date]]="", "Active","Exited")</f>
        <v>Active</v>
      </c>
      <c r="R718" s="2">
        <f ca="1">IFERROR(DATEDIF(Table1[[#This Row],[Hire Date]],IF(Table1[[#This Row],[Exit Date]]="",TODAY(),Table1[[#This Row],[Exit Date]]),"Y"),"")</f>
        <v>13</v>
      </c>
      <c r="S718" t="str" cm="1">
        <f t="array" ref="S718">_xlfn.IFS(Table1[[#This Row],[Age]]&lt;30,"Under 30",Table1[[#This Row],[Age]]&lt;=40,"30-40",Table1[[#This Row],[Age]]&lt;50,"41-50",TRUE,"50+")</f>
        <v>30-40</v>
      </c>
    </row>
    <row r="719" spans="1:19" x14ac:dyDescent="0.35">
      <c r="A719" t="s">
        <v>1462</v>
      </c>
      <c r="B719" t="s">
        <v>1463</v>
      </c>
      <c r="C719" t="s">
        <v>16</v>
      </c>
      <c r="D719" t="s">
        <v>59</v>
      </c>
      <c r="E719" t="s">
        <v>49</v>
      </c>
      <c r="F719" t="s">
        <v>19</v>
      </c>
      <c r="G719" t="s">
        <v>36</v>
      </c>
      <c r="H719" s="3">
        <v>62</v>
      </c>
      <c r="I719" s="8">
        <v>39843</v>
      </c>
      <c r="J719" s="4">
        <v>150555</v>
      </c>
      <c r="K719" s="1">
        <v>0.13</v>
      </c>
      <c r="L719" t="s">
        <v>21</v>
      </c>
      <c r="M719" t="s">
        <v>44</v>
      </c>
      <c r="O719" s="5">
        <f t="shared" si="11"/>
        <v>19572.150000000001</v>
      </c>
      <c r="P719" s="6">
        <f>Table1[[#This Row],[Annual Salary]]+Table1[[#This Row],[Bonus Amount]]</f>
        <v>170127.15</v>
      </c>
      <c r="Q719" t="str">
        <f>IF(Table1[[#This Row],[Exit Date]]="", "Active","Exited")</f>
        <v>Active</v>
      </c>
      <c r="R719" s="2">
        <f ca="1">IFERROR(DATEDIF(Table1[[#This Row],[Hire Date]],IF(Table1[[#This Row],[Exit Date]]="",TODAY(),Table1[[#This Row],[Exit Date]]),"Y"),"")</f>
        <v>17</v>
      </c>
      <c r="S719" t="str" cm="1">
        <f t="array" ref="S719">_xlfn.IFS(Table1[[#This Row],[Age]]&lt;30,"Under 30",Table1[[#This Row],[Age]]&lt;=40,"30-40",Table1[[#This Row],[Age]]&lt;50,"41-50",TRUE,"50+")</f>
        <v>50+</v>
      </c>
    </row>
    <row r="720" spans="1:19" x14ac:dyDescent="0.35">
      <c r="A720" t="s">
        <v>1464</v>
      </c>
      <c r="B720" t="s">
        <v>1465</v>
      </c>
      <c r="C720" t="s">
        <v>52</v>
      </c>
      <c r="D720" t="s">
        <v>34</v>
      </c>
      <c r="E720" t="s">
        <v>49</v>
      </c>
      <c r="F720" t="s">
        <v>27</v>
      </c>
      <c r="G720" t="s">
        <v>28</v>
      </c>
      <c r="H720" s="3">
        <v>52</v>
      </c>
      <c r="I720" s="8">
        <v>40091</v>
      </c>
      <c r="J720" s="4">
        <v>122890</v>
      </c>
      <c r="K720" s="1">
        <v>7.0000000000000007E-2</v>
      </c>
      <c r="L720" t="s">
        <v>29</v>
      </c>
      <c r="M720" t="s">
        <v>74</v>
      </c>
      <c r="O720" s="5">
        <f t="shared" si="11"/>
        <v>8602.3000000000011</v>
      </c>
      <c r="P720" s="6">
        <f>Table1[[#This Row],[Annual Salary]]+Table1[[#This Row],[Bonus Amount]]</f>
        <v>131492.29999999999</v>
      </c>
      <c r="Q720" t="str">
        <f>IF(Table1[[#This Row],[Exit Date]]="", "Active","Exited")</f>
        <v>Active</v>
      </c>
      <c r="R720" s="2">
        <f ca="1">IFERROR(DATEDIF(Table1[[#This Row],[Hire Date]],IF(Table1[[#This Row],[Exit Date]]="",TODAY(),Table1[[#This Row],[Exit Date]]),"Y"),"")</f>
        <v>16</v>
      </c>
      <c r="S720" t="str" cm="1">
        <f t="array" ref="S720">_xlfn.IFS(Table1[[#This Row],[Age]]&lt;30,"Under 30",Table1[[#This Row],[Age]]&lt;=40,"30-40",Table1[[#This Row],[Age]]&lt;50,"41-50",TRUE,"50+")</f>
        <v>50+</v>
      </c>
    </row>
    <row r="721" spans="1:19" x14ac:dyDescent="0.35">
      <c r="A721" t="s">
        <v>1466</v>
      </c>
      <c r="B721" t="s">
        <v>1467</v>
      </c>
      <c r="C721" t="s">
        <v>79</v>
      </c>
      <c r="D721" t="s">
        <v>34</v>
      </c>
      <c r="E721" t="s">
        <v>18</v>
      </c>
      <c r="F721" t="s">
        <v>27</v>
      </c>
      <c r="G721" t="s">
        <v>28</v>
      </c>
      <c r="H721" s="3">
        <v>52</v>
      </c>
      <c r="I721" s="8">
        <v>35576</v>
      </c>
      <c r="J721" s="4">
        <v>216999</v>
      </c>
      <c r="K721" s="1">
        <v>0.37</v>
      </c>
      <c r="L721" t="s">
        <v>21</v>
      </c>
      <c r="M721" t="s">
        <v>56</v>
      </c>
      <c r="O721" s="5">
        <f t="shared" si="11"/>
        <v>80289.63</v>
      </c>
      <c r="P721" s="6">
        <f>Table1[[#This Row],[Annual Salary]]+Table1[[#This Row],[Bonus Amount]]</f>
        <v>297288.63</v>
      </c>
      <c r="Q721" t="str">
        <f>IF(Table1[[#This Row],[Exit Date]]="", "Active","Exited")</f>
        <v>Active</v>
      </c>
      <c r="R721" s="2">
        <f ca="1">IFERROR(DATEDIF(Table1[[#This Row],[Hire Date]],IF(Table1[[#This Row],[Exit Date]]="",TODAY(),Table1[[#This Row],[Exit Date]]),"Y"),"")</f>
        <v>28</v>
      </c>
      <c r="S721" t="str" cm="1">
        <f t="array" ref="S721">_xlfn.IFS(Table1[[#This Row],[Age]]&lt;30,"Under 30",Table1[[#This Row],[Age]]&lt;=40,"30-40",Table1[[#This Row],[Age]]&lt;50,"41-50",TRUE,"50+")</f>
        <v>50+</v>
      </c>
    </row>
    <row r="722" spans="1:19" x14ac:dyDescent="0.35">
      <c r="A722" t="s">
        <v>1468</v>
      </c>
      <c r="B722" t="s">
        <v>1469</v>
      </c>
      <c r="C722" t="s">
        <v>52</v>
      </c>
      <c r="D722" t="s">
        <v>65</v>
      </c>
      <c r="E722" t="s">
        <v>49</v>
      </c>
      <c r="F722" t="s">
        <v>27</v>
      </c>
      <c r="G722" t="s">
        <v>28</v>
      </c>
      <c r="H722" s="3">
        <v>48</v>
      </c>
      <c r="I722" s="8">
        <v>42201</v>
      </c>
      <c r="J722" s="4">
        <v>110565</v>
      </c>
      <c r="K722" s="1">
        <v>0.09</v>
      </c>
      <c r="L722" t="s">
        <v>29</v>
      </c>
      <c r="M722" t="s">
        <v>114</v>
      </c>
      <c r="O722" s="5">
        <f t="shared" si="11"/>
        <v>9950.85</v>
      </c>
      <c r="P722" s="6">
        <f>Table1[[#This Row],[Annual Salary]]+Table1[[#This Row],[Bonus Amount]]</f>
        <v>120515.85</v>
      </c>
      <c r="Q722" t="str">
        <f>IF(Table1[[#This Row],[Exit Date]]="", "Active","Exited")</f>
        <v>Active</v>
      </c>
      <c r="R722" s="2">
        <f ca="1">IFERROR(DATEDIF(Table1[[#This Row],[Hire Date]],IF(Table1[[#This Row],[Exit Date]]="",TODAY(),Table1[[#This Row],[Exit Date]]),"Y"),"")</f>
        <v>10</v>
      </c>
      <c r="S722" t="str" cm="1">
        <f t="array" ref="S722">_xlfn.IFS(Table1[[#This Row],[Age]]&lt;30,"Under 30",Table1[[#This Row],[Age]]&lt;=40,"30-40",Table1[[#This Row],[Age]]&lt;50,"41-50",TRUE,"50+")</f>
        <v>41-50</v>
      </c>
    </row>
    <row r="723" spans="1:19" x14ac:dyDescent="0.35">
      <c r="A723" t="s">
        <v>1470</v>
      </c>
      <c r="B723" t="s">
        <v>1471</v>
      </c>
      <c r="C723" t="s">
        <v>119</v>
      </c>
      <c r="D723" t="s">
        <v>17</v>
      </c>
      <c r="E723" t="s">
        <v>35</v>
      </c>
      <c r="F723" t="s">
        <v>27</v>
      </c>
      <c r="G723" t="s">
        <v>36</v>
      </c>
      <c r="H723" s="3">
        <v>38</v>
      </c>
      <c r="I723" s="8">
        <v>42113</v>
      </c>
      <c r="J723" s="4">
        <v>48762</v>
      </c>
      <c r="K723" s="1">
        <v>0</v>
      </c>
      <c r="L723" t="s">
        <v>21</v>
      </c>
      <c r="M723" t="s">
        <v>22</v>
      </c>
      <c r="O723" s="5">
        <f t="shared" si="11"/>
        <v>0</v>
      </c>
      <c r="P723" s="6">
        <f>Table1[[#This Row],[Annual Salary]]+Table1[[#This Row],[Bonus Amount]]</f>
        <v>48762</v>
      </c>
      <c r="Q723" t="str">
        <f>IF(Table1[[#This Row],[Exit Date]]="", "Active","Exited")</f>
        <v>Active</v>
      </c>
      <c r="R723" s="2">
        <f ca="1">IFERROR(DATEDIF(Table1[[#This Row],[Hire Date]],IF(Table1[[#This Row],[Exit Date]]="",TODAY(),Table1[[#This Row],[Exit Date]]),"Y"),"")</f>
        <v>10</v>
      </c>
      <c r="S723" t="str" cm="1">
        <f t="array" ref="S723">_xlfn.IFS(Table1[[#This Row],[Age]]&lt;30,"Under 30",Table1[[#This Row],[Age]]&lt;=40,"30-40",Table1[[#This Row],[Age]]&lt;50,"41-50",TRUE,"50+")</f>
        <v>30-40</v>
      </c>
    </row>
    <row r="724" spans="1:19" x14ac:dyDescent="0.35">
      <c r="A724" t="s">
        <v>1472</v>
      </c>
      <c r="B724" t="s">
        <v>1473</v>
      </c>
      <c r="C724" t="s">
        <v>277</v>
      </c>
      <c r="D724" t="s">
        <v>69</v>
      </c>
      <c r="E724" t="s">
        <v>35</v>
      </c>
      <c r="F724" t="s">
        <v>19</v>
      </c>
      <c r="G724" t="s">
        <v>28</v>
      </c>
      <c r="H724" s="3">
        <v>51</v>
      </c>
      <c r="I724" s="8">
        <v>42777</v>
      </c>
      <c r="J724" s="4">
        <v>87036</v>
      </c>
      <c r="K724" s="1">
        <v>0</v>
      </c>
      <c r="L724" t="s">
        <v>29</v>
      </c>
      <c r="M724" t="s">
        <v>30</v>
      </c>
      <c r="O724" s="5">
        <f t="shared" si="11"/>
        <v>0</v>
      </c>
      <c r="P724" s="6">
        <f>Table1[[#This Row],[Annual Salary]]+Table1[[#This Row],[Bonus Amount]]</f>
        <v>87036</v>
      </c>
      <c r="Q724" t="str">
        <f>IF(Table1[[#This Row],[Exit Date]]="", "Active","Exited")</f>
        <v>Active</v>
      </c>
      <c r="R724" s="2">
        <f ca="1">IFERROR(DATEDIF(Table1[[#This Row],[Hire Date]],IF(Table1[[#This Row],[Exit Date]]="",TODAY(),Table1[[#This Row],[Exit Date]]),"Y"),"")</f>
        <v>9</v>
      </c>
      <c r="S724" t="str" cm="1">
        <f t="array" ref="S724">_xlfn.IFS(Table1[[#This Row],[Age]]&lt;30,"Under 30",Table1[[#This Row],[Age]]&lt;=40,"30-40",Table1[[#This Row],[Age]]&lt;50,"41-50",TRUE,"50+")</f>
        <v>50+</v>
      </c>
    </row>
    <row r="725" spans="1:19" x14ac:dyDescent="0.35">
      <c r="A725" t="s">
        <v>1474</v>
      </c>
      <c r="B725" t="s">
        <v>1475</v>
      </c>
      <c r="C725" t="s">
        <v>33</v>
      </c>
      <c r="D725" t="s">
        <v>80</v>
      </c>
      <c r="E725" t="s">
        <v>35</v>
      </c>
      <c r="F725" t="s">
        <v>27</v>
      </c>
      <c r="G725" t="s">
        <v>36</v>
      </c>
      <c r="H725" s="3">
        <v>32</v>
      </c>
      <c r="I725" s="8">
        <v>42702</v>
      </c>
      <c r="J725" s="4">
        <v>177443</v>
      </c>
      <c r="K725" s="1">
        <v>0.16</v>
      </c>
      <c r="L725" t="s">
        <v>21</v>
      </c>
      <c r="M725" t="s">
        <v>22</v>
      </c>
      <c r="O725" s="5">
        <f t="shared" si="11"/>
        <v>28390.880000000001</v>
      </c>
      <c r="P725" s="6">
        <f>Table1[[#This Row],[Annual Salary]]+Table1[[#This Row],[Bonus Amount]]</f>
        <v>205833.88</v>
      </c>
      <c r="Q725" t="str">
        <f>IF(Table1[[#This Row],[Exit Date]]="", "Active","Exited")</f>
        <v>Active</v>
      </c>
      <c r="R725" s="2">
        <f ca="1">IFERROR(DATEDIF(Table1[[#This Row],[Hire Date]],IF(Table1[[#This Row],[Exit Date]]="",TODAY(),Table1[[#This Row],[Exit Date]]),"Y"),"")</f>
        <v>9</v>
      </c>
      <c r="S725" t="str" cm="1">
        <f t="array" ref="S725">_xlfn.IFS(Table1[[#This Row],[Age]]&lt;30,"Under 30",Table1[[#This Row],[Age]]&lt;=40,"30-40",Table1[[#This Row],[Age]]&lt;50,"41-50",TRUE,"50+")</f>
        <v>30-40</v>
      </c>
    </row>
    <row r="726" spans="1:19" x14ac:dyDescent="0.35">
      <c r="A726" t="s">
        <v>1476</v>
      </c>
      <c r="B726" t="s">
        <v>1477</v>
      </c>
      <c r="C726" t="s">
        <v>131</v>
      </c>
      <c r="D726" t="s">
        <v>17</v>
      </c>
      <c r="E726" t="s">
        <v>18</v>
      </c>
      <c r="F726" t="s">
        <v>19</v>
      </c>
      <c r="G726" t="s">
        <v>28</v>
      </c>
      <c r="H726" s="3">
        <v>36</v>
      </c>
      <c r="I726" s="8">
        <v>42489</v>
      </c>
      <c r="J726" s="4">
        <v>75862</v>
      </c>
      <c r="K726" s="1">
        <v>0</v>
      </c>
      <c r="L726" t="s">
        <v>21</v>
      </c>
      <c r="M726" t="s">
        <v>60</v>
      </c>
      <c r="O726" s="5">
        <f t="shared" si="11"/>
        <v>0</v>
      </c>
      <c r="P726" s="6">
        <f>Table1[[#This Row],[Annual Salary]]+Table1[[#This Row],[Bonus Amount]]</f>
        <v>75862</v>
      </c>
      <c r="Q726" t="str">
        <f>IF(Table1[[#This Row],[Exit Date]]="", "Active","Exited")</f>
        <v>Active</v>
      </c>
      <c r="R726" s="2">
        <f ca="1">IFERROR(DATEDIF(Table1[[#This Row],[Hire Date]],IF(Table1[[#This Row],[Exit Date]]="",TODAY(),Table1[[#This Row],[Exit Date]]),"Y"),"")</f>
        <v>9</v>
      </c>
      <c r="S726" t="str" cm="1">
        <f t="array" ref="S726">_xlfn.IFS(Table1[[#This Row],[Age]]&lt;30,"Under 30",Table1[[#This Row],[Age]]&lt;=40,"30-40",Table1[[#This Row],[Age]]&lt;50,"41-50",TRUE,"50+")</f>
        <v>30-40</v>
      </c>
    </row>
    <row r="727" spans="1:19" x14ac:dyDescent="0.35">
      <c r="A727" t="s">
        <v>1478</v>
      </c>
      <c r="B727" t="s">
        <v>1479</v>
      </c>
      <c r="C727" t="s">
        <v>143</v>
      </c>
      <c r="D727" t="s">
        <v>65</v>
      </c>
      <c r="E727" t="s">
        <v>18</v>
      </c>
      <c r="F727" t="s">
        <v>19</v>
      </c>
      <c r="G727" t="s">
        <v>28</v>
      </c>
      <c r="H727" s="3">
        <v>45</v>
      </c>
      <c r="I727" s="8">
        <v>43581</v>
      </c>
      <c r="J727" s="4">
        <v>90870</v>
      </c>
      <c r="K727" s="1">
        <v>0</v>
      </c>
      <c r="L727" t="s">
        <v>21</v>
      </c>
      <c r="M727" t="s">
        <v>37</v>
      </c>
      <c r="O727" s="5">
        <f t="shared" si="11"/>
        <v>0</v>
      </c>
      <c r="P727" s="6">
        <f>Table1[[#This Row],[Annual Salary]]+Table1[[#This Row],[Bonus Amount]]</f>
        <v>90870</v>
      </c>
      <c r="Q727" t="str">
        <f>IF(Table1[[#This Row],[Exit Date]]="", "Active","Exited")</f>
        <v>Active</v>
      </c>
      <c r="R727" s="2">
        <f ca="1">IFERROR(DATEDIF(Table1[[#This Row],[Hire Date]],IF(Table1[[#This Row],[Exit Date]]="",TODAY(),Table1[[#This Row],[Exit Date]]),"Y"),"")</f>
        <v>6</v>
      </c>
      <c r="S727" t="str" cm="1">
        <f t="array" ref="S727">_xlfn.IFS(Table1[[#This Row],[Age]]&lt;30,"Under 30",Table1[[#This Row],[Age]]&lt;=40,"30-40",Table1[[#This Row],[Age]]&lt;50,"41-50",TRUE,"50+")</f>
        <v>41-50</v>
      </c>
    </row>
    <row r="728" spans="1:19" x14ac:dyDescent="0.35">
      <c r="A728" t="s">
        <v>1480</v>
      </c>
      <c r="B728" t="s">
        <v>1481</v>
      </c>
      <c r="C728" t="s">
        <v>113</v>
      </c>
      <c r="D728" t="s">
        <v>69</v>
      </c>
      <c r="E728" t="s">
        <v>49</v>
      </c>
      <c r="F728" t="s">
        <v>19</v>
      </c>
      <c r="G728" t="s">
        <v>28</v>
      </c>
      <c r="H728" s="3">
        <v>32</v>
      </c>
      <c r="I728" s="8">
        <v>41977</v>
      </c>
      <c r="J728" s="4">
        <v>99202</v>
      </c>
      <c r="K728" s="1">
        <v>0.11</v>
      </c>
      <c r="L728" t="s">
        <v>21</v>
      </c>
      <c r="M728" t="s">
        <v>44</v>
      </c>
      <c r="O728" s="5">
        <f t="shared" si="11"/>
        <v>10912.22</v>
      </c>
      <c r="P728" s="6">
        <f>Table1[[#This Row],[Annual Salary]]+Table1[[#This Row],[Bonus Amount]]</f>
        <v>110114.22</v>
      </c>
      <c r="Q728" t="str">
        <f>IF(Table1[[#This Row],[Exit Date]]="", "Active","Exited")</f>
        <v>Active</v>
      </c>
      <c r="R728" s="2">
        <f ca="1">IFERROR(DATEDIF(Table1[[#This Row],[Hire Date]],IF(Table1[[#This Row],[Exit Date]]="",TODAY(),Table1[[#This Row],[Exit Date]]),"Y"),"")</f>
        <v>11</v>
      </c>
      <c r="S728" t="str" cm="1">
        <f t="array" ref="S728">_xlfn.IFS(Table1[[#This Row],[Age]]&lt;30,"Under 30",Table1[[#This Row],[Age]]&lt;=40,"30-40",Table1[[#This Row],[Age]]&lt;50,"41-50",TRUE,"50+")</f>
        <v>30-40</v>
      </c>
    </row>
    <row r="729" spans="1:19" x14ac:dyDescent="0.35">
      <c r="A729" t="s">
        <v>1482</v>
      </c>
      <c r="B729" t="s">
        <v>1483</v>
      </c>
      <c r="C729" t="s">
        <v>43</v>
      </c>
      <c r="D729" t="s">
        <v>80</v>
      </c>
      <c r="E729" t="s">
        <v>49</v>
      </c>
      <c r="F729" t="s">
        <v>27</v>
      </c>
      <c r="G729" t="s">
        <v>28</v>
      </c>
      <c r="H729" s="3">
        <v>45</v>
      </c>
      <c r="I729" s="8">
        <v>39347</v>
      </c>
      <c r="J729" s="4">
        <v>92293</v>
      </c>
      <c r="K729" s="1">
        <v>0</v>
      </c>
      <c r="L729" t="s">
        <v>29</v>
      </c>
      <c r="M729" t="s">
        <v>134</v>
      </c>
      <c r="O729" s="5">
        <f t="shared" si="11"/>
        <v>0</v>
      </c>
      <c r="P729" s="6">
        <f>Table1[[#This Row],[Annual Salary]]+Table1[[#This Row],[Bonus Amount]]</f>
        <v>92293</v>
      </c>
      <c r="Q729" t="str">
        <f>IF(Table1[[#This Row],[Exit Date]]="", "Active","Exited")</f>
        <v>Active</v>
      </c>
      <c r="R729" s="2">
        <f ca="1">IFERROR(DATEDIF(Table1[[#This Row],[Hire Date]],IF(Table1[[#This Row],[Exit Date]]="",TODAY(),Table1[[#This Row],[Exit Date]]),"Y"),"")</f>
        <v>18</v>
      </c>
      <c r="S729" t="str" cm="1">
        <f t="array" ref="S729">_xlfn.IFS(Table1[[#This Row],[Age]]&lt;30,"Under 30",Table1[[#This Row],[Age]]&lt;=40,"30-40",Table1[[#This Row],[Age]]&lt;50,"41-50",TRUE,"50+")</f>
        <v>41-50</v>
      </c>
    </row>
    <row r="730" spans="1:19" x14ac:dyDescent="0.35">
      <c r="A730" t="s">
        <v>1484</v>
      </c>
      <c r="B730" t="s">
        <v>1485</v>
      </c>
      <c r="C730" t="s">
        <v>372</v>
      </c>
      <c r="D730" t="s">
        <v>17</v>
      </c>
      <c r="E730" t="s">
        <v>49</v>
      </c>
      <c r="F730" t="s">
        <v>27</v>
      </c>
      <c r="G730" t="s">
        <v>36</v>
      </c>
      <c r="H730" s="3">
        <v>54</v>
      </c>
      <c r="I730" s="8">
        <v>33785</v>
      </c>
      <c r="J730" s="4">
        <v>63196</v>
      </c>
      <c r="K730" s="1">
        <v>0</v>
      </c>
      <c r="L730" t="s">
        <v>21</v>
      </c>
      <c r="M730" t="s">
        <v>37</v>
      </c>
      <c r="N730" s="7">
        <v>41938</v>
      </c>
      <c r="O730" s="5">
        <f t="shared" si="11"/>
        <v>0</v>
      </c>
      <c r="P730" s="6">
        <f>Table1[[#This Row],[Annual Salary]]+Table1[[#This Row],[Bonus Amount]]</f>
        <v>63196</v>
      </c>
      <c r="Q730" t="str">
        <f>IF(Table1[[#This Row],[Exit Date]]="", "Active","Exited")</f>
        <v>Exited</v>
      </c>
      <c r="R730" s="2">
        <f ca="1">IFERROR(DATEDIF(Table1[[#This Row],[Hire Date]],IF(Table1[[#This Row],[Exit Date]]="",TODAY(),Table1[[#This Row],[Exit Date]]),"Y"),"")</f>
        <v>22</v>
      </c>
      <c r="S730" t="str" cm="1">
        <f t="array" ref="S730">_xlfn.IFS(Table1[[#This Row],[Age]]&lt;30,"Under 30",Table1[[#This Row],[Age]]&lt;=40,"30-40",Table1[[#This Row],[Age]]&lt;50,"41-50",TRUE,"50+")</f>
        <v>50+</v>
      </c>
    </row>
    <row r="731" spans="1:19" x14ac:dyDescent="0.35">
      <c r="A731" t="s">
        <v>1486</v>
      </c>
      <c r="B731" t="s">
        <v>1487</v>
      </c>
      <c r="C731" t="s">
        <v>277</v>
      </c>
      <c r="D731" t="s">
        <v>69</v>
      </c>
      <c r="E731" t="s">
        <v>35</v>
      </c>
      <c r="F731" t="s">
        <v>19</v>
      </c>
      <c r="G731" t="s">
        <v>28</v>
      </c>
      <c r="H731" s="3">
        <v>48</v>
      </c>
      <c r="I731" s="8">
        <v>41032</v>
      </c>
      <c r="J731" s="4">
        <v>65340</v>
      </c>
      <c r="K731" s="1">
        <v>0</v>
      </c>
      <c r="L731" t="s">
        <v>29</v>
      </c>
      <c r="M731" t="s">
        <v>74</v>
      </c>
      <c r="N731" s="7">
        <v>43229</v>
      </c>
      <c r="O731" s="5">
        <f t="shared" si="11"/>
        <v>0</v>
      </c>
      <c r="P731" s="6">
        <f>Table1[[#This Row],[Annual Salary]]+Table1[[#This Row],[Bonus Amount]]</f>
        <v>65340</v>
      </c>
      <c r="Q731" t="str">
        <f>IF(Table1[[#This Row],[Exit Date]]="", "Active","Exited")</f>
        <v>Exited</v>
      </c>
      <c r="R731" s="2">
        <f ca="1">IFERROR(DATEDIF(Table1[[#This Row],[Hire Date]],IF(Table1[[#This Row],[Exit Date]]="",TODAY(),Table1[[#This Row],[Exit Date]]),"Y"),"")</f>
        <v>6</v>
      </c>
      <c r="S731" t="str" cm="1">
        <f t="array" ref="S731">_xlfn.IFS(Table1[[#This Row],[Age]]&lt;30,"Under 30",Table1[[#This Row],[Age]]&lt;=40,"30-40",Table1[[#This Row],[Age]]&lt;50,"41-50",TRUE,"50+")</f>
        <v>41-50</v>
      </c>
    </row>
    <row r="732" spans="1:19" x14ac:dyDescent="0.35">
      <c r="A732" t="s">
        <v>1488</v>
      </c>
      <c r="B732" t="s">
        <v>1489</v>
      </c>
      <c r="C732" t="s">
        <v>79</v>
      </c>
      <c r="D732" t="s">
        <v>80</v>
      </c>
      <c r="E732" t="s">
        <v>49</v>
      </c>
      <c r="F732" t="s">
        <v>27</v>
      </c>
      <c r="G732" t="s">
        <v>28</v>
      </c>
      <c r="H732" s="3">
        <v>45</v>
      </c>
      <c r="I732" s="8">
        <v>42271</v>
      </c>
      <c r="J732" s="4">
        <v>202680</v>
      </c>
      <c r="K732" s="1">
        <v>0.32</v>
      </c>
      <c r="L732" t="s">
        <v>21</v>
      </c>
      <c r="M732" t="s">
        <v>44</v>
      </c>
      <c r="N732" s="7">
        <v>44790</v>
      </c>
      <c r="O732" s="5">
        <f t="shared" si="11"/>
        <v>64857.599999999999</v>
      </c>
      <c r="P732" s="6">
        <f>Table1[[#This Row],[Annual Salary]]+Table1[[#This Row],[Bonus Amount]]</f>
        <v>267537.59999999998</v>
      </c>
      <c r="Q732" t="str">
        <f>IF(Table1[[#This Row],[Exit Date]]="", "Active","Exited")</f>
        <v>Exited</v>
      </c>
      <c r="R732" s="2">
        <f ca="1">IFERROR(DATEDIF(Table1[[#This Row],[Hire Date]],IF(Table1[[#This Row],[Exit Date]]="",TODAY(),Table1[[#This Row],[Exit Date]]),"Y"),"")</f>
        <v>6</v>
      </c>
      <c r="S732" t="str" cm="1">
        <f t="array" ref="S732">_xlfn.IFS(Table1[[#This Row],[Age]]&lt;30,"Under 30",Table1[[#This Row],[Age]]&lt;=40,"30-40",Table1[[#This Row],[Age]]&lt;50,"41-50",TRUE,"50+")</f>
        <v>41-50</v>
      </c>
    </row>
    <row r="733" spans="1:19" x14ac:dyDescent="0.35">
      <c r="A733" t="s">
        <v>1490</v>
      </c>
      <c r="B733" t="s">
        <v>1491</v>
      </c>
      <c r="C733" t="s">
        <v>40</v>
      </c>
      <c r="D733" t="s">
        <v>17</v>
      </c>
      <c r="E733" t="s">
        <v>26</v>
      </c>
      <c r="F733" t="s">
        <v>19</v>
      </c>
      <c r="G733" t="s">
        <v>85</v>
      </c>
      <c r="H733" s="3">
        <v>46</v>
      </c>
      <c r="I733" s="8">
        <v>42849</v>
      </c>
      <c r="J733" s="4">
        <v>77461</v>
      </c>
      <c r="K733" s="1">
        <v>0.09</v>
      </c>
      <c r="L733" t="s">
        <v>93</v>
      </c>
      <c r="M733" t="s">
        <v>218</v>
      </c>
      <c r="O733" s="5">
        <f t="shared" si="11"/>
        <v>6971.49</v>
      </c>
      <c r="P733" s="6">
        <f>Table1[[#This Row],[Annual Salary]]+Table1[[#This Row],[Bonus Amount]]</f>
        <v>84432.49</v>
      </c>
      <c r="Q733" t="str">
        <f>IF(Table1[[#This Row],[Exit Date]]="", "Active","Exited")</f>
        <v>Active</v>
      </c>
      <c r="R733" s="2">
        <f ca="1">IFERROR(DATEDIF(Table1[[#This Row],[Hire Date]],IF(Table1[[#This Row],[Exit Date]]="",TODAY(),Table1[[#This Row],[Exit Date]]),"Y"),"")</f>
        <v>8</v>
      </c>
      <c r="S733" t="str" cm="1">
        <f t="array" ref="S733">_xlfn.IFS(Table1[[#This Row],[Age]]&lt;30,"Under 30",Table1[[#This Row],[Age]]&lt;=40,"30-40",Table1[[#This Row],[Age]]&lt;50,"41-50",TRUE,"50+")</f>
        <v>41-50</v>
      </c>
    </row>
    <row r="734" spans="1:19" x14ac:dyDescent="0.35">
      <c r="A734" t="s">
        <v>1492</v>
      </c>
      <c r="B734" t="s">
        <v>1493</v>
      </c>
      <c r="C734" t="s">
        <v>181</v>
      </c>
      <c r="D734" t="s">
        <v>69</v>
      </c>
      <c r="E734" t="s">
        <v>18</v>
      </c>
      <c r="F734" t="s">
        <v>19</v>
      </c>
      <c r="G734" t="s">
        <v>28</v>
      </c>
      <c r="H734" s="3">
        <v>40</v>
      </c>
      <c r="I734" s="8">
        <v>42622</v>
      </c>
      <c r="J734" s="4">
        <v>109680</v>
      </c>
      <c r="K734" s="1">
        <v>0</v>
      </c>
      <c r="L734" t="s">
        <v>29</v>
      </c>
      <c r="M734" t="s">
        <v>134</v>
      </c>
      <c r="O734" s="5">
        <f t="shared" si="11"/>
        <v>0</v>
      </c>
      <c r="P734" s="6">
        <f>Table1[[#This Row],[Annual Salary]]+Table1[[#This Row],[Bonus Amount]]</f>
        <v>109680</v>
      </c>
      <c r="Q734" t="str">
        <f>IF(Table1[[#This Row],[Exit Date]]="", "Active","Exited")</f>
        <v>Active</v>
      </c>
      <c r="R734" s="2">
        <f ca="1">IFERROR(DATEDIF(Table1[[#This Row],[Hire Date]],IF(Table1[[#This Row],[Exit Date]]="",TODAY(),Table1[[#This Row],[Exit Date]]),"Y"),"")</f>
        <v>9</v>
      </c>
      <c r="S734" t="str" cm="1">
        <f t="array" ref="S734">_xlfn.IFS(Table1[[#This Row],[Age]]&lt;30,"Under 30",Table1[[#This Row],[Age]]&lt;=40,"30-40",Table1[[#This Row],[Age]]&lt;50,"41-50",TRUE,"50+")</f>
        <v>30-40</v>
      </c>
    </row>
    <row r="735" spans="1:19" x14ac:dyDescent="0.35">
      <c r="A735" t="s">
        <v>355</v>
      </c>
      <c r="B735" t="s">
        <v>1494</v>
      </c>
      <c r="C735" t="s">
        <v>33</v>
      </c>
      <c r="D735" t="s">
        <v>48</v>
      </c>
      <c r="E735" t="s">
        <v>26</v>
      </c>
      <c r="F735" t="s">
        <v>19</v>
      </c>
      <c r="G735" t="s">
        <v>20</v>
      </c>
      <c r="H735" s="3">
        <v>61</v>
      </c>
      <c r="I735" s="8">
        <v>35661</v>
      </c>
      <c r="J735" s="4">
        <v>159567</v>
      </c>
      <c r="K735" s="1">
        <v>0.28000000000000003</v>
      </c>
      <c r="L735" t="s">
        <v>21</v>
      </c>
      <c r="M735" t="s">
        <v>44</v>
      </c>
      <c r="O735" s="5">
        <f t="shared" si="11"/>
        <v>44678.76</v>
      </c>
      <c r="P735" s="6">
        <f>Table1[[#This Row],[Annual Salary]]+Table1[[#This Row],[Bonus Amount]]</f>
        <v>204245.76000000001</v>
      </c>
      <c r="Q735" t="str">
        <f>IF(Table1[[#This Row],[Exit Date]]="", "Active","Exited")</f>
        <v>Active</v>
      </c>
      <c r="R735" s="2">
        <f ca="1">IFERROR(DATEDIF(Table1[[#This Row],[Hire Date]],IF(Table1[[#This Row],[Exit Date]]="",TODAY(),Table1[[#This Row],[Exit Date]]),"Y"),"")</f>
        <v>28</v>
      </c>
      <c r="S735" t="str" cm="1">
        <f t="array" ref="S735">_xlfn.IFS(Table1[[#This Row],[Age]]&lt;30,"Under 30",Table1[[#This Row],[Age]]&lt;=40,"30-40",Table1[[#This Row],[Age]]&lt;50,"41-50",TRUE,"50+")</f>
        <v>50+</v>
      </c>
    </row>
    <row r="736" spans="1:19" x14ac:dyDescent="0.35">
      <c r="A736" t="s">
        <v>1495</v>
      </c>
      <c r="B736" t="s">
        <v>1496</v>
      </c>
      <c r="C736" t="s">
        <v>277</v>
      </c>
      <c r="D736" t="s">
        <v>69</v>
      </c>
      <c r="E736" t="s">
        <v>35</v>
      </c>
      <c r="F736" t="s">
        <v>27</v>
      </c>
      <c r="G736" t="s">
        <v>85</v>
      </c>
      <c r="H736" s="3">
        <v>54</v>
      </c>
      <c r="I736" s="8">
        <v>41237</v>
      </c>
      <c r="J736" s="4">
        <v>94407</v>
      </c>
      <c r="K736" s="1">
        <v>0</v>
      </c>
      <c r="L736" t="s">
        <v>93</v>
      </c>
      <c r="M736" t="s">
        <v>218</v>
      </c>
      <c r="O736" s="5">
        <f t="shared" si="11"/>
        <v>0</v>
      </c>
      <c r="P736" s="6">
        <f>Table1[[#This Row],[Annual Salary]]+Table1[[#This Row],[Bonus Amount]]</f>
        <v>94407</v>
      </c>
      <c r="Q736" t="str">
        <f>IF(Table1[[#This Row],[Exit Date]]="", "Active","Exited")</f>
        <v>Active</v>
      </c>
      <c r="R736" s="2">
        <f ca="1">IFERROR(DATEDIF(Table1[[#This Row],[Hire Date]],IF(Table1[[#This Row],[Exit Date]]="",TODAY(),Table1[[#This Row],[Exit Date]]),"Y"),"")</f>
        <v>13</v>
      </c>
      <c r="S736" t="str" cm="1">
        <f t="array" ref="S736">_xlfn.IFS(Table1[[#This Row],[Age]]&lt;30,"Under 30",Table1[[#This Row],[Age]]&lt;=40,"30-40",Table1[[#This Row],[Age]]&lt;50,"41-50",TRUE,"50+")</f>
        <v>50+</v>
      </c>
    </row>
    <row r="737" spans="1:19" x14ac:dyDescent="0.35">
      <c r="A737" t="s">
        <v>1497</v>
      </c>
      <c r="B737" t="s">
        <v>1498</v>
      </c>
      <c r="C737" t="s">
        <v>79</v>
      </c>
      <c r="D737" t="s">
        <v>65</v>
      </c>
      <c r="E737" t="s">
        <v>49</v>
      </c>
      <c r="F737" t="s">
        <v>27</v>
      </c>
      <c r="G737" t="s">
        <v>85</v>
      </c>
      <c r="H737" s="3">
        <v>62</v>
      </c>
      <c r="I737" s="8">
        <v>37484</v>
      </c>
      <c r="J737" s="4">
        <v>234594</v>
      </c>
      <c r="K737" s="1">
        <v>0.33</v>
      </c>
      <c r="L737" t="s">
        <v>21</v>
      </c>
      <c r="M737" t="s">
        <v>22</v>
      </c>
      <c r="O737" s="5">
        <f t="shared" si="11"/>
        <v>77416.02</v>
      </c>
      <c r="P737" s="6">
        <f>Table1[[#This Row],[Annual Salary]]+Table1[[#This Row],[Bonus Amount]]</f>
        <v>312010.02</v>
      </c>
      <c r="Q737" t="str">
        <f>IF(Table1[[#This Row],[Exit Date]]="", "Active","Exited")</f>
        <v>Active</v>
      </c>
      <c r="R737" s="2">
        <f ca="1">IFERROR(DATEDIF(Table1[[#This Row],[Hire Date]],IF(Table1[[#This Row],[Exit Date]]="",TODAY(),Table1[[#This Row],[Exit Date]]),"Y"),"")</f>
        <v>23</v>
      </c>
      <c r="S737" t="str" cm="1">
        <f t="array" ref="S737">_xlfn.IFS(Table1[[#This Row],[Age]]&lt;30,"Under 30",Table1[[#This Row],[Age]]&lt;=40,"30-40",Table1[[#This Row],[Age]]&lt;50,"41-50",TRUE,"50+")</f>
        <v>50+</v>
      </c>
    </row>
    <row r="738" spans="1:19" x14ac:dyDescent="0.35">
      <c r="A738" t="s">
        <v>1499</v>
      </c>
      <c r="B738" t="s">
        <v>1500</v>
      </c>
      <c r="C738" t="s">
        <v>330</v>
      </c>
      <c r="D738" t="s">
        <v>17</v>
      </c>
      <c r="E738" t="s">
        <v>35</v>
      </c>
      <c r="F738" t="s">
        <v>27</v>
      </c>
      <c r="G738" t="s">
        <v>36</v>
      </c>
      <c r="H738" s="3">
        <v>48</v>
      </c>
      <c r="I738" s="8">
        <v>37298</v>
      </c>
      <c r="J738" s="4">
        <v>43080</v>
      </c>
      <c r="K738" s="1">
        <v>0</v>
      </c>
      <c r="L738" t="s">
        <v>21</v>
      </c>
      <c r="M738" t="s">
        <v>60</v>
      </c>
      <c r="O738" s="5">
        <f t="shared" si="11"/>
        <v>0</v>
      </c>
      <c r="P738" s="6">
        <f>Table1[[#This Row],[Annual Salary]]+Table1[[#This Row],[Bonus Amount]]</f>
        <v>43080</v>
      </c>
      <c r="Q738" t="str">
        <f>IF(Table1[[#This Row],[Exit Date]]="", "Active","Exited")</f>
        <v>Active</v>
      </c>
      <c r="R738" s="2">
        <f ca="1">IFERROR(DATEDIF(Table1[[#This Row],[Hire Date]],IF(Table1[[#This Row],[Exit Date]]="",TODAY(),Table1[[#This Row],[Exit Date]]),"Y"),"")</f>
        <v>24</v>
      </c>
      <c r="S738" t="str" cm="1">
        <f t="array" ref="S738">_xlfn.IFS(Table1[[#This Row],[Age]]&lt;30,"Under 30",Table1[[#This Row],[Age]]&lt;=40,"30-40",Table1[[#This Row],[Age]]&lt;50,"41-50",TRUE,"50+")</f>
        <v>41-50</v>
      </c>
    </row>
    <row r="739" spans="1:19" x14ac:dyDescent="0.35">
      <c r="A739" t="s">
        <v>1501</v>
      </c>
      <c r="B739" t="s">
        <v>1502</v>
      </c>
      <c r="C739" t="s">
        <v>52</v>
      </c>
      <c r="D739" t="s">
        <v>80</v>
      </c>
      <c r="E739" t="s">
        <v>26</v>
      </c>
      <c r="F739" t="s">
        <v>19</v>
      </c>
      <c r="G739" t="s">
        <v>85</v>
      </c>
      <c r="H739" s="3">
        <v>29</v>
      </c>
      <c r="I739" s="8">
        <v>44325</v>
      </c>
      <c r="J739" s="4">
        <v>129541</v>
      </c>
      <c r="K739" s="1">
        <v>0.08</v>
      </c>
      <c r="L739" t="s">
        <v>21</v>
      </c>
      <c r="M739" t="s">
        <v>44</v>
      </c>
      <c r="N739" s="7">
        <v>44340</v>
      </c>
      <c r="O739" s="5">
        <f t="shared" si="11"/>
        <v>10363.280000000001</v>
      </c>
      <c r="P739" s="6">
        <f>Table1[[#This Row],[Annual Salary]]+Table1[[#This Row],[Bonus Amount]]</f>
        <v>139904.28</v>
      </c>
      <c r="Q739" t="str">
        <f>IF(Table1[[#This Row],[Exit Date]]="", "Active","Exited")</f>
        <v>Exited</v>
      </c>
      <c r="R739" s="2">
        <f ca="1">IFERROR(DATEDIF(Table1[[#This Row],[Hire Date]],IF(Table1[[#This Row],[Exit Date]]="",TODAY(),Table1[[#This Row],[Exit Date]]),"Y"),"")</f>
        <v>0</v>
      </c>
      <c r="S739" t="str" cm="1">
        <f t="array" ref="S739">_xlfn.IFS(Table1[[#This Row],[Age]]&lt;30,"Under 30",Table1[[#This Row],[Age]]&lt;=40,"30-40",Table1[[#This Row],[Age]]&lt;50,"41-50",TRUE,"50+")</f>
        <v>Under 30</v>
      </c>
    </row>
    <row r="740" spans="1:19" x14ac:dyDescent="0.35">
      <c r="A740" t="s">
        <v>1503</v>
      </c>
      <c r="B740" t="s">
        <v>1504</v>
      </c>
      <c r="C740" t="s">
        <v>33</v>
      </c>
      <c r="D740" t="s">
        <v>48</v>
      </c>
      <c r="E740" t="s">
        <v>18</v>
      </c>
      <c r="F740" t="s">
        <v>27</v>
      </c>
      <c r="G740" t="s">
        <v>85</v>
      </c>
      <c r="H740" s="3">
        <v>39</v>
      </c>
      <c r="I740" s="8">
        <v>41635</v>
      </c>
      <c r="J740" s="4">
        <v>165756</v>
      </c>
      <c r="K740" s="1">
        <v>0.28000000000000003</v>
      </c>
      <c r="L740" t="s">
        <v>21</v>
      </c>
      <c r="M740" t="s">
        <v>88</v>
      </c>
      <c r="N740" s="7">
        <v>43991</v>
      </c>
      <c r="O740" s="5">
        <f t="shared" si="11"/>
        <v>46411.680000000008</v>
      </c>
      <c r="P740" s="6">
        <f>Table1[[#This Row],[Annual Salary]]+Table1[[#This Row],[Bonus Amount]]</f>
        <v>212167.67999999999</v>
      </c>
      <c r="Q740" t="str">
        <f>IF(Table1[[#This Row],[Exit Date]]="", "Active","Exited")</f>
        <v>Exited</v>
      </c>
      <c r="R740" s="2">
        <f ca="1">IFERROR(DATEDIF(Table1[[#This Row],[Hire Date]],IF(Table1[[#This Row],[Exit Date]]="",TODAY(),Table1[[#This Row],[Exit Date]]),"Y"),"")</f>
        <v>6</v>
      </c>
      <c r="S740" t="str" cm="1">
        <f t="array" ref="S740">_xlfn.IFS(Table1[[#This Row],[Age]]&lt;30,"Under 30",Table1[[#This Row],[Age]]&lt;=40,"30-40",Table1[[#This Row],[Age]]&lt;50,"41-50",TRUE,"50+")</f>
        <v>30-40</v>
      </c>
    </row>
    <row r="741" spans="1:19" x14ac:dyDescent="0.35">
      <c r="A741" t="s">
        <v>1505</v>
      </c>
      <c r="B741" t="s">
        <v>1506</v>
      </c>
      <c r="C741" t="s">
        <v>16</v>
      </c>
      <c r="D741" t="s">
        <v>34</v>
      </c>
      <c r="E741" t="s">
        <v>35</v>
      </c>
      <c r="F741" t="s">
        <v>27</v>
      </c>
      <c r="G741" t="s">
        <v>28</v>
      </c>
      <c r="H741" s="3">
        <v>44</v>
      </c>
      <c r="I741" s="8">
        <v>40274</v>
      </c>
      <c r="J741" s="4">
        <v>142878</v>
      </c>
      <c r="K741" s="1">
        <v>0.12</v>
      </c>
      <c r="L741" t="s">
        <v>21</v>
      </c>
      <c r="M741" t="s">
        <v>88</v>
      </c>
      <c r="O741" s="5">
        <f t="shared" si="11"/>
        <v>17145.36</v>
      </c>
      <c r="P741" s="6">
        <f>Table1[[#This Row],[Annual Salary]]+Table1[[#This Row],[Bonus Amount]]</f>
        <v>160023.35999999999</v>
      </c>
      <c r="Q741" t="str">
        <f>IF(Table1[[#This Row],[Exit Date]]="", "Active","Exited")</f>
        <v>Active</v>
      </c>
      <c r="R741" s="2">
        <f ca="1">IFERROR(DATEDIF(Table1[[#This Row],[Hire Date]],IF(Table1[[#This Row],[Exit Date]]="",TODAY(),Table1[[#This Row],[Exit Date]]),"Y"),"")</f>
        <v>15</v>
      </c>
      <c r="S741" t="str" cm="1">
        <f t="array" ref="S741">_xlfn.IFS(Table1[[#This Row],[Age]]&lt;30,"Under 30",Table1[[#This Row],[Age]]&lt;=40,"30-40",Table1[[#This Row],[Age]]&lt;50,"41-50",TRUE,"50+")</f>
        <v>41-50</v>
      </c>
    </row>
    <row r="742" spans="1:19" x14ac:dyDescent="0.35">
      <c r="A742" t="s">
        <v>1507</v>
      </c>
      <c r="B742" t="s">
        <v>1508</v>
      </c>
      <c r="C742" t="s">
        <v>33</v>
      </c>
      <c r="D742" t="s">
        <v>69</v>
      </c>
      <c r="E742" t="s">
        <v>26</v>
      </c>
      <c r="F742" t="s">
        <v>27</v>
      </c>
      <c r="G742" t="s">
        <v>36</v>
      </c>
      <c r="H742" s="3">
        <v>52</v>
      </c>
      <c r="I742" s="8">
        <v>39018</v>
      </c>
      <c r="J742" s="4">
        <v>187992</v>
      </c>
      <c r="K742" s="1">
        <v>0.28000000000000003</v>
      </c>
      <c r="L742" t="s">
        <v>21</v>
      </c>
      <c r="M742" t="s">
        <v>56</v>
      </c>
      <c r="O742" s="5">
        <f t="shared" si="11"/>
        <v>52637.760000000002</v>
      </c>
      <c r="P742" s="6">
        <f>Table1[[#This Row],[Annual Salary]]+Table1[[#This Row],[Bonus Amount]]</f>
        <v>240629.76000000001</v>
      </c>
      <c r="Q742" t="str">
        <f>IF(Table1[[#This Row],[Exit Date]]="", "Active","Exited")</f>
        <v>Active</v>
      </c>
      <c r="R742" s="2">
        <f ca="1">IFERROR(DATEDIF(Table1[[#This Row],[Hire Date]],IF(Table1[[#This Row],[Exit Date]]="",TODAY(),Table1[[#This Row],[Exit Date]]),"Y"),"")</f>
        <v>19</v>
      </c>
      <c r="S742" t="str" cm="1">
        <f t="array" ref="S742">_xlfn.IFS(Table1[[#This Row],[Age]]&lt;30,"Under 30",Table1[[#This Row],[Age]]&lt;=40,"30-40",Table1[[#This Row],[Age]]&lt;50,"41-50",TRUE,"50+")</f>
        <v>50+</v>
      </c>
    </row>
    <row r="743" spans="1:19" x14ac:dyDescent="0.35">
      <c r="A743" t="s">
        <v>1509</v>
      </c>
      <c r="B743" t="s">
        <v>1510</v>
      </c>
      <c r="C743" t="s">
        <v>79</v>
      </c>
      <c r="D743" t="s">
        <v>65</v>
      </c>
      <c r="E743" t="s">
        <v>35</v>
      </c>
      <c r="F743" t="s">
        <v>19</v>
      </c>
      <c r="G743" t="s">
        <v>85</v>
      </c>
      <c r="H743" s="3">
        <v>45</v>
      </c>
      <c r="I743" s="8">
        <v>43521</v>
      </c>
      <c r="J743" s="4">
        <v>249801</v>
      </c>
      <c r="K743" s="1">
        <v>0.39</v>
      </c>
      <c r="L743" t="s">
        <v>93</v>
      </c>
      <c r="M743" t="s">
        <v>218</v>
      </c>
      <c r="O743" s="5">
        <f t="shared" si="11"/>
        <v>97422.39</v>
      </c>
      <c r="P743" s="6">
        <f>Table1[[#This Row],[Annual Salary]]+Table1[[#This Row],[Bonus Amount]]</f>
        <v>347223.39</v>
      </c>
      <c r="Q743" t="str">
        <f>IF(Table1[[#This Row],[Exit Date]]="", "Active","Exited")</f>
        <v>Active</v>
      </c>
      <c r="R743" s="2">
        <f ca="1">IFERROR(DATEDIF(Table1[[#This Row],[Hire Date]],IF(Table1[[#This Row],[Exit Date]]="",TODAY(),Table1[[#This Row],[Exit Date]]),"Y"),"")</f>
        <v>7</v>
      </c>
      <c r="S743" t="str" cm="1">
        <f t="array" ref="S743">_xlfn.IFS(Table1[[#This Row],[Age]]&lt;30,"Under 30",Table1[[#This Row],[Age]]&lt;=40,"30-40",Table1[[#This Row],[Age]]&lt;50,"41-50",TRUE,"50+")</f>
        <v>41-50</v>
      </c>
    </row>
    <row r="744" spans="1:19" x14ac:dyDescent="0.35">
      <c r="A744" t="s">
        <v>1511</v>
      </c>
      <c r="B744" t="s">
        <v>1512</v>
      </c>
      <c r="C744" t="s">
        <v>485</v>
      </c>
      <c r="D744" t="s">
        <v>17</v>
      </c>
      <c r="E744" t="s">
        <v>18</v>
      </c>
      <c r="F744" t="s">
        <v>27</v>
      </c>
      <c r="G744" t="s">
        <v>36</v>
      </c>
      <c r="H744" s="3">
        <v>48</v>
      </c>
      <c r="I744" s="8">
        <v>38987</v>
      </c>
      <c r="J744" s="4">
        <v>76505</v>
      </c>
      <c r="K744" s="1">
        <v>0</v>
      </c>
      <c r="L744" t="s">
        <v>21</v>
      </c>
      <c r="M744" t="s">
        <v>22</v>
      </c>
      <c r="N744" s="7">
        <v>39180</v>
      </c>
      <c r="O744" s="5">
        <f t="shared" si="11"/>
        <v>0</v>
      </c>
      <c r="P744" s="6">
        <f>Table1[[#This Row],[Annual Salary]]+Table1[[#This Row],[Bonus Amount]]</f>
        <v>76505</v>
      </c>
      <c r="Q744" t="str">
        <f>IF(Table1[[#This Row],[Exit Date]]="", "Active","Exited")</f>
        <v>Exited</v>
      </c>
      <c r="R744" s="2">
        <f ca="1">IFERROR(DATEDIF(Table1[[#This Row],[Hire Date]],IF(Table1[[#This Row],[Exit Date]]="",TODAY(),Table1[[#This Row],[Exit Date]]),"Y"),"")</f>
        <v>0</v>
      </c>
      <c r="S744" t="str" cm="1">
        <f t="array" ref="S744">_xlfn.IFS(Table1[[#This Row],[Age]]&lt;30,"Under 30",Table1[[#This Row],[Age]]&lt;=40,"30-40",Table1[[#This Row],[Age]]&lt;50,"41-50",TRUE,"50+")</f>
        <v>41-50</v>
      </c>
    </row>
    <row r="745" spans="1:19" x14ac:dyDescent="0.35">
      <c r="A745" t="s">
        <v>1513</v>
      </c>
      <c r="B745" t="s">
        <v>1514</v>
      </c>
      <c r="C745" t="s">
        <v>462</v>
      </c>
      <c r="D745" t="s">
        <v>17</v>
      </c>
      <c r="E745" t="s">
        <v>49</v>
      </c>
      <c r="F745" t="s">
        <v>27</v>
      </c>
      <c r="G745" t="s">
        <v>85</v>
      </c>
      <c r="H745" s="3">
        <v>39</v>
      </c>
      <c r="I745" s="8">
        <v>42664</v>
      </c>
      <c r="J745" s="4">
        <v>84297</v>
      </c>
      <c r="K745" s="1">
        <v>0</v>
      </c>
      <c r="L745" t="s">
        <v>93</v>
      </c>
      <c r="M745" t="s">
        <v>94</v>
      </c>
      <c r="O745" s="5">
        <f t="shared" si="11"/>
        <v>0</v>
      </c>
      <c r="P745" s="6">
        <f>Table1[[#This Row],[Annual Salary]]+Table1[[#This Row],[Bonus Amount]]</f>
        <v>84297</v>
      </c>
      <c r="Q745" t="str">
        <f>IF(Table1[[#This Row],[Exit Date]]="", "Active","Exited")</f>
        <v>Active</v>
      </c>
      <c r="R745" s="2">
        <f ca="1">IFERROR(DATEDIF(Table1[[#This Row],[Hire Date]],IF(Table1[[#This Row],[Exit Date]]="",TODAY(),Table1[[#This Row],[Exit Date]]),"Y"),"")</f>
        <v>9</v>
      </c>
      <c r="S745" t="str" cm="1">
        <f t="array" ref="S745">_xlfn.IFS(Table1[[#This Row],[Age]]&lt;30,"Under 30",Table1[[#This Row],[Age]]&lt;=40,"30-40",Table1[[#This Row],[Age]]&lt;50,"41-50",TRUE,"50+")</f>
        <v>30-40</v>
      </c>
    </row>
    <row r="746" spans="1:19" x14ac:dyDescent="0.35">
      <c r="A746" t="s">
        <v>1515</v>
      </c>
      <c r="B746" t="s">
        <v>1516</v>
      </c>
      <c r="C746" t="s">
        <v>43</v>
      </c>
      <c r="D746" t="s">
        <v>48</v>
      </c>
      <c r="E746" t="s">
        <v>35</v>
      </c>
      <c r="F746" t="s">
        <v>19</v>
      </c>
      <c r="G746" t="s">
        <v>85</v>
      </c>
      <c r="H746" s="3">
        <v>53</v>
      </c>
      <c r="I746" s="8">
        <v>42744</v>
      </c>
      <c r="J746" s="4">
        <v>75769</v>
      </c>
      <c r="K746" s="1">
        <v>0</v>
      </c>
      <c r="L746" t="s">
        <v>93</v>
      </c>
      <c r="M746" t="s">
        <v>94</v>
      </c>
      <c r="N746" s="7">
        <v>44029</v>
      </c>
      <c r="O746" s="5">
        <f t="shared" si="11"/>
        <v>0</v>
      </c>
      <c r="P746" s="6">
        <f>Table1[[#This Row],[Annual Salary]]+Table1[[#This Row],[Bonus Amount]]</f>
        <v>75769</v>
      </c>
      <c r="Q746" t="str">
        <f>IF(Table1[[#This Row],[Exit Date]]="", "Active","Exited")</f>
        <v>Exited</v>
      </c>
      <c r="R746" s="2">
        <f ca="1">IFERROR(DATEDIF(Table1[[#This Row],[Hire Date]],IF(Table1[[#This Row],[Exit Date]]="",TODAY(),Table1[[#This Row],[Exit Date]]),"Y"),"")</f>
        <v>3</v>
      </c>
      <c r="S746" t="str" cm="1">
        <f t="array" ref="S746">_xlfn.IFS(Table1[[#This Row],[Age]]&lt;30,"Under 30",Table1[[#This Row],[Age]]&lt;=40,"30-40",Table1[[#This Row],[Age]]&lt;50,"41-50",TRUE,"50+")</f>
        <v>50+</v>
      </c>
    </row>
    <row r="747" spans="1:19" x14ac:dyDescent="0.35">
      <c r="A747" t="s">
        <v>203</v>
      </c>
      <c r="B747" t="s">
        <v>1517</v>
      </c>
      <c r="C747" t="s">
        <v>79</v>
      </c>
      <c r="D747" t="s">
        <v>59</v>
      </c>
      <c r="E747" t="s">
        <v>35</v>
      </c>
      <c r="F747" t="s">
        <v>27</v>
      </c>
      <c r="G747" t="s">
        <v>36</v>
      </c>
      <c r="H747" s="3">
        <v>41</v>
      </c>
      <c r="I747" s="8">
        <v>41503</v>
      </c>
      <c r="J747" s="4">
        <v>235619</v>
      </c>
      <c r="K747" s="1">
        <v>0.3</v>
      </c>
      <c r="L747" t="s">
        <v>21</v>
      </c>
      <c r="M747" t="s">
        <v>22</v>
      </c>
      <c r="O747" s="5">
        <f t="shared" si="11"/>
        <v>70685.7</v>
      </c>
      <c r="P747" s="6">
        <f>Table1[[#This Row],[Annual Salary]]+Table1[[#This Row],[Bonus Amount]]</f>
        <v>306304.7</v>
      </c>
      <c r="Q747" t="str">
        <f>IF(Table1[[#This Row],[Exit Date]]="", "Active","Exited")</f>
        <v>Active</v>
      </c>
      <c r="R747" s="2">
        <f ca="1">IFERROR(DATEDIF(Table1[[#This Row],[Hire Date]],IF(Table1[[#This Row],[Exit Date]]="",TODAY(),Table1[[#This Row],[Exit Date]]),"Y"),"")</f>
        <v>12</v>
      </c>
      <c r="S747" t="str" cm="1">
        <f t="array" ref="S747">_xlfn.IFS(Table1[[#This Row],[Age]]&lt;30,"Under 30",Table1[[#This Row],[Age]]&lt;=40,"30-40",Table1[[#This Row],[Age]]&lt;50,"41-50",TRUE,"50+")</f>
        <v>41-50</v>
      </c>
    </row>
    <row r="748" spans="1:19" x14ac:dyDescent="0.35">
      <c r="A748" t="s">
        <v>1518</v>
      </c>
      <c r="B748" t="s">
        <v>1519</v>
      </c>
      <c r="C748" t="s">
        <v>33</v>
      </c>
      <c r="D748" t="s">
        <v>69</v>
      </c>
      <c r="E748" t="s">
        <v>35</v>
      </c>
      <c r="F748" t="s">
        <v>27</v>
      </c>
      <c r="G748" t="s">
        <v>85</v>
      </c>
      <c r="H748" s="3">
        <v>40</v>
      </c>
      <c r="I748" s="8">
        <v>43868</v>
      </c>
      <c r="J748" s="4">
        <v>187187</v>
      </c>
      <c r="K748" s="1">
        <v>0.18</v>
      </c>
      <c r="L748" t="s">
        <v>93</v>
      </c>
      <c r="M748" t="s">
        <v>94</v>
      </c>
      <c r="O748" s="5">
        <f t="shared" si="11"/>
        <v>33693.659999999996</v>
      </c>
      <c r="P748" s="6">
        <f>Table1[[#This Row],[Annual Salary]]+Table1[[#This Row],[Bonus Amount]]</f>
        <v>220880.66</v>
      </c>
      <c r="Q748" t="str">
        <f>IF(Table1[[#This Row],[Exit Date]]="", "Active","Exited")</f>
        <v>Active</v>
      </c>
      <c r="R748" s="2">
        <f ca="1">IFERROR(DATEDIF(Table1[[#This Row],[Hire Date]],IF(Table1[[#This Row],[Exit Date]]="",TODAY(),Table1[[#This Row],[Exit Date]]),"Y"),"")</f>
        <v>6</v>
      </c>
      <c r="S748" t="str" cm="1">
        <f t="array" ref="S748">_xlfn.IFS(Table1[[#This Row],[Age]]&lt;30,"Under 30",Table1[[#This Row],[Age]]&lt;=40,"30-40",Table1[[#This Row],[Age]]&lt;50,"41-50",TRUE,"50+")</f>
        <v>30-40</v>
      </c>
    </row>
    <row r="749" spans="1:19" x14ac:dyDescent="0.35">
      <c r="A749" t="s">
        <v>95</v>
      </c>
      <c r="B749" t="s">
        <v>1520</v>
      </c>
      <c r="C749" t="s">
        <v>251</v>
      </c>
      <c r="D749" t="s">
        <v>17</v>
      </c>
      <c r="E749" t="s">
        <v>18</v>
      </c>
      <c r="F749" t="s">
        <v>27</v>
      </c>
      <c r="G749" t="s">
        <v>85</v>
      </c>
      <c r="H749" s="3">
        <v>48</v>
      </c>
      <c r="I749" s="8">
        <v>38560</v>
      </c>
      <c r="J749" s="4">
        <v>68987</v>
      </c>
      <c r="K749" s="1">
        <v>0</v>
      </c>
      <c r="L749" t="s">
        <v>21</v>
      </c>
      <c r="M749" t="s">
        <v>37</v>
      </c>
      <c r="N749" s="7">
        <v>38829</v>
      </c>
      <c r="O749" s="5">
        <f t="shared" si="11"/>
        <v>0</v>
      </c>
      <c r="P749" s="6">
        <f>Table1[[#This Row],[Annual Salary]]+Table1[[#This Row],[Bonus Amount]]</f>
        <v>68987</v>
      </c>
      <c r="Q749" t="str">
        <f>IF(Table1[[#This Row],[Exit Date]]="", "Active","Exited")</f>
        <v>Exited</v>
      </c>
      <c r="R749" s="2">
        <f ca="1">IFERROR(DATEDIF(Table1[[#This Row],[Hire Date]],IF(Table1[[#This Row],[Exit Date]]="",TODAY(),Table1[[#This Row],[Exit Date]]),"Y"),"")</f>
        <v>0</v>
      </c>
      <c r="S749" t="str" cm="1">
        <f t="array" ref="S749">_xlfn.IFS(Table1[[#This Row],[Age]]&lt;30,"Under 30",Table1[[#This Row],[Age]]&lt;=40,"30-40",Table1[[#This Row],[Age]]&lt;50,"41-50",TRUE,"50+")</f>
        <v>41-50</v>
      </c>
    </row>
    <row r="750" spans="1:19" x14ac:dyDescent="0.35">
      <c r="A750" t="s">
        <v>1521</v>
      </c>
      <c r="B750" t="s">
        <v>1522</v>
      </c>
      <c r="C750" t="s">
        <v>33</v>
      </c>
      <c r="D750" t="s">
        <v>69</v>
      </c>
      <c r="E750" t="s">
        <v>35</v>
      </c>
      <c r="F750" t="s">
        <v>27</v>
      </c>
      <c r="G750" t="s">
        <v>36</v>
      </c>
      <c r="H750" s="3">
        <v>41</v>
      </c>
      <c r="I750" s="8">
        <v>39156</v>
      </c>
      <c r="J750" s="4">
        <v>155926</v>
      </c>
      <c r="K750" s="1">
        <v>0.24</v>
      </c>
      <c r="L750" t="s">
        <v>21</v>
      </c>
      <c r="M750" t="s">
        <v>88</v>
      </c>
      <c r="N750" s="7">
        <v>39598</v>
      </c>
      <c r="O750" s="5">
        <f t="shared" si="11"/>
        <v>37422.239999999998</v>
      </c>
      <c r="P750" s="6">
        <f>Table1[[#This Row],[Annual Salary]]+Table1[[#This Row],[Bonus Amount]]</f>
        <v>193348.24</v>
      </c>
      <c r="Q750" t="str">
        <f>IF(Table1[[#This Row],[Exit Date]]="", "Active","Exited")</f>
        <v>Exited</v>
      </c>
      <c r="R750" s="2">
        <f ca="1">IFERROR(DATEDIF(Table1[[#This Row],[Hire Date]],IF(Table1[[#This Row],[Exit Date]]="",TODAY(),Table1[[#This Row],[Exit Date]]),"Y"),"")</f>
        <v>1</v>
      </c>
      <c r="S750" t="str" cm="1">
        <f t="array" ref="S750">_xlfn.IFS(Table1[[#This Row],[Age]]&lt;30,"Under 30",Table1[[#This Row],[Age]]&lt;=40,"30-40",Table1[[#This Row],[Age]]&lt;50,"41-50",TRUE,"50+")</f>
        <v>41-50</v>
      </c>
    </row>
    <row r="751" spans="1:19" x14ac:dyDescent="0.35">
      <c r="A751" t="s">
        <v>1523</v>
      </c>
      <c r="B751" t="s">
        <v>1524</v>
      </c>
      <c r="C751" t="s">
        <v>43</v>
      </c>
      <c r="D751" t="s">
        <v>59</v>
      </c>
      <c r="E751" t="s">
        <v>35</v>
      </c>
      <c r="F751" t="s">
        <v>27</v>
      </c>
      <c r="G751" t="s">
        <v>28</v>
      </c>
      <c r="H751" s="3">
        <v>54</v>
      </c>
      <c r="I751" s="8">
        <v>42494</v>
      </c>
      <c r="J751" s="4">
        <v>93668</v>
      </c>
      <c r="K751" s="1">
        <v>0</v>
      </c>
      <c r="L751" t="s">
        <v>21</v>
      </c>
      <c r="M751" t="s">
        <v>37</v>
      </c>
      <c r="O751" s="5">
        <f t="shared" si="11"/>
        <v>0</v>
      </c>
      <c r="P751" s="6">
        <f>Table1[[#This Row],[Annual Salary]]+Table1[[#This Row],[Bonus Amount]]</f>
        <v>93668</v>
      </c>
      <c r="Q751" t="str">
        <f>IF(Table1[[#This Row],[Exit Date]]="", "Active","Exited")</f>
        <v>Active</v>
      </c>
      <c r="R751" s="2">
        <f ca="1">IFERROR(DATEDIF(Table1[[#This Row],[Hire Date]],IF(Table1[[#This Row],[Exit Date]]="",TODAY(),Table1[[#This Row],[Exit Date]]),"Y"),"")</f>
        <v>9</v>
      </c>
      <c r="S751" t="str" cm="1">
        <f t="array" ref="S751">_xlfn.IFS(Table1[[#This Row],[Age]]&lt;30,"Under 30",Table1[[#This Row],[Age]]&lt;=40,"30-40",Table1[[#This Row],[Age]]&lt;50,"41-50",TRUE,"50+")</f>
        <v>50+</v>
      </c>
    </row>
    <row r="752" spans="1:19" x14ac:dyDescent="0.35">
      <c r="A752" t="s">
        <v>1525</v>
      </c>
      <c r="B752" t="s">
        <v>1526</v>
      </c>
      <c r="C752" t="s">
        <v>164</v>
      </c>
      <c r="D752" t="s">
        <v>65</v>
      </c>
      <c r="E752" t="s">
        <v>18</v>
      </c>
      <c r="F752" t="s">
        <v>27</v>
      </c>
      <c r="G752" t="s">
        <v>36</v>
      </c>
      <c r="H752" s="3">
        <v>38</v>
      </c>
      <c r="I752" s="8">
        <v>43798</v>
      </c>
      <c r="J752" s="4">
        <v>69647</v>
      </c>
      <c r="K752" s="1">
        <v>0</v>
      </c>
      <c r="L752" t="s">
        <v>21</v>
      </c>
      <c r="M752" t="s">
        <v>56</v>
      </c>
      <c r="N752" s="7">
        <v>44671</v>
      </c>
      <c r="O752" s="5">
        <f t="shared" si="11"/>
        <v>0</v>
      </c>
      <c r="P752" s="6">
        <f>Table1[[#This Row],[Annual Salary]]+Table1[[#This Row],[Bonus Amount]]</f>
        <v>69647</v>
      </c>
      <c r="Q752" t="str">
        <f>IF(Table1[[#This Row],[Exit Date]]="", "Active","Exited")</f>
        <v>Exited</v>
      </c>
      <c r="R752" s="2">
        <f ca="1">IFERROR(DATEDIF(Table1[[#This Row],[Hire Date]],IF(Table1[[#This Row],[Exit Date]]="",TODAY(),Table1[[#This Row],[Exit Date]]),"Y"),"")</f>
        <v>2</v>
      </c>
      <c r="S752" t="str" cm="1">
        <f t="array" ref="S752">_xlfn.IFS(Table1[[#This Row],[Age]]&lt;30,"Under 30",Table1[[#This Row],[Age]]&lt;=40,"30-40",Table1[[#This Row],[Age]]&lt;50,"41-50",TRUE,"50+")</f>
        <v>30-40</v>
      </c>
    </row>
    <row r="753" spans="1:19" x14ac:dyDescent="0.35">
      <c r="A753" t="s">
        <v>1527</v>
      </c>
      <c r="B753" t="s">
        <v>1528</v>
      </c>
      <c r="C753" t="s">
        <v>299</v>
      </c>
      <c r="D753" t="s">
        <v>17</v>
      </c>
      <c r="E753" t="s">
        <v>49</v>
      </c>
      <c r="F753" t="s">
        <v>27</v>
      </c>
      <c r="G753" t="s">
        <v>28</v>
      </c>
      <c r="H753" s="3">
        <v>57</v>
      </c>
      <c r="I753" s="8">
        <v>37798</v>
      </c>
      <c r="J753" s="4">
        <v>63318</v>
      </c>
      <c r="K753" s="1">
        <v>0</v>
      </c>
      <c r="L753" t="s">
        <v>21</v>
      </c>
      <c r="M753" t="s">
        <v>88</v>
      </c>
      <c r="O753" s="5">
        <f t="shared" si="11"/>
        <v>0</v>
      </c>
      <c r="P753" s="6">
        <f>Table1[[#This Row],[Annual Salary]]+Table1[[#This Row],[Bonus Amount]]</f>
        <v>63318</v>
      </c>
      <c r="Q753" t="str">
        <f>IF(Table1[[#This Row],[Exit Date]]="", "Active","Exited")</f>
        <v>Active</v>
      </c>
      <c r="R753" s="2">
        <f ca="1">IFERROR(DATEDIF(Table1[[#This Row],[Hire Date]],IF(Table1[[#This Row],[Exit Date]]="",TODAY(),Table1[[#This Row],[Exit Date]]),"Y"),"")</f>
        <v>22</v>
      </c>
      <c r="S753" t="str" cm="1">
        <f t="array" ref="S753">_xlfn.IFS(Table1[[#This Row],[Age]]&lt;30,"Under 30",Table1[[#This Row],[Age]]&lt;=40,"30-40",Table1[[#This Row],[Age]]&lt;50,"41-50",TRUE,"50+")</f>
        <v>50+</v>
      </c>
    </row>
    <row r="754" spans="1:19" x14ac:dyDescent="0.35">
      <c r="A754" t="s">
        <v>1529</v>
      </c>
      <c r="B754" t="s">
        <v>1530</v>
      </c>
      <c r="C754" t="s">
        <v>43</v>
      </c>
      <c r="D754" t="s">
        <v>80</v>
      </c>
      <c r="E754" t="s">
        <v>26</v>
      </c>
      <c r="F754" t="s">
        <v>27</v>
      </c>
      <c r="G754" t="s">
        <v>28</v>
      </c>
      <c r="H754" s="3">
        <v>63</v>
      </c>
      <c r="I754" s="8">
        <v>42778</v>
      </c>
      <c r="J754" s="4">
        <v>77629</v>
      </c>
      <c r="K754" s="1">
        <v>0</v>
      </c>
      <c r="L754" t="s">
        <v>29</v>
      </c>
      <c r="M754" t="s">
        <v>114</v>
      </c>
      <c r="O754" s="5">
        <f t="shared" si="11"/>
        <v>0</v>
      </c>
      <c r="P754" s="6">
        <f>Table1[[#This Row],[Annual Salary]]+Table1[[#This Row],[Bonus Amount]]</f>
        <v>77629</v>
      </c>
      <c r="Q754" t="str">
        <f>IF(Table1[[#This Row],[Exit Date]]="", "Active","Exited")</f>
        <v>Active</v>
      </c>
      <c r="R754" s="2">
        <f ca="1">IFERROR(DATEDIF(Table1[[#This Row],[Hire Date]],IF(Table1[[#This Row],[Exit Date]]="",TODAY(),Table1[[#This Row],[Exit Date]]),"Y"),"")</f>
        <v>9</v>
      </c>
      <c r="S754" t="str" cm="1">
        <f t="array" ref="S754">_xlfn.IFS(Table1[[#This Row],[Age]]&lt;30,"Under 30",Table1[[#This Row],[Age]]&lt;=40,"30-40",Table1[[#This Row],[Age]]&lt;50,"41-50",TRUE,"50+")</f>
        <v>50+</v>
      </c>
    </row>
    <row r="755" spans="1:19" x14ac:dyDescent="0.35">
      <c r="A755" t="s">
        <v>1531</v>
      </c>
      <c r="B755" t="s">
        <v>1532</v>
      </c>
      <c r="C755" t="s">
        <v>16</v>
      </c>
      <c r="D755" t="s">
        <v>65</v>
      </c>
      <c r="E755" t="s">
        <v>26</v>
      </c>
      <c r="F755" t="s">
        <v>27</v>
      </c>
      <c r="G755" t="s">
        <v>28</v>
      </c>
      <c r="H755" s="3">
        <v>62</v>
      </c>
      <c r="I755" s="8">
        <v>43061</v>
      </c>
      <c r="J755" s="4">
        <v>138808</v>
      </c>
      <c r="K755" s="1">
        <v>0.15</v>
      </c>
      <c r="L755" t="s">
        <v>29</v>
      </c>
      <c r="M755" t="s">
        <v>30</v>
      </c>
      <c r="O755" s="5">
        <f t="shared" si="11"/>
        <v>20821.2</v>
      </c>
      <c r="P755" s="6">
        <f>Table1[[#This Row],[Annual Salary]]+Table1[[#This Row],[Bonus Amount]]</f>
        <v>159629.20000000001</v>
      </c>
      <c r="Q755" t="str">
        <f>IF(Table1[[#This Row],[Exit Date]]="", "Active","Exited")</f>
        <v>Active</v>
      </c>
      <c r="R755" s="2">
        <f ca="1">IFERROR(DATEDIF(Table1[[#This Row],[Hire Date]],IF(Table1[[#This Row],[Exit Date]]="",TODAY(),Table1[[#This Row],[Exit Date]]),"Y"),"")</f>
        <v>8</v>
      </c>
      <c r="S755" t="str" cm="1">
        <f t="array" ref="S755">_xlfn.IFS(Table1[[#This Row],[Age]]&lt;30,"Under 30",Table1[[#This Row],[Age]]&lt;=40,"30-40",Table1[[#This Row],[Age]]&lt;50,"41-50",TRUE,"50+")</f>
        <v>50+</v>
      </c>
    </row>
    <row r="756" spans="1:19" x14ac:dyDescent="0.35">
      <c r="A756" t="s">
        <v>1533</v>
      </c>
      <c r="B756" t="s">
        <v>1534</v>
      </c>
      <c r="C756" t="s">
        <v>131</v>
      </c>
      <c r="D756" t="s">
        <v>17</v>
      </c>
      <c r="E756" t="s">
        <v>18</v>
      </c>
      <c r="F756" t="s">
        <v>19</v>
      </c>
      <c r="G756" t="s">
        <v>36</v>
      </c>
      <c r="H756" s="3">
        <v>49</v>
      </c>
      <c r="I756" s="8">
        <v>41703</v>
      </c>
      <c r="J756" s="4">
        <v>88777</v>
      </c>
      <c r="K756" s="1">
        <v>0</v>
      </c>
      <c r="L756" t="s">
        <v>21</v>
      </c>
      <c r="M756" t="s">
        <v>37</v>
      </c>
      <c r="O756" s="5">
        <f t="shared" si="11"/>
        <v>0</v>
      </c>
      <c r="P756" s="6">
        <f>Table1[[#This Row],[Annual Salary]]+Table1[[#This Row],[Bonus Amount]]</f>
        <v>88777</v>
      </c>
      <c r="Q756" t="str">
        <f>IF(Table1[[#This Row],[Exit Date]]="", "Active","Exited")</f>
        <v>Active</v>
      </c>
      <c r="R756" s="2">
        <f ca="1">IFERROR(DATEDIF(Table1[[#This Row],[Hire Date]],IF(Table1[[#This Row],[Exit Date]]="",TODAY(),Table1[[#This Row],[Exit Date]]),"Y"),"")</f>
        <v>12</v>
      </c>
      <c r="S756" t="str" cm="1">
        <f t="array" ref="S756">_xlfn.IFS(Table1[[#This Row],[Age]]&lt;30,"Under 30",Table1[[#This Row],[Age]]&lt;=40,"30-40",Table1[[#This Row],[Age]]&lt;50,"41-50",TRUE,"50+")</f>
        <v>41-50</v>
      </c>
    </row>
    <row r="757" spans="1:19" x14ac:dyDescent="0.35">
      <c r="A757" t="s">
        <v>1535</v>
      </c>
      <c r="B757" t="s">
        <v>1536</v>
      </c>
      <c r="C757" t="s">
        <v>33</v>
      </c>
      <c r="D757" t="s">
        <v>59</v>
      </c>
      <c r="E757" t="s">
        <v>49</v>
      </c>
      <c r="F757" t="s">
        <v>19</v>
      </c>
      <c r="G757" t="s">
        <v>28</v>
      </c>
      <c r="H757" s="3">
        <v>60</v>
      </c>
      <c r="I757" s="8">
        <v>38121</v>
      </c>
      <c r="J757" s="4">
        <v>186378</v>
      </c>
      <c r="K757" s="1">
        <v>0.26</v>
      </c>
      <c r="L757" t="s">
        <v>29</v>
      </c>
      <c r="M757" t="s">
        <v>30</v>
      </c>
      <c r="O757" s="5">
        <f t="shared" si="11"/>
        <v>48458.28</v>
      </c>
      <c r="P757" s="6">
        <f>Table1[[#This Row],[Annual Salary]]+Table1[[#This Row],[Bonus Amount]]</f>
        <v>234836.28</v>
      </c>
      <c r="Q757" t="str">
        <f>IF(Table1[[#This Row],[Exit Date]]="", "Active","Exited")</f>
        <v>Active</v>
      </c>
      <c r="R757" s="2">
        <f ca="1">IFERROR(DATEDIF(Table1[[#This Row],[Hire Date]],IF(Table1[[#This Row],[Exit Date]]="",TODAY(),Table1[[#This Row],[Exit Date]]),"Y"),"")</f>
        <v>21</v>
      </c>
      <c r="S757" t="str" cm="1">
        <f t="array" ref="S757">_xlfn.IFS(Table1[[#This Row],[Age]]&lt;30,"Under 30",Table1[[#This Row],[Age]]&lt;=40,"30-40",Table1[[#This Row],[Age]]&lt;50,"41-50",TRUE,"50+")</f>
        <v>50+</v>
      </c>
    </row>
    <row r="758" spans="1:19" x14ac:dyDescent="0.35">
      <c r="A758" t="s">
        <v>1537</v>
      </c>
      <c r="B758" t="s">
        <v>1538</v>
      </c>
      <c r="C758" t="s">
        <v>108</v>
      </c>
      <c r="D758" t="s">
        <v>69</v>
      </c>
      <c r="E758" t="s">
        <v>18</v>
      </c>
      <c r="F758" t="s">
        <v>19</v>
      </c>
      <c r="G758" t="s">
        <v>28</v>
      </c>
      <c r="H758" s="3">
        <v>45</v>
      </c>
      <c r="I758" s="8">
        <v>42117</v>
      </c>
      <c r="J758" s="4">
        <v>60017</v>
      </c>
      <c r="K758" s="1">
        <v>0</v>
      </c>
      <c r="L758" t="s">
        <v>21</v>
      </c>
      <c r="M758" t="s">
        <v>37</v>
      </c>
      <c r="O758" s="5">
        <f t="shared" si="11"/>
        <v>0</v>
      </c>
      <c r="P758" s="6">
        <f>Table1[[#This Row],[Annual Salary]]+Table1[[#This Row],[Bonus Amount]]</f>
        <v>60017</v>
      </c>
      <c r="Q758" t="str">
        <f>IF(Table1[[#This Row],[Exit Date]]="", "Active","Exited")</f>
        <v>Active</v>
      </c>
      <c r="R758" s="2">
        <f ca="1">IFERROR(DATEDIF(Table1[[#This Row],[Hire Date]],IF(Table1[[#This Row],[Exit Date]]="",TODAY(),Table1[[#This Row],[Exit Date]]),"Y"),"")</f>
        <v>10</v>
      </c>
      <c r="S758" t="str" cm="1">
        <f t="array" ref="S758">_xlfn.IFS(Table1[[#This Row],[Age]]&lt;30,"Under 30",Table1[[#This Row],[Age]]&lt;=40,"30-40",Table1[[#This Row],[Age]]&lt;50,"41-50",TRUE,"50+")</f>
        <v>41-50</v>
      </c>
    </row>
    <row r="759" spans="1:19" x14ac:dyDescent="0.35">
      <c r="A759" t="s">
        <v>1539</v>
      </c>
      <c r="B759" t="s">
        <v>1540</v>
      </c>
      <c r="C759" t="s">
        <v>16</v>
      </c>
      <c r="D759" t="s">
        <v>48</v>
      </c>
      <c r="E759" t="s">
        <v>35</v>
      </c>
      <c r="F759" t="s">
        <v>19</v>
      </c>
      <c r="G759" t="s">
        <v>85</v>
      </c>
      <c r="H759" s="3">
        <v>45</v>
      </c>
      <c r="I759" s="8">
        <v>43305</v>
      </c>
      <c r="J759" s="4">
        <v>148991</v>
      </c>
      <c r="K759" s="1">
        <v>0.12</v>
      </c>
      <c r="L759" t="s">
        <v>93</v>
      </c>
      <c r="M759" t="s">
        <v>218</v>
      </c>
      <c r="O759" s="5">
        <f t="shared" si="11"/>
        <v>17878.919999999998</v>
      </c>
      <c r="P759" s="6">
        <f>Table1[[#This Row],[Annual Salary]]+Table1[[#This Row],[Bonus Amount]]</f>
        <v>166869.91999999998</v>
      </c>
      <c r="Q759" t="str">
        <f>IF(Table1[[#This Row],[Exit Date]]="", "Active","Exited")</f>
        <v>Active</v>
      </c>
      <c r="R759" s="2">
        <f ca="1">IFERROR(DATEDIF(Table1[[#This Row],[Hire Date]],IF(Table1[[#This Row],[Exit Date]]="",TODAY(),Table1[[#This Row],[Exit Date]]),"Y"),"")</f>
        <v>7</v>
      </c>
      <c r="S759" t="str" cm="1">
        <f t="array" ref="S759">_xlfn.IFS(Table1[[#This Row],[Age]]&lt;30,"Under 30",Table1[[#This Row],[Age]]&lt;=40,"30-40",Table1[[#This Row],[Age]]&lt;50,"41-50",TRUE,"50+")</f>
        <v>41-50</v>
      </c>
    </row>
    <row r="760" spans="1:19" x14ac:dyDescent="0.35">
      <c r="A760" t="s">
        <v>1541</v>
      </c>
      <c r="B760" t="s">
        <v>1542</v>
      </c>
      <c r="C760" t="s">
        <v>175</v>
      </c>
      <c r="D760" t="s">
        <v>69</v>
      </c>
      <c r="E760" t="s">
        <v>35</v>
      </c>
      <c r="F760" t="s">
        <v>19</v>
      </c>
      <c r="G760" t="s">
        <v>85</v>
      </c>
      <c r="H760" s="3">
        <v>52</v>
      </c>
      <c r="I760" s="8">
        <v>39532</v>
      </c>
      <c r="J760" s="4">
        <v>97398</v>
      </c>
      <c r="K760" s="1">
        <v>0</v>
      </c>
      <c r="L760" t="s">
        <v>93</v>
      </c>
      <c r="M760" t="s">
        <v>94</v>
      </c>
      <c r="O760" s="5">
        <f t="shared" si="11"/>
        <v>0</v>
      </c>
      <c r="P760" s="6">
        <f>Table1[[#This Row],[Annual Salary]]+Table1[[#This Row],[Bonus Amount]]</f>
        <v>97398</v>
      </c>
      <c r="Q760" t="str">
        <f>IF(Table1[[#This Row],[Exit Date]]="", "Active","Exited")</f>
        <v>Active</v>
      </c>
      <c r="R760" s="2">
        <f ca="1">IFERROR(DATEDIF(Table1[[#This Row],[Hire Date]],IF(Table1[[#This Row],[Exit Date]]="",TODAY(),Table1[[#This Row],[Exit Date]]),"Y"),"")</f>
        <v>17</v>
      </c>
      <c r="S760" t="str" cm="1">
        <f t="array" ref="S760">_xlfn.IFS(Table1[[#This Row],[Age]]&lt;30,"Under 30",Table1[[#This Row],[Age]]&lt;=40,"30-40",Table1[[#This Row],[Age]]&lt;50,"41-50",TRUE,"50+")</f>
        <v>50+</v>
      </c>
    </row>
    <row r="761" spans="1:19" x14ac:dyDescent="0.35">
      <c r="A761" t="s">
        <v>1543</v>
      </c>
      <c r="B761" t="s">
        <v>1544</v>
      </c>
      <c r="C761" t="s">
        <v>143</v>
      </c>
      <c r="D761" t="s">
        <v>65</v>
      </c>
      <c r="E761" t="s">
        <v>26</v>
      </c>
      <c r="F761" t="s">
        <v>19</v>
      </c>
      <c r="G761" t="s">
        <v>28</v>
      </c>
      <c r="H761" s="3">
        <v>63</v>
      </c>
      <c r="I761" s="8">
        <v>39204</v>
      </c>
      <c r="J761" s="4">
        <v>72805</v>
      </c>
      <c r="K761" s="1">
        <v>0</v>
      </c>
      <c r="L761" t="s">
        <v>29</v>
      </c>
      <c r="M761" t="s">
        <v>74</v>
      </c>
      <c r="O761" s="5">
        <f t="shared" si="11"/>
        <v>0</v>
      </c>
      <c r="P761" s="6">
        <f>Table1[[#This Row],[Annual Salary]]+Table1[[#This Row],[Bonus Amount]]</f>
        <v>72805</v>
      </c>
      <c r="Q761" t="str">
        <f>IF(Table1[[#This Row],[Exit Date]]="", "Active","Exited")</f>
        <v>Active</v>
      </c>
      <c r="R761" s="2">
        <f ca="1">IFERROR(DATEDIF(Table1[[#This Row],[Hire Date]],IF(Table1[[#This Row],[Exit Date]]="",TODAY(),Table1[[#This Row],[Exit Date]]),"Y"),"")</f>
        <v>18</v>
      </c>
      <c r="S761" t="str" cm="1">
        <f t="array" ref="S761">_xlfn.IFS(Table1[[#This Row],[Age]]&lt;30,"Under 30",Table1[[#This Row],[Age]]&lt;=40,"30-40",Table1[[#This Row],[Age]]&lt;50,"41-50",TRUE,"50+")</f>
        <v>50+</v>
      </c>
    </row>
    <row r="762" spans="1:19" x14ac:dyDescent="0.35">
      <c r="A762" t="s">
        <v>1545</v>
      </c>
      <c r="B762" t="s">
        <v>1546</v>
      </c>
      <c r="C762" t="s">
        <v>294</v>
      </c>
      <c r="D762" t="s">
        <v>48</v>
      </c>
      <c r="E762" t="s">
        <v>18</v>
      </c>
      <c r="F762" t="s">
        <v>19</v>
      </c>
      <c r="G762" t="s">
        <v>28</v>
      </c>
      <c r="H762" s="3">
        <v>46</v>
      </c>
      <c r="I762" s="8">
        <v>44213</v>
      </c>
      <c r="J762" s="4">
        <v>72131</v>
      </c>
      <c r="K762" s="1">
        <v>0</v>
      </c>
      <c r="L762" t="s">
        <v>29</v>
      </c>
      <c r="M762" t="s">
        <v>74</v>
      </c>
      <c r="O762" s="5">
        <f t="shared" si="11"/>
        <v>0</v>
      </c>
      <c r="P762" s="6">
        <f>Table1[[#This Row],[Annual Salary]]+Table1[[#This Row],[Bonus Amount]]</f>
        <v>72131</v>
      </c>
      <c r="Q762" t="str">
        <f>IF(Table1[[#This Row],[Exit Date]]="", "Active","Exited")</f>
        <v>Active</v>
      </c>
      <c r="R762" s="2">
        <f ca="1">IFERROR(DATEDIF(Table1[[#This Row],[Hire Date]],IF(Table1[[#This Row],[Exit Date]]="",TODAY(),Table1[[#This Row],[Exit Date]]),"Y"),"")</f>
        <v>5</v>
      </c>
      <c r="S762" t="str" cm="1">
        <f t="array" ref="S762">_xlfn.IFS(Table1[[#This Row],[Age]]&lt;30,"Under 30",Table1[[#This Row],[Age]]&lt;=40,"30-40",Table1[[#This Row],[Age]]&lt;50,"41-50",TRUE,"50+")</f>
        <v>41-50</v>
      </c>
    </row>
    <row r="763" spans="1:19" x14ac:dyDescent="0.35">
      <c r="A763" t="s">
        <v>1547</v>
      </c>
      <c r="B763" t="s">
        <v>1548</v>
      </c>
      <c r="C763" t="s">
        <v>52</v>
      </c>
      <c r="D763" t="s">
        <v>65</v>
      </c>
      <c r="E763" t="s">
        <v>26</v>
      </c>
      <c r="F763" t="s">
        <v>27</v>
      </c>
      <c r="G763" t="s">
        <v>36</v>
      </c>
      <c r="H763" s="3">
        <v>64</v>
      </c>
      <c r="I763" s="8">
        <v>33964</v>
      </c>
      <c r="J763" s="4">
        <v>104668</v>
      </c>
      <c r="K763" s="1">
        <v>0.08</v>
      </c>
      <c r="L763" t="s">
        <v>21</v>
      </c>
      <c r="M763" t="s">
        <v>88</v>
      </c>
      <c r="O763" s="5">
        <f t="shared" si="11"/>
        <v>8373.44</v>
      </c>
      <c r="P763" s="6">
        <f>Table1[[#This Row],[Annual Salary]]+Table1[[#This Row],[Bonus Amount]]</f>
        <v>113041.44</v>
      </c>
      <c r="Q763" t="str">
        <f>IF(Table1[[#This Row],[Exit Date]]="", "Active","Exited")</f>
        <v>Active</v>
      </c>
      <c r="R763" s="2">
        <f ca="1">IFERROR(DATEDIF(Table1[[#This Row],[Hire Date]],IF(Table1[[#This Row],[Exit Date]]="",TODAY(),Table1[[#This Row],[Exit Date]]),"Y"),"")</f>
        <v>33</v>
      </c>
      <c r="S763" t="str" cm="1">
        <f t="array" ref="S763">_xlfn.IFS(Table1[[#This Row],[Age]]&lt;30,"Under 30",Table1[[#This Row],[Age]]&lt;=40,"30-40",Table1[[#This Row],[Age]]&lt;50,"41-50",TRUE,"50+")</f>
        <v>50+</v>
      </c>
    </row>
    <row r="764" spans="1:19" x14ac:dyDescent="0.35">
      <c r="A764" t="s">
        <v>1549</v>
      </c>
      <c r="B764" t="s">
        <v>1550</v>
      </c>
      <c r="C764" t="s">
        <v>43</v>
      </c>
      <c r="D764" t="s">
        <v>48</v>
      </c>
      <c r="E764" t="s">
        <v>26</v>
      </c>
      <c r="F764" t="s">
        <v>19</v>
      </c>
      <c r="G764" t="s">
        <v>36</v>
      </c>
      <c r="H764" s="3">
        <v>53</v>
      </c>
      <c r="I764" s="8">
        <v>42952</v>
      </c>
      <c r="J764" s="4">
        <v>89769</v>
      </c>
      <c r="K764" s="1">
        <v>0</v>
      </c>
      <c r="L764" t="s">
        <v>21</v>
      </c>
      <c r="M764" t="s">
        <v>22</v>
      </c>
      <c r="O764" s="5">
        <f t="shared" si="11"/>
        <v>0</v>
      </c>
      <c r="P764" s="6">
        <f>Table1[[#This Row],[Annual Salary]]+Table1[[#This Row],[Bonus Amount]]</f>
        <v>89769</v>
      </c>
      <c r="Q764" t="str">
        <f>IF(Table1[[#This Row],[Exit Date]]="", "Active","Exited")</f>
        <v>Active</v>
      </c>
      <c r="R764" s="2">
        <f ca="1">IFERROR(DATEDIF(Table1[[#This Row],[Hire Date]],IF(Table1[[#This Row],[Exit Date]]="",TODAY(),Table1[[#This Row],[Exit Date]]),"Y"),"")</f>
        <v>8</v>
      </c>
      <c r="S764" t="str" cm="1">
        <f t="array" ref="S764">_xlfn.IFS(Table1[[#This Row],[Age]]&lt;30,"Under 30",Table1[[#This Row],[Age]]&lt;=40,"30-40",Table1[[#This Row],[Age]]&lt;50,"41-50",TRUE,"50+")</f>
        <v>50+</v>
      </c>
    </row>
    <row r="765" spans="1:19" x14ac:dyDescent="0.35">
      <c r="A765" t="s">
        <v>1551</v>
      </c>
      <c r="B765" t="s">
        <v>1552</v>
      </c>
      <c r="C765" t="s">
        <v>52</v>
      </c>
      <c r="D765" t="s">
        <v>48</v>
      </c>
      <c r="E765" t="s">
        <v>49</v>
      </c>
      <c r="F765" t="s">
        <v>19</v>
      </c>
      <c r="G765" t="s">
        <v>28</v>
      </c>
      <c r="H765" s="3">
        <v>27</v>
      </c>
      <c r="I765" s="8">
        <v>43358</v>
      </c>
      <c r="J765" s="4">
        <v>127616</v>
      </c>
      <c r="K765" s="1">
        <v>7.0000000000000007E-2</v>
      </c>
      <c r="L765" t="s">
        <v>21</v>
      </c>
      <c r="M765" t="s">
        <v>88</v>
      </c>
      <c r="O765" s="5">
        <f t="shared" si="11"/>
        <v>8933.1200000000008</v>
      </c>
      <c r="P765" s="6">
        <f>Table1[[#This Row],[Annual Salary]]+Table1[[#This Row],[Bonus Amount]]</f>
        <v>136549.12</v>
      </c>
      <c r="Q765" t="str">
        <f>IF(Table1[[#This Row],[Exit Date]]="", "Active","Exited")</f>
        <v>Active</v>
      </c>
      <c r="R765" s="2">
        <f ca="1">IFERROR(DATEDIF(Table1[[#This Row],[Hire Date]],IF(Table1[[#This Row],[Exit Date]]="",TODAY(),Table1[[#This Row],[Exit Date]]),"Y"),"")</f>
        <v>7</v>
      </c>
      <c r="S765" t="str" cm="1">
        <f t="array" ref="S765">_xlfn.IFS(Table1[[#This Row],[Age]]&lt;30,"Under 30",Table1[[#This Row],[Age]]&lt;=40,"30-40",Table1[[#This Row],[Age]]&lt;50,"41-50",TRUE,"50+")</f>
        <v>Under 30</v>
      </c>
    </row>
    <row r="766" spans="1:19" x14ac:dyDescent="0.35">
      <c r="A766" t="s">
        <v>550</v>
      </c>
      <c r="B766" t="s">
        <v>1553</v>
      </c>
      <c r="C766" t="s">
        <v>52</v>
      </c>
      <c r="D766" t="s">
        <v>65</v>
      </c>
      <c r="E766" t="s">
        <v>49</v>
      </c>
      <c r="F766" t="s">
        <v>27</v>
      </c>
      <c r="G766" t="s">
        <v>36</v>
      </c>
      <c r="H766" s="3">
        <v>45</v>
      </c>
      <c r="I766" s="8">
        <v>41099</v>
      </c>
      <c r="J766" s="4">
        <v>109883</v>
      </c>
      <c r="K766" s="1">
        <v>7.0000000000000007E-2</v>
      </c>
      <c r="L766" t="s">
        <v>21</v>
      </c>
      <c r="M766" t="s">
        <v>88</v>
      </c>
      <c r="O766" s="5">
        <f t="shared" si="11"/>
        <v>7691.81</v>
      </c>
      <c r="P766" s="6">
        <f>Table1[[#This Row],[Annual Salary]]+Table1[[#This Row],[Bonus Amount]]</f>
        <v>117574.81</v>
      </c>
      <c r="Q766" t="str">
        <f>IF(Table1[[#This Row],[Exit Date]]="", "Active","Exited")</f>
        <v>Active</v>
      </c>
      <c r="R766" s="2">
        <f ca="1">IFERROR(DATEDIF(Table1[[#This Row],[Hire Date]],IF(Table1[[#This Row],[Exit Date]]="",TODAY(),Table1[[#This Row],[Exit Date]]),"Y"),"")</f>
        <v>13</v>
      </c>
      <c r="S766" t="str" cm="1">
        <f t="array" ref="S766">_xlfn.IFS(Table1[[#This Row],[Age]]&lt;30,"Under 30",Table1[[#This Row],[Age]]&lt;=40,"30-40",Table1[[#This Row],[Age]]&lt;50,"41-50",TRUE,"50+")</f>
        <v>41-50</v>
      </c>
    </row>
    <row r="767" spans="1:19" x14ac:dyDescent="0.35">
      <c r="A767" t="s">
        <v>1554</v>
      </c>
      <c r="B767" t="s">
        <v>1555</v>
      </c>
      <c r="C767" t="s">
        <v>184</v>
      </c>
      <c r="D767" t="s">
        <v>65</v>
      </c>
      <c r="E767" t="s">
        <v>26</v>
      </c>
      <c r="F767" t="s">
        <v>19</v>
      </c>
      <c r="G767" t="s">
        <v>28</v>
      </c>
      <c r="H767" s="3">
        <v>25</v>
      </c>
      <c r="I767" s="8">
        <v>44270</v>
      </c>
      <c r="J767" s="4">
        <v>47974</v>
      </c>
      <c r="K767" s="1">
        <v>0</v>
      </c>
      <c r="L767" t="s">
        <v>29</v>
      </c>
      <c r="M767" t="s">
        <v>30</v>
      </c>
      <c r="O767" s="5">
        <f t="shared" si="11"/>
        <v>0</v>
      </c>
      <c r="P767" s="6">
        <f>Table1[[#This Row],[Annual Salary]]+Table1[[#This Row],[Bonus Amount]]</f>
        <v>47974</v>
      </c>
      <c r="Q767" t="str">
        <f>IF(Table1[[#This Row],[Exit Date]]="", "Active","Exited")</f>
        <v>Active</v>
      </c>
      <c r="R767" s="2">
        <f ca="1">IFERROR(DATEDIF(Table1[[#This Row],[Hire Date]],IF(Table1[[#This Row],[Exit Date]]="",TODAY(),Table1[[#This Row],[Exit Date]]),"Y"),"")</f>
        <v>5</v>
      </c>
      <c r="S767" t="str" cm="1">
        <f t="array" ref="S767">_xlfn.IFS(Table1[[#This Row],[Age]]&lt;30,"Under 30",Table1[[#This Row],[Age]]&lt;=40,"30-40",Table1[[#This Row],[Age]]&lt;50,"41-50",TRUE,"50+")</f>
        <v>Under 30</v>
      </c>
    </row>
    <row r="768" spans="1:19" x14ac:dyDescent="0.35">
      <c r="A768" t="s">
        <v>1556</v>
      </c>
      <c r="B768" t="s">
        <v>1557</v>
      </c>
      <c r="C768" t="s">
        <v>16</v>
      </c>
      <c r="D768" t="s">
        <v>17</v>
      </c>
      <c r="E768" t="s">
        <v>35</v>
      </c>
      <c r="F768" t="s">
        <v>19</v>
      </c>
      <c r="G768" t="s">
        <v>36</v>
      </c>
      <c r="H768" s="3">
        <v>43</v>
      </c>
      <c r="I768" s="8">
        <v>42090</v>
      </c>
      <c r="J768" s="4">
        <v>120321</v>
      </c>
      <c r="K768" s="1">
        <v>0.12</v>
      </c>
      <c r="L768" t="s">
        <v>21</v>
      </c>
      <c r="M768" t="s">
        <v>60</v>
      </c>
      <c r="O768" s="5">
        <f t="shared" si="11"/>
        <v>14438.519999999999</v>
      </c>
      <c r="P768" s="6">
        <f>Table1[[#This Row],[Annual Salary]]+Table1[[#This Row],[Bonus Amount]]</f>
        <v>134759.51999999999</v>
      </c>
      <c r="Q768" t="str">
        <f>IF(Table1[[#This Row],[Exit Date]]="", "Active","Exited")</f>
        <v>Active</v>
      </c>
      <c r="R768" s="2">
        <f ca="1">IFERROR(DATEDIF(Table1[[#This Row],[Hire Date]],IF(Table1[[#This Row],[Exit Date]]="",TODAY(),Table1[[#This Row],[Exit Date]]),"Y"),"")</f>
        <v>10</v>
      </c>
      <c r="S768" t="str" cm="1">
        <f t="array" ref="S768">_xlfn.IFS(Table1[[#This Row],[Age]]&lt;30,"Under 30",Table1[[#This Row],[Age]]&lt;=40,"30-40",Table1[[#This Row],[Age]]&lt;50,"41-50",TRUE,"50+")</f>
        <v>41-50</v>
      </c>
    </row>
    <row r="769" spans="1:19" x14ac:dyDescent="0.35">
      <c r="A769" t="s">
        <v>1558</v>
      </c>
      <c r="B769" t="s">
        <v>1559</v>
      </c>
      <c r="C769" t="s">
        <v>119</v>
      </c>
      <c r="D769" t="s">
        <v>17</v>
      </c>
      <c r="E769" t="s">
        <v>26</v>
      </c>
      <c r="F769" t="s">
        <v>19</v>
      </c>
      <c r="G769" t="s">
        <v>85</v>
      </c>
      <c r="H769" s="3">
        <v>61</v>
      </c>
      <c r="I769" s="8">
        <v>41861</v>
      </c>
      <c r="J769" s="4">
        <v>57446</v>
      </c>
      <c r="K769" s="1">
        <v>0</v>
      </c>
      <c r="L769" t="s">
        <v>21</v>
      </c>
      <c r="M769" t="s">
        <v>44</v>
      </c>
      <c r="O769" s="5">
        <f t="shared" si="11"/>
        <v>0</v>
      </c>
      <c r="P769" s="6">
        <f>Table1[[#This Row],[Annual Salary]]+Table1[[#This Row],[Bonus Amount]]</f>
        <v>57446</v>
      </c>
      <c r="Q769" t="str">
        <f>IF(Table1[[#This Row],[Exit Date]]="", "Active","Exited")</f>
        <v>Active</v>
      </c>
      <c r="R769" s="2">
        <f ca="1">IFERROR(DATEDIF(Table1[[#This Row],[Hire Date]],IF(Table1[[#This Row],[Exit Date]]="",TODAY(),Table1[[#This Row],[Exit Date]]),"Y"),"")</f>
        <v>11</v>
      </c>
      <c r="S769" t="str" cm="1">
        <f t="array" ref="S769">_xlfn.IFS(Table1[[#This Row],[Age]]&lt;30,"Under 30",Table1[[#This Row],[Age]]&lt;=40,"30-40",Table1[[#This Row],[Age]]&lt;50,"41-50",TRUE,"50+")</f>
        <v>50+</v>
      </c>
    </row>
    <row r="770" spans="1:19" x14ac:dyDescent="0.35">
      <c r="A770" t="s">
        <v>1560</v>
      </c>
      <c r="B770" t="s">
        <v>1561</v>
      </c>
      <c r="C770" t="s">
        <v>33</v>
      </c>
      <c r="D770" t="s">
        <v>59</v>
      </c>
      <c r="E770" t="s">
        <v>18</v>
      </c>
      <c r="F770" t="s">
        <v>19</v>
      </c>
      <c r="G770" t="s">
        <v>36</v>
      </c>
      <c r="H770" s="3">
        <v>42</v>
      </c>
      <c r="I770" s="8">
        <v>39968</v>
      </c>
      <c r="J770" s="4">
        <v>174099</v>
      </c>
      <c r="K770" s="1">
        <v>0.26</v>
      </c>
      <c r="L770" t="s">
        <v>21</v>
      </c>
      <c r="M770" t="s">
        <v>60</v>
      </c>
      <c r="O770" s="5">
        <f t="shared" si="11"/>
        <v>45265.74</v>
      </c>
      <c r="P770" s="6">
        <f>Table1[[#This Row],[Annual Salary]]+Table1[[#This Row],[Bonus Amount]]</f>
        <v>219364.74</v>
      </c>
      <c r="Q770" t="str">
        <f>IF(Table1[[#This Row],[Exit Date]]="", "Active","Exited")</f>
        <v>Active</v>
      </c>
      <c r="R770" s="2">
        <f ca="1">IFERROR(DATEDIF(Table1[[#This Row],[Hire Date]],IF(Table1[[#This Row],[Exit Date]]="",TODAY(),Table1[[#This Row],[Exit Date]]),"Y"),"")</f>
        <v>16</v>
      </c>
      <c r="S770" t="str" cm="1">
        <f t="array" ref="S770">_xlfn.IFS(Table1[[#This Row],[Age]]&lt;30,"Under 30",Table1[[#This Row],[Age]]&lt;=40,"30-40",Table1[[#This Row],[Age]]&lt;50,"41-50",TRUE,"50+")</f>
        <v>41-50</v>
      </c>
    </row>
    <row r="771" spans="1:19" x14ac:dyDescent="0.35">
      <c r="A771" t="s">
        <v>1562</v>
      </c>
      <c r="B771" t="s">
        <v>1563</v>
      </c>
      <c r="C771" t="s">
        <v>16</v>
      </c>
      <c r="D771" t="s">
        <v>34</v>
      </c>
      <c r="E771" t="s">
        <v>26</v>
      </c>
      <c r="F771" t="s">
        <v>27</v>
      </c>
      <c r="G771" t="s">
        <v>28</v>
      </c>
      <c r="H771" s="3">
        <v>63</v>
      </c>
      <c r="I771" s="8">
        <v>37295</v>
      </c>
      <c r="J771" s="4">
        <v>128703</v>
      </c>
      <c r="K771" s="1">
        <v>0.13</v>
      </c>
      <c r="L771" t="s">
        <v>21</v>
      </c>
      <c r="M771" t="s">
        <v>60</v>
      </c>
      <c r="O771" s="5">
        <f t="shared" ref="O771:O834" si="12">J771*K771</f>
        <v>16731.39</v>
      </c>
      <c r="P771" s="6">
        <f>Table1[[#This Row],[Annual Salary]]+Table1[[#This Row],[Bonus Amount]]</f>
        <v>145434.39000000001</v>
      </c>
      <c r="Q771" t="str">
        <f>IF(Table1[[#This Row],[Exit Date]]="", "Active","Exited")</f>
        <v>Active</v>
      </c>
      <c r="R771" s="2">
        <f ca="1">IFERROR(DATEDIF(Table1[[#This Row],[Hire Date]],IF(Table1[[#This Row],[Exit Date]]="",TODAY(),Table1[[#This Row],[Exit Date]]),"Y"),"")</f>
        <v>24</v>
      </c>
      <c r="S771" t="str" cm="1">
        <f t="array" ref="S771">_xlfn.IFS(Table1[[#This Row],[Age]]&lt;30,"Under 30",Table1[[#This Row],[Age]]&lt;=40,"30-40",Table1[[#This Row],[Age]]&lt;50,"41-50",TRUE,"50+")</f>
        <v>50+</v>
      </c>
    </row>
    <row r="772" spans="1:19" x14ac:dyDescent="0.35">
      <c r="A772" t="s">
        <v>1564</v>
      </c>
      <c r="B772" t="s">
        <v>1565</v>
      </c>
      <c r="C772" t="s">
        <v>175</v>
      </c>
      <c r="D772" t="s">
        <v>69</v>
      </c>
      <c r="E772" t="s">
        <v>49</v>
      </c>
      <c r="F772" t="s">
        <v>19</v>
      </c>
      <c r="G772" t="s">
        <v>36</v>
      </c>
      <c r="H772" s="3">
        <v>32</v>
      </c>
      <c r="I772" s="8">
        <v>42317</v>
      </c>
      <c r="J772" s="4">
        <v>65247</v>
      </c>
      <c r="K772" s="1">
        <v>0</v>
      </c>
      <c r="L772" t="s">
        <v>21</v>
      </c>
      <c r="M772" t="s">
        <v>44</v>
      </c>
      <c r="O772" s="5">
        <f t="shared" si="12"/>
        <v>0</v>
      </c>
      <c r="P772" s="6">
        <f>Table1[[#This Row],[Annual Salary]]+Table1[[#This Row],[Bonus Amount]]</f>
        <v>65247</v>
      </c>
      <c r="Q772" t="str">
        <f>IF(Table1[[#This Row],[Exit Date]]="", "Active","Exited")</f>
        <v>Active</v>
      </c>
      <c r="R772" s="2">
        <f ca="1">IFERROR(DATEDIF(Table1[[#This Row],[Hire Date]],IF(Table1[[#This Row],[Exit Date]]="",TODAY(),Table1[[#This Row],[Exit Date]]),"Y"),"")</f>
        <v>10</v>
      </c>
      <c r="S772" t="str" cm="1">
        <f t="array" ref="S772">_xlfn.IFS(Table1[[#This Row],[Age]]&lt;30,"Under 30",Table1[[#This Row],[Age]]&lt;=40,"30-40",Table1[[#This Row],[Age]]&lt;50,"41-50",TRUE,"50+")</f>
        <v>30-40</v>
      </c>
    </row>
    <row r="773" spans="1:19" x14ac:dyDescent="0.35">
      <c r="A773" t="s">
        <v>1566</v>
      </c>
      <c r="B773" t="s">
        <v>1567</v>
      </c>
      <c r="C773" t="s">
        <v>108</v>
      </c>
      <c r="D773" t="s">
        <v>69</v>
      </c>
      <c r="E773" t="s">
        <v>18</v>
      </c>
      <c r="F773" t="s">
        <v>27</v>
      </c>
      <c r="G773" t="s">
        <v>85</v>
      </c>
      <c r="H773" s="3">
        <v>27</v>
      </c>
      <c r="I773" s="8">
        <v>43371</v>
      </c>
      <c r="J773" s="4">
        <v>64247</v>
      </c>
      <c r="K773" s="1">
        <v>0</v>
      </c>
      <c r="L773" t="s">
        <v>93</v>
      </c>
      <c r="M773" t="s">
        <v>99</v>
      </c>
      <c r="O773" s="5">
        <f t="shared" si="12"/>
        <v>0</v>
      </c>
      <c r="P773" s="6">
        <f>Table1[[#This Row],[Annual Salary]]+Table1[[#This Row],[Bonus Amount]]</f>
        <v>64247</v>
      </c>
      <c r="Q773" t="str">
        <f>IF(Table1[[#This Row],[Exit Date]]="", "Active","Exited")</f>
        <v>Active</v>
      </c>
      <c r="R773" s="2">
        <f ca="1">IFERROR(DATEDIF(Table1[[#This Row],[Hire Date]],IF(Table1[[#This Row],[Exit Date]]="",TODAY(),Table1[[#This Row],[Exit Date]]),"Y"),"")</f>
        <v>7</v>
      </c>
      <c r="S773" t="str" cm="1">
        <f t="array" ref="S773">_xlfn.IFS(Table1[[#This Row],[Age]]&lt;30,"Under 30",Table1[[#This Row],[Age]]&lt;=40,"30-40",Table1[[#This Row],[Age]]&lt;50,"41-50",TRUE,"50+")</f>
        <v>Under 30</v>
      </c>
    </row>
    <row r="774" spans="1:19" x14ac:dyDescent="0.35">
      <c r="A774" t="s">
        <v>1568</v>
      </c>
      <c r="B774" t="s">
        <v>1569</v>
      </c>
      <c r="C774" t="s">
        <v>52</v>
      </c>
      <c r="D774" t="s">
        <v>65</v>
      </c>
      <c r="E774" t="s">
        <v>18</v>
      </c>
      <c r="F774" t="s">
        <v>19</v>
      </c>
      <c r="G774" t="s">
        <v>36</v>
      </c>
      <c r="H774" s="3">
        <v>33</v>
      </c>
      <c r="I774" s="8">
        <v>41071</v>
      </c>
      <c r="J774" s="4">
        <v>118253</v>
      </c>
      <c r="K774" s="1">
        <v>0.08</v>
      </c>
      <c r="L774" t="s">
        <v>21</v>
      </c>
      <c r="M774" t="s">
        <v>60</v>
      </c>
      <c r="O774" s="5">
        <f t="shared" si="12"/>
        <v>9460.24</v>
      </c>
      <c r="P774" s="6">
        <f>Table1[[#This Row],[Annual Salary]]+Table1[[#This Row],[Bonus Amount]]</f>
        <v>127713.24</v>
      </c>
      <c r="Q774" t="str">
        <f>IF(Table1[[#This Row],[Exit Date]]="", "Active","Exited")</f>
        <v>Active</v>
      </c>
      <c r="R774" s="2">
        <f ca="1">IFERROR(DATEDIF(Table1[[#This Row],[Hire Date]],IF(Table1[[#This Row],[Exit Date]]="",TODAY(),Table1[[#This Row],[Exit Date]]),"Y"),"")</f>
        <v>13</v>
      </c>
      <c r="S774" t="str" cm="1">
        <f t="array" ref="S774">_xlfn.IFS(Table1[[#This Row],[Age]]&lt;30,"Under 30",Table1[[#This Row],[Age]]&lt;=40,"30-40",Table1[[#This Row],[Age]]&lt;50,"41-50",TRUE,"50+")</f>
        <v>30-40</v>
      </c>
    </row>
    <row r="775" spans="1:19" x14ac:dyDescent="0.35">
      <c r="A775" t="s">
        <v>1570</v>
      </c>
      <c r="B775" t="s">
        <v>1571</v>
      </c>
      <c r="C775" t="s">
        <v>181</v>
      </c>
      <c r="D775" t="s">
        <v>69</v>
      </c>
      <c r="E775" t="s">
        <v>26</v>
      </c>
      <c r="F775" t="s">
        <v>19</v>
      </c>
      <c r="G775" t="s">
        <v>28</v>
      </c>
      <c r="H775" s="3">
        <v>45</v>
      </c>
      <c r="I775" s="8">
        <v>38057</v>
      </c>
      <c r="J775" s="4">
        <v>109422</v>
      </c>
      <c r="K775" s="1">
        <v>0</v>
      </c>
      <c r="L775" t="s">
        <v>29</v>
      </c>
      <c r="M775" t="s">
        <v>30</v>
      </c>
      <c r="O775" s="5">
        <f t="shared" si="12"/>
        <v>0</v>
      </c>
      <c r="P775" s="6">
        <f>Table1[[#This Row],[Annual Salary]]+Table1[[#This Row],[Bonus Amount]]</f>
        <v>109422</v>
      </c>
      <c r="Q775" t="str">
        <f>IF(Table1[[#This Row],[Exit Date]]="", "Active","Exited")</f>
        <v>Active</v>
      </c>
      <c r="R775" s="2">
        <f ca="1">IFERROR(DATEDIF(Table1[[#This Row],[Hire Date]],IF(Table1[[#This Row],[Exit Date]]="",TODAY(),Table1[[#This Row],[Exit Date]]),"Y"),"")</f>
        <v>22</v>
      </c>
      <c r="S775" t="str" cm="1">
        <f t="array" ref="S775">_xlfn.IFS(Table1[[#This Row],[Age]]&lt;30,"Under 30",Table1[[#This Row],[Age]]&lt;=40,"30-40",Table1[[#This Row],[Age]]&lt;50,"41-50",TRUE,"50+")</f>
        <v>41-50</v>
      </c>
    </row>
    <row r="776" spans="1:19" x14ac:dyDescent="0.35">
      <c r="A776" t="s">
        <v>1572</v>
      </c>
      <c r="B776" t="s">
        <v>1573</v>
      </c>
      <c r="C776" t="s">
        <v>52</v>
      </c>
      <c r="D776" t="s">
        <v>65</v>
      </c>
      <c r="E776" t="s">
        <v>49</v>
      </c>
      <c r="F776" t="s">
        <v>27</v>
      </c>
      <c r="G776" t="s">
        <v>28</v>
      </c>
      <c r="H776" s="3">
        <v>41</v>
      </c>
      <c r="I776" s="8">
        <v>43502</v>
      </c>
      <c r="J776" s="4">
        <v>126950</v>
      </c>
      <c r="K776" s="1">
        <v>0.1</v>
      </c>
      <c r="L776" t="s">
        <v>21</v>
      </c>
      <c r="M776" t="s">
        <v>37</v>
      </c>
      <c r="O776" s="5">
        <f t="shared" si="12"/>
        <v>12695</v>
      </c>
      <c r="P776" s="6">
        <f>Table1[[#This Row],[Annual Salary]]+Table1[[#This Row],[Bonus Amount]]</f>
        <v>139645</v>
      </c>
      <c r="Q776" t="str">
        <f>IF(Table1[[#This Row],[Exit Date]]="", "Active","Exited")</f>
        <v>Active</v>
      </c>
      <c r="R776" s="2">
        <f ca="1">IFERROR(DATEDIF(Table1[[#This Row],[Hire Date]],IF(Table1[[#This Row],[Exit Date]]="",TODAY(),Table1[[#This Row],[Exit Date]]),"Y"),"")</f>
        <v>7</v>
      </c>
      <c r="S776" t="str" cm="1">
        <f t="array" ref="S776">_xlfn.IFS(Table1[[#This Row],[Age]]&lt;30,"Under 30",Table1[[#This Row],[Age]]&lt;=40,"30-40",Table1[[#This Row],[Age]]&lt;50,"41-50",TRUE,"50+")</f>
        <v>41-50</v>
      </c>
    </row>
    <row r="777" spans="1:19" x14ac:dyDescent="0.35">
      <c r="A777" t="s">
        <v>1574</v>
      </c>
      <c r="B777" t="s">
        <v>1575</v>
      </c>
      <c r="C777" t="s">
        <v>131</v>
      </c>
      <c r="D777" t="s">
        <v>17</v>
      </c>
      <c r="E777" t="s">
        <v>26</v>
      </c>
      <c r="F777" t="s">
        <v>19</v>
      </c>
      <c r="G777" t="s">
        <v>28</v>
      </c>
      <c r="H777" s="3">
        <v>36</v>
      </c>
      <c r="I777" s="8">
        <v>41964</v>
      </c>
      <c r="J777" s="4">
        <v>97500</v>
      </c>
      <c r="K777" s="1">
        <v>0</v>
      </c>
      <c r="L777" t="s">
        <v>21</v>
      </c>
      <c r="M777" t="s">
        <v>56</v>
      </c>
      <c r="O777" s="5">
        <f t="shared" si="12"/>
        <v>0</v>
      </c>
      <c r="P777" s="6">
        <f>Table1[[#This Row],[Annual Salary]]+Table1[[#This Row],[Bonus Amount]]</f>
        <v>97500</v>
      </c>
      <c r="Q777" t="str">
        <f>IF(Table1[[#This Row],[Exit Date]]="", "Active","Exited")</f>
        <v>Active</v>
      </c>
      <c r="R777" s="2">
        <f ca="1">IFERROR(DATEDIF(Table1[[#This Row],[Hire Date]],IF(Table1[[#This Row],[Exit Date]]="",TODAY(),Table1[[#This Row],[Exit Date]]),"Y"),"")</f>
        <v>11</v>
      </c>
      <c r="S777" t="str" cm="1">
        <f t="array" ref="S777">_xlfn.IFS(Table1[[#This Row],[Age]]&lt;30,"Under 30",Table1[[#This Row],[Age]]&lt;=40,"30-40",Table1[[#This Row],[Age]]&lt;50,"41-50",TRUE,"50+")</f>
        <v>30-40</v>
      </c>
    </row>
    <row r="778" spans="1:19" x14ac:dyDescent="0.35">
      <c r="A778" t="s">
        <v>1576</v>
      </c>
      <c r="B778" t="s">
        <v>1577</v>
      </c>
      <c r="C778" t="s">
        <v>119</v>
      </c>
      <c r="D778" t="s">
        <v>17</v>
      </c>
      <c r="E778" t="s">
        <v>26</v>
      </c>
      <c r="F778" t="s">
        <v>27</v>
      </c>
      <c r="G778" t="s">
        <v>28</v>
      </c>
      <c r="H778" s="3">
        <v>25</v>
      </c>
      <c r="I778" s="8">
        <v>44213</v>
      </c>
      <c r="J778" s="4">
        <v>41844</v>
      </c>
      <c r="K778" s="1">
        <v>0</v>
      </c>
      <c r="L778" t="s">
        <v>29</v>
      </c>
      <c r="M778" t="s">
        <v>30</v>
      </c>
      <c r="O778" s="5">
        <f t="shared" si="12"/>
        <v>0</v>
      </c>
      <c r="P778" s="6">
        <f>Table1[[#This Row],[Annual Salary]]+Table1[[#This Row],[Bonus Amount]]</f>
        <v>41844</v>
      </c>
      <c r="Q778" t="str">
        <f>IF(Table1[[#This Row],[Exit Date]]="", "Active","Exited")</f>
        <v>Active</v>
      </c>
      <c r="R778" s="2">
        <f ca="1">IFERROR(DATEDIF(Table1[[#This Row],[Hire Date]],IF(Table1[[#This Row],[Exit Date]]="",TODAY(),Table1[[#This Row],[Exit Date]]),"Y"),"")</f>
        <v>5</v>
      </c>
      <c r="S778" t="str" cm="1">
        <f t="array" ref="S778">_xlfn.IFS(Table1[[#This Row],[Age]]&lt;30,"Under 30",Table1[[#This Row],[Age]]&lt;=40,"30-40",Table1[[#This Row],[Age]]&lt;50,"41-50",TRUE,"50+")</f>
        <v>Under 30</v>
      </c>
    </row>
    <row r="779" spans="1:19" x14ac:dyDescent="0.35">
      <c r="A779" t="s">
        <v>1578</v>
      </c>
      <c r="B779" t="s">
        <v>1579</v>
      </c>
      <c r="C779" t="s">
        <v>124</v>
      </c>
      <c r="D779" t="s">
        <v>59</v>
      </c>
      <c r="E779" t="s">
        <v>18</v>
      </c>
      <c r="F779" t="s">
        <v>27</v>
      </c>
      <c r="G779" t="s">
        <v>28</v>
      </c>
      <c r="H779" s="3">
        <v>43</v>
      </c>
      <c r="I779" s="8">
        <v>41680</v>
      </c>
      <c r="J779" s="4">
        <v>58875</v>
      </c>
      <c r="K779" s="1">
        <v>0</v>
      </c>
      <c r="L779" t="s">
        <v>29</v>
      </c>
      <c r="M779" t="s">
        <v>134</v>
      </c>
      <c r="O779" s="5">
        <f t="shared" si="12"/>
        <v>0</v>
      </c>
      <c r="P779" s="6">
        <f>Table1[[#This Row],[Annual Salary]]+Table1[[#This Row],[Bonus Amount]]</f>
        <v>58875</v>
      </c>
      <c r="Q779" t="str">
        <f>IF(Table1[[#This Row],[Exit Date]]="", "Active","Exited")</f>
        <v>Active</v>
      </c>
      <c r="R779" s="2">
        <f ca="1">IFERROR(DATEDIF(Table1[[#This Row],[Hire Date]],IF(Table1[[#This Row],[Exit Date]]="",TODAY(),Table1[[#This Row],[Exit Date]]),"Y"),"")</f>
        <v>12</v>
      </c>
      <c r="S779" t="str" cm="1">
        <f t="array" ref="S779">_xlfn.IFS(Table1[[#This Row],[Age]]&lt;30,"Under 30",Table1[[#This Row],[Age]]&lt;=40,"30-40",Table1[[#This Row],[Age]]&lt;50,"41-50",TRUE,"50+")</f>
        <v>41-50</v>
      </c>
    </row>
    <row r="780" spans="1:19" x14ac:dyDescent="0.35">
      <c r="A780" t="s">
        <v>1580</v>
      </c>
      <c r="B780" t="s">
        <v>1581</v>
      </c>
      <c r="C780" t="s">
        <v>47</v>
      </c>
      <c r="D780" t="s">
        <v>48</v>
      </c>
      <c r="E780" t="s">
        <v>26</v>
      </c>
      <c r="F780" t="s">
        <v>19</v>
      </c>
      <c r="G780" t="s">
        <v>28</v>
      </c>
      <c r="H780" s="3">
        <v>37</v>
      </c>
      <c r="I780" s="8">
        <v>42318</v>
      </c>
      <c r="J780" s="4">
        <v>64204</v>
      </c>
      <c r="K780" s="1">
        <v>0</v>
      </c>
      <c r="L780" t="s">
        <v>21</v>
      </c>
      <c r="M780" t="s">
        <v>88</v>
      </c>
      <c r="N780" s="7">
        <v>44306</v>
      </c>
      <c r="O780" s="5">
        <f t="shared" si="12"/>
        <v>0</v>
      </c>
      <c r="P780" s="6">
        <f>Table1[[#This Row],[Annual Salary]]+Table1[[#This Row],[Bonus Amount]]</f>
        <v>64204</v>
      </c>
      <c r="Q780" t="str">
        <f>IF(Table1[[#This Row],[Exit Date]]="", "Active","Exited")</f>
        <v>Exited</v>
      </c>
      <c r="R780" s="2">
        <f ca="1">IFERROR(DATEDIF(Table1[[#This Row],[Hire Date]],IF(Table1[[#This Row],[Exit Date]]="",TODAY(),Table1[[#This Row],[Exit Date]]),"Y"),"")</f>
        <v>5</v>
      </c>
      <c r="S780" t="str" cm="1">
        <f t="array" ref="S780">_xlfn.IFS(Table1[[#This Row],[Age]]&lt;30,"Under 30",Table1[[#This Row],[Age]]&lt;=40,"30-40",Table1[[#This Row],[Age]]&lt;50,"41-50",TRUE,"50+")</f>
        <v>30-40</v>
      </c>
    </row>
    <row r="781" spans="1:19" x14ac:dyDescent="0.35">
      <c r="A781" t="s">
        <v>1582</v>
      </c>
      <c r="B781" t="s">
        <v>1583</v>
      </c>
      <c r="C781" t="s">
        <v>124</v>
      </c>
      <c r="D781" t="s">
        <v>48</v>
      </c>
      <c r="E781" t="s">
        <v>49</v>
      </c>
      <c r="F781" t="s">
        <v>19</v>
      </c>
      <c r="G781" t="s">
        <v>28</v>
      </c>
      <c r="H781" s="3">
        <v>42</v>
      </c>
      <c r="I781" s="8">
        <v>40307</v>
      </c>
      <c r="J781" s="4">
        <v>67743</v>
      </c>
      <c r="K781" s="1">
        <v>0</v>
      </c>
      <c r="L781" t="s">
        <v>29</v>
      </c>
      <c r="M781" t="s">
        <v>114</v>
      </c>
      <c r="N781" s="7">
        <v>41998</v>
      </c>
      <c r="O781" s="5">
        <f t="shared" si="12"/>
        <v>0</v>
      </c>
      <c r="P781" s="6">
        <f>Table1[[#This Row],[Annual Salary]]+Table1[[#This Row],[Bonus Amount]]</f>
        <v>67743</v>
      </c>
      <c r="Q781" t="str">
        <f>IF(Table1[[#This Row],[Exit Date]]="", "Active","Exited")</f>
        <v>Exited</v>
      </c>
      <c r="R781" s="2">
        <f ca="1">IFERROR(DATEDIF(Table1[[#This Row],[Hire Date]],IF(Table1[[#This Row],[Exit Date]]="",TODAY(),Table1[[#This Row],[Exit Date]]),"Y"),"")</f>
        <v>4</v>
      </c>
      <c r="S781" t="str" cm="1">
        <f t="array" ref="S781">_xlfn.IFS(Table1[[#This Row],[Age]]&lt;30,"Under 30",Table1[[#This Row],[Age]]&lt;=40,"30-40",Table1[[#This Row],[Age]]&lt;50,"41-50",TRUE,"50+")</f>
        <v>41-50</v>
      </c>
    </row>
    <row r="782" spans="1:19" x14ac:dyDescent="0.35">
      <c r="A782" t="s">
        <v>1584</v>
      </c>
      <c r="B782" t="s">
        <v>1229</v>
      </c>
      <c r="C782" t="s">
        <v>294</v>
      </c>
      <c r="D782" t="s">
        <v>48</v>
      </c>
      <c r="E782" t="s">
        <v>35</v>
      </c>
      <c r="F782" t="s">
        <v>19</v>
      </c>
      <c r="G782" t="s">
        <v>20</v>
      </c>
      <c r="H782" s="3">
        <v>60</v>
      </c>
      <c r="I782" s="8">
        <v>35641</v>
      </c>
      <c r="J782" s="4">
        <v>71677</v>
      </c>
      <c r="K782" s="1">
        <v>0</v>
      </c>
      <c r="L782" t="s">
        <v>21</v>
      </c>
      <c r="M782" t="s">
        <v>88</v>
      </c>
      <c r="O782" s="5">
        <f t="shared" si="12"/>
        <v>0</v>
      </c>
      <c r="P782" s="6">
        <f>Table1[[#This Row],[Annual Salary]]+Table1[[#This Row],[Bonus Amount]]</f>
        <v>71677</v>
      </c>
      <c r="Q782" t="str">
        <f>IF(Table1[[#This Row],[Exit Date]]="", "Active","Exited")</f>
        <v>Active</v>
      </c>
      <c r="R782" s="2">
        <f ca="1">IFERROR(DATEDIF(Table1[[#This Row],[Hire Date]],IF(Table1[[#This Row],[Exit Date]]="",TODAY(),Table1[[#This Row],[Exit Date]]),"Y"),"")</f>
        <v>28</v>
      </c>
      <c r="S782" t="str" cm="1">
        <f t="array" ref="S782">_xlfn.IFS(Table1[[#This Row],[Age]]&lt;30,"Under 30",Table1[[#This Row],[Age]]&lt;=40,"30-40",Table1[[#This Row],[Age]]&lt;50,"41-50",TRUE,"50+")</f>
        <v>50+</v>
      </c>
    </row>
    <row r="783" spans="1:19" x14ac:dyDescent="0.35">
      <c r="A783" t="s">
        <v>1585</v>
      </c>
      <c r="B783" t="s">
        <v>1586</v>
      </c>
      <c r="C783" t="s">
        <v>119</v>
      </c>
      <c r="D783" t="s">
        <v>17</v>
      </c>
      <c r="E783" t="s">
        <v>35</v>
      </c>
      <c r="F783" t="s">
        <v>27</v>
      </c>
      <c r="G783" t="s">
        <v>28</v>
      </c>
      <c r="H783" s="3">
        <v>61</v>
      </c>
      <c r="I783" s="8">
        <v>36793</v>
      </c>
      <c r="J783" s="4">
        <v>40063</v>
      </c>
      <c r="K783" s="1">
        <v>0</v>
      </c>
      <c r="L783" t="s">
        <v>21</v>
      </c>
      <c r="M783" t="s">
        <v>56</v>
      </c>
      <c r="O783" s="5">
        <f t="shared" si="12"/>
        <v>0</v>
      </c>
      <c r="P783" s="6">
        <f>Table1[[#This Row],[Annual Salary]]+Table1[[#This Row],[Bonus Amount]]</f>
        <v>40063</v>
      </c>
      <c r="Q783" t="str">
        <f>IF(Table1[[#This Row],[Exit Date]]="", "Active","Exited")</f>
        <v>Active</v>
      </c>
      <c r="R783" s="2">
        <f ca="1">IFERROR(DATEDIF(Table1[[#This Row],[Hire Date]],IF(Table1[[#This Row],[Exit Date]]="",TODAY(),Table1[[#This Row],[Exit Date]]),"Y"),"")</f>
        <v>25</v>
      </c>
      <c r="S783" t="str" cm="1">
        <f t="array" ref="S783">_xlfn.IFS(Table1[[#This Row],[Age]]&lt;30,"Under 30",Table1[[#This Row],[Age]]&lt;=40,"30-40",Table1[[#This Row],[Age]]&lt;50,"41-50",TRUE,"50+")</f>
        <v>50+</v>
      </c>
    </row>
    <row r="784" spans="1:19" x14ac:dyDescent="0.35">
      <c r="A784" t="s">
        <v>1587</v>
      </c>
      <c r="B784" t="s">
        <v>1588</v>
      </c>
      <c r="C784" t="s">
        <v>119</v>
      </c>
      <c r="D784" t="s">
        <v>17</v>
      </c>
      <c r="E784" t="s">
        <v>26</v>
      </c>
      <c r="F784" t="s">
        <v>19</v>
      </c>
      <c r="G784" t="s">
        <v>36</v>
      </c>
      <c r="H784" s="3">
        <v>55</v>
      </c>
      <c r="I784" s="8">
        <v>38107</v>
      </c>
      <c r="J784" s="4">
        <v>40124</v>
      </c>
      <c r="K784" s="1">
        <v>0</v>
      </c>
      <c r="L784" t="s">
        <v>21</v>
      </c>
      <c r="M784" t="s">
        <v>60</v>
      </c>
      <c r="O784" s="5">
        <f t="shared" si="12"/>
        <v>0</v>
      </c>
      <c r="P784" s="6">
        <f>Table1[[#This Row],[Annual Salary]]+Table1[[#This Row],[Bonus Amount]]</f>
        <v>40124</v>
      </c>
      <c r="Q784" t="str">
        <f>IF(Table1[[#This Row],[Exit Date]]="", "Active","Exited")</f>
        <v>Active</v>
      </c>
      <c r="R784" s="2">
        <f ca="1">IFERROR(DATEDIF(Table1[[#This Row],[Hire Date]],IF(Table1[[#This Row],[Exit Date]]="",TODAY(),Table1[[#This Row],[Exit Date]]),"Y"),"")</f>
        <v>21</v>
      </c>
      <c r="S784" t="str" cm="1">
        <f t="array" ref="S784">_xlfn.IFS(Table1[[#This Row],[Age]]&lt;30,"Under 30",Table1[[#This Row],[Age]]&lt;=40,"30-40",Table1[[#This Row],[Age]]&lt;50,"41-50",TRUE,"50+")</f>
        <v>50+</v>
      </c>
    </row>
    <row r="785" spans="1:19" x14ac:dyDescent="0.35">
      <c r="A785" t="s">
        <v>1589</v>
      </c>
      <c r="B785" t="s">
        <v>1590</v>
      </c>
      <c r="C785" t="s">
        <v>178</v>
      </c>
      <c r="D785" t="s">
        <v>69</v>
      </c>
      <c r="E785" t="s">
        <v>26</v>
      </c>
      <c r="F785" t="s">
        <v>27</v>
      </c>
      <c r="G785" t="s">
        <v>28</v>
      </c>
      <c r="H785" s="3">
        <v>57</v>
      </c>
      <c r="I785" s="8">
        <v>43157</v>
      </c>
      <c r="J785" s="4">
        <v>103183</v>
      </c>
      <c r="K785" s="1">
        <v>0</v>
      </c>
      <c r="L785" t="s">
        <v>21</v>
      </c>
      <c r="M785" t="s">
        <v>60</v>
      </c>
      <c r="N785" s="7">
        <v>44386</v>
      </c>
      <c r="O785" s="5">
        <f t="shared" si="12"/>
        <v>0</v>
      </c>
      <c r="P785" s="6">
        <f>Table1[[#This Row],[Annual Salary]]+Table1[[#This Row],[Bonus Amount]]</f>
        <v>103183</v>
      </c>
      <c r="Q785" t="str">
        <f>IF(Table1[[#This Row],[Exit Date]]="", "Active","Exited")</f>
        <v>Exited</v>
      </c>
      <c r="R785" s="2">
        <f ca="1">IFERROR(DATEDIF(Table1[[#This Row],[Hire Date]],IF(Table1[[#This Row],[Exit Date]]="",TODAY(),Table1[[#This Row],[Exit Date]]),"Y"),"")</f>
        <v>3</v>
      </c>
      <c r="S785" t="str" cm="1">
        <f t="array" ref="S785">_xlfn.IFS(Table1[[#This Row],[Age]]&lt;30,"Under 30",Table1[[#This Row],[Age]]&lt;=40,"30-40",Table1[[#This Row],[Age]]&lt;50,"41-50",TRUE,"50+")</f>
        <v>50+</v>
      </c>
    </row>
    <row r="786" spans="1:19" x14ac:dyDescent="0.35">
      <c r="A786" t="s">
        <v>1591</v>
      </c>
      <c r="B786" t="s">
        <v>1592</v>
      </c>
      <c r="C786" t="s">
        <v>299</v>
      </c>
      <c r="D786" t="s">
        <v>17</v>
      </c>
      <c r="E786" t="s">
        <v>49</v>
      </c>
      <c r="F786" t="s">
        <v>27</v>
      </c>
      <c r="G786" t="s">
        <v>28</v>
      </c>
      <c r="H786" s="3">
        <v>54</v>
      </c>
      <c r="I786" s="8">
        <v>35961</v>
      </c>
      <c r="J786" s="4">
        <v>95239</v>
      </c>
      <c r="K786" s="1">
        <v>0</v>
      </c>
      <c r="L786" t="s">
        <v>21</v>
      </c>
      <c r="M786" t="s">
        <v>44</v>
      </c>
      <c r="O786" s="5">
        <f t="shared" si="12"/>
        <v>0</v>
      </c>
      <c r="P786" s="6">
        <f>Table1[[#This Row],[Annual Salary]]+Table1[[#This Row],[Bonus Amount]]</f>
        <v>95239</v>
      </c>
      <c r="Q786" t="str">
        <f>IF(Table1[[#This Row],[Exit Date]]="", "Active","Exited")</f>
        <v>Active</v>
      </c>
      <c r="R786" s="2">
        <f ca="1">IFERROR(DATEDIF(Table1[[#This Row],[Hire Date]],IF(Table1[[#This Row],[Exit Date]]="",TODAY(),Table1[[#This Row],[Exit Date]]),"Y"),"")</f>
        <v>27</v>
      </c>
      <c r="S786" t="str" cm="1">
        <f t="array" ref="S786">_xlfn.IFS(Table1[[#This Row],[Age]]&lt;30,"Under 30",Table1[[#This Row],[Age]]&lt;=40,"30-40",Table1[[#This Row],[Age]]&lt;50,"41-50",TRUE,"50+")</f>
        <v>50+</v>
      </c>
    </row>
    <row r="787" spans="1:19" x14ac:dyDescent="0.35">
      <c r="A787" t="s">
        <v>1593</v>
      </c>
      <c r="B787" t="s">
        <v>1309</v>
      </c>
      <c r="C787" t="s">
        <v>277</v>
      </c>
      <c r="D787" t="s">
        <v>69</v>
      </c>
      <c r="E787" t="s">
        <v>26</v>
      </c>
      <c r="F787" t="s">
        <v>19</v>
      </c>
      <c r="G787" t="s">
        <v>28</v>
      </c>
      <c r="H787" s="3">
        <v>29</v>
      </c>
      <c r="I787" s="8">
        <v>43778</v>
      </c>
      <c r="J787" s="4">
        <v>75012</v>
      </c>
      <c r="K787" s="1">
        <v>0</v>
      </c>
      <c r="L787" t="s">
        <v>21</v>
      </c>
      <c r="M787" t="s">
        <v>37</v>
      </c>
      <c r="O787" s="5">
        <f t="shared" si="12"/>
        <v>0</v>
      </c>
      <c r="P787" s="6">
        <f>Table1[[#This Row],[Annual Salary]]+Table1[[#This Row],[Bonus Amount]]</f>
        <v>75012</v>
      </c>
      <c r="Q787" t="str">
        <f>IF(Table1[[#This Row],[Exit Date]]="", "Active","Exited")</f>
        <v>Active</v>
      </c>
      <c r="R787" s="2">
        <f ca="1">IFERROR(DATEDIF(Table1[[#This Row],[Hire Date]],IF(Table1[[#This Row],[Exit Date]]="",TODAY(),Table1[[#This Row],[Exit Date]]),"Y"),"")</f>
        <v>6</v>
      </c>
      <c r="S787" t="str" cm="1">
        <f t="array" ref="S787">_xlfn.IFS(Table1[[#This Row],[Age]]&lt;30,"Under 30",Table1[[#This Row],[Age]]&lt;=40,"30-40",Table1[[#This Row],[Age]]&lt;50,"41-50",TRUE,"50+")</f>
        <v>Under 30</v>
      </c>
    </row>
    <row r="788" spans="1:19" x14ac:dyDescent="0.35">
      <c r="A788" t="s">
        <v>1594</v>
      </c>
      <c r="B788" t="s">
        <v>1595</v>
      </c>
      <c r="C788" t="s">
        <v>248</v>
      </c>
      <c r="D788" t="s">
        <v>17</v>
      </c>
      <c r="E788" t="s">
        <v>26</v>
      </c>
      <c r="F788" t="s">
        <v>19</v>
      </c>
      <c r="G788" t="s">
        <v>28</v>
      </c>
      <c r="H788" s="3">
        <v>33</v>
      </c>
      <c r="I788" s="8">
        <v>41819</v>
      </c>
      <c r="J788" s="4">
        <v>96366</v>
      </c>
      <c r="K788" s="1">
        <v>0</v>
      </c>
      <c r="L788" t="s">
        <v>29</v>
      </c>
      <c r="M788" t="s">
        <v>134</v>
      </c>
      <c r="O788" s="5">
        <f t="shared" si="12"/>
        <v>0</v>
      </c>
      <c r="P788" s="6">
        <f>Table1[[#This Row],[Annual Salary]]+Table1[[#This Row],[Bonus Amount]]</f>
        <v>96366</v>
      </c>
      <c r="Q788" t="str">
        <f>IF(Table1[[#This Row],[Exit Date]]="", "Active","Exited")</f>
        <v>Active</v>
      </c>
      <c r="R788" s="2">
        <f ca="1">IFERROR(DATEDIF(Table1[[#This Row],[Hire Date]],IF(Table1[[#This Row],[Exit Date]]="",TODAY(),Table1[[#This Row],[Exit Date]]),"Y"),"")</f>
        <v>11</v>
      </c>
      <c r="S788" t="str" cm="1">
        <f t="array" ref="S788">_xlfn.IFS(Table1[[#This Row],[Age]]&lt;30,"Under 30",Table1[[#This Row],[Age]]&lt;=40,"30-40",Table1[[#This Row],[Age]]&lt;50,"41-50",TRUE,"50+")</f>
        <v>30-40</v>
      </c>
    </row>
    <row r="789" spans="1:19" x14ac:dyDescent="0.35">
      <c r="A789" t="s">
        <v>1596</v>
      </c>
      <c r="B789" t="s">
        <v>1597</v>
      </c>
      <c r="C789" t="s">
        <v>55</v>
      </c>
      <c r="D789" t="s">
        <v>80</v>
      </c>
      <c r="E789" t="s">
        <v>49</v>
      </c>
      <c r="F789" t="s">
        <v>19</v>
      </c>
      <c r="G789" t="s">
        <v>28</v>
      </c>
      <c r="H789" s="3">
        <v>39</v>
      </c>
      <c r="I789" s="8">
        <v>41849</v>
      </c>
      <c r="J789" s="4">
        <v>40897</v>
      </c>
      <c r="K789" s="1">
        <v>0</v>
      </c>
      <c r="L789" t="s">
        <v>21</v>
      </c>
      <c r="M789" t="s">
        <v>22</v>
      </c>
      <c r="O789" s="5">
        <f t="shared" si="12"/>
        <v>0</v>
      </c>
      <c r="P789" s="6">
        <f>Table1[[#This Row],[Annual Salary]]+Table1[[#This Row],[Bonus Amount]]</f>
        <v>40897</v>
      </c>
      <c r="Q789" t="str">
        <f>IF(Table1[[#This Row],[Exit Date]]="", "Active","Exited")</f>
        <v>Active</v>
      </c>
      <c r="R789" s="2">
        <f ca="1">IFERROR(DATEDIF(Table1[[#This Row],[Hire Date]],IF(Table1[[#This Row],[Exit Date]]="",TODAY(),Table1[[#This Row],[Exit Date]]),"Y"),"")</f>
        <v>11</v>
      </c>
      <c r="S789" t="str" cm="1">
        <f t="array" ref="S789">_xlfn.IFS(Table1[[#This Row],[Age]]&lt;30,"Under 30",Table1[[#This Row],[Age]]&lt;=40,"30-40",Table1[[#This Row],[Age]]&lt;50,"41-50",TRUE,"50+")</f>
        <v>30-40</v>
      </c>
    </row>
    <row r="790" spans="1:19" x14ac:dyDescent="0.35">
      <c r="A790" t="s">
        <v>1598</v>
      </c>
      <c r="B790" t="s">
        <v>1599</v>
      </c>
      <c r="C790" t="s">
        <v>52</v>
      </c>
      <c r="D790" t="s">
        <v>34</v>
      </c>
      <c r="E790" t="s">
        <v>18</v>
      </c>
      <c r="F790" t="s">
        <v>19</v>
      </c>
      <c r="G790" t="s">
        <v>28</v>
      </c>
      <c r="H790" s="3">
        <v>37</v>
      </c>
      <c r="I790" s="8">
        <v>42605</v>
      </c>
      <c r="J790" s="4">
        <v>124928</v>
      </c>
      <c r="K790" s="1">
        <v>0.06</v>
      </c>
      <c r="L790" t="s">
        <v>29</v>
      </c>
      <c r="M790" t="s">
        <v>30</v>
      </c>
      <c r="O790" s="5">
        <f t="shared" si="12"/>
        <v>7495.6799999999994</v>
      </c>
      <c r="P790" s="6">
        <f>Table1[[#This Row],[Annual Salary]]+Table1[[#This Row],[Bonus Amount]]</f>
        <v>132423.67999999999</v>
      </c>
      <c r="Q790" t="str">
        <f>IF(Table1[[#This Row],[Exit Date]]="", "Active","Exited")</f>
        <v>Active</v>
      </c>
      <c r="R790" s="2">
        <f ca="1">IFERROR(DATEDIF(Table1[[#This Row],[Hire Date]],IF(Table1[[#This Row],[Exit Date]]="",TODAY(),Table1[[#This Row],[Exit Date]]),"Y"),"")</f>
        <v>9</v>
      </c>
      <c r="S790" t="str" cm="1">
        <f t="array" ref="S790">_xlfn.IFS(Table1[[#This Row],[Age]]&lt;30,"Under 30",Table1[[#This Row],[Age]]&lt;=40,"30-40",Table1[[#This Row],[Age]]&lt;50,"41-50",TRUE,"50+")</f>
        <v>30-40</v>
      </c>
    </row>
    <row r="791" spans="1:19" x14ac:dyDescent="0.35">
      <c r="A791" t="s">
        <v>1600</v>
      </c>
      <c r="B791" t="s">
        <v>1601</v>
      </c>
      <c r="C791" t="s">
        <v>52</v>
      </c>
      <c r="D791" t="s">
        <v>34</v>
      </c>
      <c r="E791" t="s">
        <v>35</v>
      </c>
      <c r="F791" t="s">
        <v>19</v>
      </c>
      <c r="G791" t="s">
        <v>85</v>
      </c>
      <c r="H791" s="3">
        <v>51</v>
      </c>
      <c r="I791" s="8">
        <v>41439</v>
      </c>
      <c r="J791" s="4">
        <v>108221</v>
      </c>
      <c r="K791" s="1">
        <v>0.05</v>
      </c>
      <c r="L791" t="s">
        <v>93</v>
      </c>
      <c r="M791" t="s">
        <v>94</v>
      </c>
      <c r="O791" s="5">
        <f t="shared" si="12"/>
        <v>5411.05</v>
      </c>
      <c r="P791" s="6">
        <f>Table1[[#This Row],[Annual Salary]]+Table1[[#This Row],[Bonus Amount]]</f>
        <v>113632.05</v>
      </c>
      <c r="Q791" t="str">
        <f>IF(Table1[[#This Row],[Exit Date]]="", "Active","Exited")</f>
        <v>Active</v>
      </c>
      <c r="R791" s="2">
        <f ca="1">IFERROR(DATEDIF(Table1[[#This Row],[Hire Date]],IF(Table1[[#This Row],[Exit Date]]="",TODAY(),Table1[[#This Row],[Exit Date]]),"Y"),"")</f>
        <v>12</v>
      </c>
      <c r="S791" t="str" cm="1">
        <f t="array" ref="S791">_xlfn.IFS(Table1[[#This Row],[Age]]&lt;30,"Under 30",Table1[[#This Row],[Age]]&lt;=40,"30-40",Table1[[#This Row],[Age]]&lt;50,"41-50",TRUE,"50+")</f>
        <v>50+</v>
      </c>
    </row>
    <row r="792" spans="1:19" x14ac:dyDescent="0.35">
      <c r="A792" t="s">
        <v>502</v>
      </c>
      <c r="B792" t="s">
        <v>1602</v>
      </c>
      <c r="C792" t="s">
        <v>143</v>
      </c>
      <c r="D792" t="s">
        <v>65</v>
      </c>
      <c r="E792" t="s">
        <v>49</v>
      </c>
      <c r="F792" t="s">
        <v>27</v>
      </c>
      <c r="G792" t="s">
        <v>36</v>
      </c>
      <c r="H792" s="3">
        <v>46</v>
      </c>
      <c r="I792" s="8">
        <v>39133</v>
      </c>
      <c r="J792" s="4">
        <v>75579</v>
      </c>
      <c r="K792" s="1">
        <v>0</v>
      </c>
      <c r="L792" t="s">
        <v>21</v>
      </c>
      <c r="M792" t="s">
        <v>22</v>
      </c>
      <c r="O792" s="5">
        <f t="shared" si="12"/>
        <v>0</v>
      </c>
      <c r="P792" s="6">
        <f>Table1[[#This Row],[Annual Salary]]+Table1[[#This Row],[Bonus Amount]]</f>
        <v>75579</v>
      </c>
      <c r="Q792" t="str">
        <f>IF(Table1[[#This Row],[Exit Date]]="", "Active","Exited")</f>
        <v>Active</v>
      </c>
      <c r="R792" s="2">
        <f ca="1">IFERROR(DATEDIF(Table1[[#This Row],[Hire Date]],IF(Table1[[#This Row],[Exit Date]]="",TODAY(),Table1[[#This Row],[Exit Date]]),"Y"),"")</f>
        <v>19</v>
      </c>
      <c r="S792" t="str" cm="1">
        <f t="array" ref="S792">_xlfn.IFS(Table1[[#This Row],[Age]]&lt;30,"Under 30",Table1[[#This Row],[Age]]&lt;=40,"30-40",Table1[[#This Row],[Age]]&lt;50,"41-50",TRUE,"50+")</f>
        <v>41-50</v>
      </c>
    </row>
    <row r="793" spans="1:19" x14ac:dyDescent="0.35">
      <c r="A793" t="s">
        <v>1603</v>
      </c>
      <c r="B793" t="s">
        <v>1604</v>
      </c>
      <c r="C793" t="s">
        <v>16</v>
      </c>
      <c r="D793" t="s">
        <v>65</v>
      </c>
      <c r="E793" t="s">
        <v>26</v>
      </c>
      <c r="F793" t="s">
        <v>27</v>
      </c>
      <c r="G793" t="s">
        <v>85</v>
      </c>
      <c r="H793" s="3">
        <v>41</v>
      </c>
      <c r="I793" s="8">
        <v>42365</v>
      </c>
      <c r="J793" s="4">
        <v>129903</v>
      </c>
      <c r="K793" s="1">
        <v>0.13</v>
      </c>
      <c r="L793" t="s">
        <v>93</v>
      </c>
      <c r="M793" t="s">
        <v>218</v>
      </c>
      <c r="O793" s="5">
        <f t="shared" si="12"/>
        <v>16887.39</v>
      </c>
      <c r="P793" s="6">
        <f>Table1[[#This Row],[Annual Salary]]+Table1[[#This Row],[Bonus Amount]]</f>
        <v>146790.39000000001</v>
      </c>
      <c r="Q793" t="str">
        <f>IF(Table1[[#This Row],[Exit Date]]="", "Active","Exited")</f>
        <v>Active</v>
      </c>
      <c r="R793" s="2">
        <f ca="1">IFERROR(DATEDIF(Table1[[#This Row],[Hire Date]],IF(Table1[[#This Row],[Exit Date]]="",TODAY(),Table1[[#This Row],[Exit Date]]),"Y"),"")</f>
        <v>10</v>
      </c>
      <c r="S793" t="str" cm="1">
        <f t="array" ref="S793">_xlfn.IFS(Table1[[#This Row],[Age]]&lt;30,"Under 30",Table1[[#This Row],[Age]]&lt;=40,"30-40",Table1[[#This Row],[Age]]&lt;50,"41-50",TRUE,"50+")</f>
        <v>41-50</v>
      </c>
    </row>
    <row r="794" spans="1:19" x14ac:dyDescent="0.35">
      <c r="A794" t="s">
        <v>1605</v>
      </c>
      <c r="B794" t="s">
        <v>1606</v>
      </c>
      <c r="C794" t="s">
        <v>33</v>
      </c>
      <c r="D794" t="s">
        <v>34</v>
      </c>
      <c r="E794" t="s">
        <v>18</v>
      </c>
      <c r="F794" t="s">
        <v>19</v>
      </c>
      <c r="G794" t="s">
        <v>28</v>
      </c>
      <c r="H794" s="3">
        <v>25</v>
      </c>
      <c r="I794" s="8">
        <v>44303</v>
      </c>
      <c r="J794" s="4">
        <v>186870</v>
      </c>
      <c r="K794" s="1">
        <v>0.2</v>
      </c>
      <c r="L794" t="s">
        <v>29</v>
      </c>
      <c r="M794" t="s">
        <v>74</v>
      </c>
      <c r="O794" s="5">
        <f t="shared" si="12"/>
        <v>37374</v>
      </c>
      <c r="P794" s="6">
        <f>Table1[[#This Row],[Annual Salary]]+Table1[[#This Row],[Bonus Amount]]</f>
        <v>224244</v>
      </c>
      <c r="Q794" t="str">
        <f>IF(Table1[[#This Row],[Exit Date]]="", "Active","Exited")</f>
        <v>Active</v>
      </c>
      <c r="R794" s="2">
        <f ca="1">IFERROR(DATEDIF(Table1[[#This Row],[Hire Date]],IF(Table1[[#This Row],[Exit Date]]="",TODAY(),Table1[[#This Row],[Exit Date]]),"Y"),"")</f>
        <v>4</v>
      </c>
      <c r="S794" t="str" cm="1">
        <f t="array" ref="S794">_xlfn.IFS(Table1[[#This Row],[Age]]&lt;30,"Under 30",Table1[[#This Row],[Age]]&lt;=40,"30-40",Table1[[#This Row],[Age]]&lt;50,"41-50",TRUE,"50+")</f>
        <v>Under 30</v>
      </c>
    </row>
    <row r="795" spans="1:19" x14ac:dyDescent="0.35">
      <c r="A795" t="s">
        <v>1607</v>
      </c>
      <c r="B795" t="s">
        <v>1608</v>
      </c>
      <c r="C795" t="s">
        <v>124</v>
      </c>
      <c r="D795" t="s">
        <v>48</v>
      </c>
      <c r="E795" t="s">
        <v>18</v>
      </c>
      <c r="F795" t="s">
        <v>27</v>
      </c>
      <c r="G795" t="s">
        <v>36</v>
      </c>
      <c r="H795" s="3">
        <v>37</v>
      </c>
      <c r="I795" s="8">
        <v>40291</v>
      </c>
      <c r="J795" s="4">
        <v>57531</v>
      </c>
      <c r="K795" s="1">
        <v>0</v>
      </c>
      <c r="L795" t="s">
        <v>21</v>
      </c>
      <c r="M795" t="s">
        <v>37</v>
      </c>
      <c r="O795" s="5">
        <f t="shared" si="12"/>
        <v>0</v>
      </c>
      <c r="P795" s="6">
        <f>Table1[[#This Row],[Annual Salary]]+Table1[[#This Row],[Bonus Amount]]</f>
        <v>57531</v>
      </c>
      <c r="Q795" t="str">
        <f>IF(Table1[[#This Row],[Exit Date]]="", "Active","Exited")</f>
        <v>Active</v>
      </c>
      <c r="R795" s="2">
        <f ca="1">IFERROR(DATEDIF(Table1[[#This Row],[Hire Date]],IF(Table1[[#This Row],[Exit Date]]="",TODAY(),Table1[[#This Row],[Exit Date]]),"Y"),"")</f>
        <v>15</v>
      </c>
      <c r="S795" t="str" cm="1">
        <f t="array" ref="S795">_xlfn.IFS(Table1[[#This Row],[Age]]&lt;30,"Under 30",Table1[[#This Row],[Age]]&lt;=40,"30-40",Table1[[#This Row],[Age]]&lt;50,"41-50",TRUE,"50+")</f>
        <v>30-40</v>
      </c>
    </row>
    <row r="796" spans="1:19" x14ac:dyDescent="0.35">
      <c r="A796" t="s">
        <v>1609</v>
      </c>
      <c r="B796" t="s">
        <v>1610</v>
      </c>
      <c r="C796" t="s">
        <v>55</v>
      </c>
      <c r="D796" t="s">
        <v>34</v>
      </c>
      <c r="E796" t="s">
        <v>18</v>
      </c>
      <c r="F796" t="s">
        <v>27</v>
      </c>
      <c r="G796" t="s">
        <v>28</v>
      </c>
      <c r="H796" s="3">
        <v>46</v>
      </c>
      <c r="I796" s="8">
        <v>40657</v>
      </c>
      <c r="J796" s="4">
        <v>55894</v>
      </c>
      <c r="K796" s="1">
        <v>0</v>
      </c>
      <c r="L796" t="s">
        <v>21</v>
      </c>
      <c r="M796" t="s">
        <v>22</v>
      </c>
      <c r="O796" s="5">
        <f t="shared" si="12"/>
        <v>0</v>
      </c>
      <c r="P796" s="6">
        <f>Table1[[#This Row],[Annual Salary]]+Table1[[#This Row],[Bonus Amount]]</f>
        <v>55894</v>
      </c>
      <c r="Q796" t="str">
        <f>IF(Table1[[#This Row],[Exit Date]]="", "Active","Exited")</f>
        <v>Active</v>
      </c>
      <c r="R796" s="2">
        <f ca="1">IFERROR(DATEDIF(Table1[[#This Row],[Hire Date]],IF(Table1[[#This Row],[Exit Date]]="",TODAY(),Table1[[#This Row],[Exit Date]]),"Y"),"")</f>
        <v>14</v>
      </c>
      <c r="S796" t="str" cm="1">
        <f t="array" ref="S796">_xlfn.IFS(Table1[[#This Row],[Age]]&lt;30,"Under 30",Table1[[#This Row],[Age]]&lt;=40,"30-40",Table1[[#This Row],[Age]]&lt;50,"41-50",TRUE,"50+")</f>
        <v>41-50</v>
      </c>
    </row>
    <row r="797" spans="1:19" x14ac:dyDescent="0.35">
      <c r="A797" t="s">
        <v>1611</v>
      </c>
      <c r="B797" t="s">
        <v>1612</v>
      </c>
      <c r="C797" t="s">
        <v>175</v>
      </c>
      <c r="D797" t="s">
        <v>69</v>
      </c>
      <c r="E797" t="s">
        <v>26</v>
      </c>
      <c r="F797" t="s">
        <v>19</v>
      </c>
      <c r="G797" t="s">
        <v>28</v>
      </c>
      <c r="H797" s="3">
        <v>42</v>
      </c>
      <c r="I797" s="8">
        <v>41026</v>
      </c>
      <c r="J797" s="4">
        <v>72903</v>
      </c>
      <c r="K797" s="1">
        <v>0</v>
      </c>
      <c r="L797" t="s">
        <v>21</v>
      </c>
      <c r="M797" t="s">
        <v>44</v>
      </c>
      <c r="O797" s="5">
        <f t="shared" si="12"/>
        <v>0</v>
      </c>
      <c r="P797" s="6">
        <f>Table1[[#This Row],[Annual Salary]]+Table1[[#This Row],[Bonus Amount]]</f>
        <v>72903</v>
      </c>
      <c r="Q797" t="str">
        <f>IF(Table1[[#This Row],[Exit Date]]="", "Active","Exited")</f>
        <v>Active</v>
      </c>
      <c r="R797" s="2">
        <f ca="1">IFERROR(DATEDIF(Table1[[#This Row],[Hire Date]],IF(Table1[[#This Row],[Exit Date]]="",TODAY(),Table1[[#This Row],[Exit Date]]),"Y"),"")</f>
        <v>13</v>
      </c>
      <c r="S797" t="str" cm="1">
        <f t="array" ref="S797">_xlfn.IFS(Table1[[#This Row],[Age]]&lt;30,"Under 30",Table1[[#This Row],[Age]]&lt;=40,"30-40",Table1[[#This Row],[Age]]&lt;50,"41-50",TRUE,"50+")</f>
        <v>41-50</v>
      </c>
    </row>
    <row r="798" spans="1:19" x14ac:dyDescent="0.35">
      <c r="A798" t="s">
        <v>471</v>
      </c>
      <c r="B798" t="s">
        <v>1613</v>
      </c>
      <c r="C798" t="s">
        <v>55</v>
      </c>
      <c r="D798" t="s">
        <v>34</v>
      </c>
      <c r="E798" t="s">
        <v>49</v>
      </c>
      <c r="F798" t="s">
        <v>27</v>
      </c>
      <c r="G798" t="s">
        <v>28</v>
      </c>
      <c r="H798" s="3">
        <v>37</v>
      </c>
      <c r="I798" s="8">
        <v>42317</v>
      </c>
      <c r="J798" s="4">
        <v>45369</v>
      </c>
      <c r="K798" s="1">
        <v>0</v>
      </c>
      <c r="L798" t="s">
        <v>29</v>
      </c>
      <c r="M798" t="s">
        <v>114</v>
      </c>
      <c r="O798" s="5">
        <f t="shared" si="12"/>
        <v>0</v>
      </c>
      <c r="P798" s="6">
        <f>Table1[[#This Row],[Annual Salary]]+Table1[[#This Row],[Bonus Amount]]</f>
        <v>45369</v>
      </c>
      <c r="Q798" t="str">
        <f>IF(Table1[[#This Row],[Exit Date]]="", "Active","Exited")</f>
        <v>Active</v>
      </c>
      <c r="R798" s="2">
        <f ca="1">IFERROR(DATEDIF(Table1[[#This Row],[Hire Date]],IF(Table1[[#This Row],[Exit Date]]="",TODAY(),Table1[[#This Row],[Exit Date]]),"Y"),"")</f>
        <v>10</v>
      </c>
      <c r="S798" t="str" cm="1">
        <f t="array" ref="S798">_xlfn.IFS(Table1[[#This Row],[Age]]&lt;30,"Under 30",Table1[[#This Row],[Age]]&lt;=40,"30-40",Table1[[#This Row],[Age]]&lt;50,"41-50",TRUE,"50+")</f>
        <v>30-40</v>
      </c>
    </row>
    <row r="799" spans="1:19" x14ac:dyDescent="0.35">
      <c r="A799" t="s">
        <v>1614</v>
      </c>
      <c r="B799" t="s">
        <v>1615</v>
      </c>
      <c r="C799" t="s">
        <v>52</v>
      </c>
      <c r="D799" t="s">
        <v>34</v>
      </c>
      <c r="E799" t="s">
        <v>35</v>
      </c>
      <c r="F799" t="s">
        <v>27</v>
      </c>
      <c r="G799" t="s">
        <v>36</v>
      </c>
      <c r="H799" s="3">
        <v>60</v>
      </c>
      <c r="I799" s="8">
        <v>40344</v>
      </c>
      <c r="J799" s="4">
        <v>106578</v>
      </c>
      <c r="K799" s="1">
        <v>0.09</v>
      </c>
      <c r="L799" t="s">
        <v>21</v>
      </c>
      <c r="M799" t="s">
        <v>56</v>
      </c>
      <c r="O799" s="5">
        <f t="shared" si="12"/>
        <v>9592.02</v>
      </c>
      <c r="P799" s="6">
        <f>Table1[[#This Row],[Annual Salary]]+Table1[[#This Row],[Bonus Amount]]</f>
        <v>116170.02</v>
      </c>
      <c r="Q799" t="str">
        <f>IF(Table1[[#This Row],[Exit Date]]="", "Active","Exited")</f>
        <v>Active</v>
      </c>
      <c r="R799" s="2">
        <f ca="1">IFERROR(DATEDIF(Table1[[#This Row],[Hire Date]],IF(Table1[[#This Row],[Exit Date]]="",TODAY(),Table1[[#This Row],[Exit Date]]),"Y"),"")</f>
        <v>15</v>
      </c>
      <c r="S799" t="str" cm="1">
        <f t="array" ref="S799">_xlfn.IFS(Table1[[#This Row],[Age]]&lt;30,"Under 30",Table1[[#This Row],[Age]]&lt;=40,"30-40",Table1[[#This Row],[Age]]&lt;50,"41-50",TRUE,"50+")</f>
        <v>50+</v>
      </c>
    </row>
    <row r="800" spans="1:19" x14ac:dyDescent="0.35">
      <c r="A800" t="s">
        <v>1616</v>
      </c>
      <c r="B800" t="s">
        <v>1617</v>
      </c>
      <c r="C800" t="s">
        <v>143</v>
      </c>
      <c r="D800" t="s">
        <v>65</v>
      </c>
      <c r="E800" t="s">
        <v>18</v>
      </c>
      <c r="F800" t="s">
        <v>19</v>
      </c>
      <c r="G800" t="s">
        <v>85</v>
      </c>
      <c r="H800" s="3">
        <v>52</v>
      </c>
      <c r="I800" s="8">
        <v>36416</v>
      </c>
      <c r="J800" s="4">
        <v>92994</v>
      </c>
      <c r="K800" s="1">
        <v>0</v>
      </c>
      <c r="L800" t="s">
        <v>21</v>
      </c>
      <c r="M800" t="s">
        <v>37</v>
      </c>
      <c r="O800" s="5">
        <f t="shared" si="12"/>
        <v>0</v>
      </c>
      <c r="P800" s="6">
        <f>Table1[[#This Row],[Annual Salary]]+Table1[[#This Row],[Bonus Amount]]</f>
        <v>92994</v>
      </c>
      <c r="Q800" t="str">
        <f>IF(Table1[[#This Row],[Exit Date]]="", "Active","Exited")</f>
        <v>Active</v>
      </c>
      <c r="R800" s="2">
        <f ca="1">IFERROR(DATEDIF(Table1[[#This Row],[Hire Date]],IF(Table1[[#This Row],[Exit Date]]="",TODAY(),Table1[[#This Row],[Exit Date]]),"Y"),"")</f>
        <v>26</v>
      </c>
      <c r="S800" t="str" cm="1">
        <f t="array" ref="S800">_xlfn.IFS(Table1[[#This Row],[Age]]&lt;30,"Under 30",Table1[[#This Row],[Age]]&lt;=40,"30-40",Table1[[#This Row],[Age]]&lt;50,"41-50",TRUE,"50+")</f>
        <v>50+</v>
      </c>
    </row>
    <row r="801" spans="1:19" x14ac:dyDescent="0.35">
      <c r="A801" t="s">
        <v>1618</v>
      </c>
      <c r="B801" t="s">
        <v>1619</v>
      </c>
      <c r="C801" t="s">
        <v>43</v>
      </c>
      <c r="D801" t="s">
        <v>48</v>
      </c>
      <c r="E801" t="s">
        <v>35</v>
      </c>
      <c r="F801" t="s">
        <v>27</v>
      </c>
      <c r="G801" t="s">
        <v>28</v>
      </c>
      <c r="H801" s="3">
        <v>59</v>
      </c>
      <c r="I801" s="8">
        <v>35502</v>
      </c>
      <c r="J801" s="4">
        <v>83685</v>
      </c>
      <c r="K801" s="1">
        <v>0</v>
      </c>
      <c r="L801" t="s">
        <v>29</v>
      </c>
      <c r="M801" t="s">
        <v>114</v>
      </c>
      <c r="O801" s="5">
        <f t="shared" si="12"/>
        <v>0</v>
      </c>
      <c r="P801" s="6">
        <f>Table1[[#This Row],[Annual Salary]]+Table1[[#This Row],[Bonus Amount]]</f>
        <v>83685</v>
      </c>
      <c r="Q801" t="str">
        <f>IF(Table1[[#This Row],[Exit Date]]="", "Active","Exited")</f>
        <v>Active</v>
      </c>
      <c r="R801" s="2">
        <f ca="1">IFERROR(DATEDIF(Table1[[#This Row],[Hire Date]],IF(Table1[[#This Row],[Exit Date]]="",TODAY(),Table1[[#This Row],[Exit Date]]),"Y"),"")</f>
        <v>29</v>
      </c>
      <c r="S801" t="str" cm="1">
        <f t="array" ref="S801">_xlfn.IFS(Table1[[#This Row],[Age]]&lt;30,"Under 30",Table1[[#This Row],[Age]]&lt;=40,"30-40",Table1[[#This Row],[Age]]&lt;50,"41-50",TRUE,"50+")</f>
        <v>50+</v>
      </c>
    </row>
    <row r="802" spans="1:19" x14ac:dyDescent="0.35">
      <c r="A802" t="s">
        <v>302</v>
      </c>
      <c r="B802" t="s">
        <v>1620</v>
      </c>
      <c r="C802" t="s">
        <v>207</v>
      </c>
      <c r="D802" t="s">
        <v>17</v>
      </c>
      <c r="E802" t="s">
        <v>18</v>
      </c>
      <c r="F802" t="s">
        <v>27</v>
      </c>
      <c r="G802" t="s">
        <v>36</v>
      </c>
      <c r="H802" s="3">
        <v>48</v>
      </c>
      <c r="I802" s="8">
        <v>40435</v>
      </c>
      <c r="J802" s="4">
        <v>99335</v>
      </c>
      <c r="K802" s="1">
        <v>0</v>
      </c>
      <c r="L802" t="s">
        <v>21</v>
      </c>
      <c r="M802" t="s">
        <v>44</v>
      </c>
      <c r="O802" s="5">
        <f t="shared" si="12"/>
        <v>0</v>
      </c>
      <c r="P802" s="6">
        <f>Table1[[#This Row],[Annual Salary]]+Table1[[#This Row],[Bonus Amount]]</f>
        <v>99335</v>
      </c>
      <c r="Q802" t="str">
        <f>IF(Table1[[#This Row],[Exit Date]]="", "Active","Exited")</f>
        <v>Active</v>
      </c>
      <c r="R802" s="2">
        <f ca="1">IFERROR(DATEDIF(Table1[[#This Row],[Hire Date]],IF(Table1[[#This Row],[Exit Date]]="",TODAY(),Table1[[#This Row],[Exit Date]]),"Y"),"")</f>
        <v>15</v>
      </c>
      <c r="S802" t="str" cm="1">
        <f t="array" ref="S802">_xlfn.IFS(Table1[[#This Row],[Age]]&lt;30,"Under 30",Table1[[#This Row],[Age]]&lt;=40,"30-40",Table1[[#This Row],[Age]]&lt;50,"41-50",TRUE,"50+")</f>
        <v>41-50</v>
      </c>
    </row>
    <row r="803" spans="1:19" x14ac:dyDescent="0.35">
      <c r="A803" t="s">
        <v>1621</v>
      </c>
      <c r="B803" t="s">
        <v>1622</v>
      </c>
      <c r="C803" t="s">
        <v>16</v>
      </c>
      <c r="D803" t="s">
        <v>65</v>
      </c>
      <c r="E803" t="s">
        <v>26</v>
      </c>
      <c r="F803" t="s">
        <v>27</v>
      </c>
      <c r="G803" t="s">
        <v>36</v>
      </c>
      <c r="H803" s="3">
        <v>42</v>
      </c>
      <c r="I803" s="8">
        <v>41382</v>
      </c>
      <c r="J803" s="4">
        <v>131179</v>
      </c>
      <c r="K803" s="1">
        <v>0.15</v>
      </c>
      <c r="L803" t="s">
        <v>21</v>
      </c>
      <c r="M803" t="s">
        <v>88</v>
      </c>
      <c r="O803" s="5">
        <f t="shared" si="12"/>
        <v>19676.849999999999</v>
      </c>
      <c r="P803" s="6">
        <f>Table1[[#This Row],[Annual Salary]]+Table1[[#This Row],[Bonus Amount]]</f>
        <v>150855.85</v>
      </c>
      <c r="Q803" t="str">
        <f>IF(Table1[[#This Row],[Exit Date]]="", "Active","Exited")</f>
        <v>Active</v>
      </c>
      <c r="R803" s="2">
        <f ca="1">IFERROR(DATEDIF(Table1[[#This Row],[Hire Date]],IF(Table1[[#This Row],[Exit Date]]="",TODAY(),Table1[[#This Row],[Exit Date]]),"Y"),"")</f>
        <v>12</v>
      </c>
      <c r="S803" t="str" cm="1">
        <f t="array" ref="S803">_xlfn.IFS(Table1[[#This Row],[Age]]&lt;30,"Under 30",Table1[[#This Row],[Age]]&lt;=40,"30-40",Table1[[#This Row],[Age]]&lt;50,"41-50",TRUE,"50+")</f>
        <v>41-50</v>
      </c>
    </row>
    <row r="804" spans="1:19" x14ac:dyDescent="0.35">
      <c r="A804" t="s">
        <v>1623</v>
      </c>
      <c r="B804" t="s">
        <v>1624</v>
      </c>
      <c r="C804" t="s">
        <v>40</v>
      </c>
      <c r="D804" t="s">
        <v>17</v>
      </c>
      <c r="E804" t="s">
        <v>35</v>
      </c>
      <c r="F804" t="s">
        <v>27</v>
      </c>
      <c r="G804" t="s">
        <v>28</v>
      </c>
      <c r="H804" s="3">
        <v>35</v>
      </c>
      <c r="I804" s="8">
        <v>42493</v>
      </c>
      <c r="J804" s="4">
        <v>73899</v>
      </c>
      <c r="K804" s="1">
        <v>0.05</v>
      </c>
      <c r="L804" t="s">
        <v>29</v>
      </c>
      <c r="M804" t="s">
        <v>134</v>
      </c>
      <c r="O804" s="5">
        <f t="shared" si="12"/>
        <v>3694.9500000000003</v>
      </c>
      <c r="P804" s="6">
        <f>Table1[[#This Row],[Annual Salary]]+Table1[[#This Row],[Bonus Amount]]</f>
        <v>77593.95</v>
      </c>
      <c r="Q804" t="str">
        <f>IF(Table1[[#This Row],[Exit Date]]="", "Active","Exited")</f>
        <v>Active</v>
      </c>
      <c r="R804" s="2">
        <f ca="1">IFERROR(DATEDIF(Table1[[#This Row],[Hire Date]],IF(Table1[[#This Row],[Exit Date]]="",TODAY(),Table1[[#This Row],[Exit Date]]),"Y"),"")</f>
        <v>9</v>
      </c>
      <c r="S804" t="str" cm="1">
        <f t="array" ref="S804">_xlfn.IFS(Table1[[#This Row],[Age]]&lt;30,"Under 30",Table1[[#This Row],[Age]]&lt;=40,"30-40",Table1[[#This Row],[Age]]&lt;50,"41-50",TRUE,"50+")</f>
        <v>30-40</v>
      </c>
    </row>
    <row r="805" spans="1:19" x14ac:dyDescent="0.35">
      <c r="A805" t="s">
        <v>1625</v>
      </c>
      <c r="B805" t="s">
        <v>1626</v>
      </c>
      <c r="C805" t="s">
        <v>79</v>
      </c>
      <c r="D805" t="s">
        <v>59</v>
      </c>
      <c r="E805" t="s">
        <v>26</v>
      </c>
      <c r="F805" t="s">
        <v>27</v>
      </c>
      <c r="G805" t="s">
        <v>28</v>
      </c>
      <c r="H805" s="3">
        <v>64</v>
      </c>
      <c r="I805" s="8">
        <v>41362</v>
      </c>
      <c r="J805" s="4">
        <v>252325</v>
      </c>
      <c r="K805" s="1">
        <v>0.4</v>
      </c>
      <c r="L805" t="s">
        <v>21</v>
      </c>
      <c r="M805" t="s">
        <v>88</v>
      </c>
      <c r="O805" s="5">
        <f t="shared" si="12"/>
        <v>100930</v>
      </c>
      <c r="P805" s="6">
        <f>Table1[[#This Row],[Annual Salary]]+Table1[[#This Row],[Bonus Amount]]</f>
        <v>353255</v>
      </c>
      <c r="Q805" t="str">
        <f>IF(Table1[[#This Row],[Exit Date]]="", "Active","Exited")</f>
        <v>Active</v>
      </c>
      <c r="R805" s="2">
        <f ca="1">IFERROR(DATEDIF(Table1[[#This Row],[Hire Date]],IF(Table1[[#This Row],[Exit Date]]="",TODAY(),Table1[[#This Row],[Exit Date]]),"Y"),"")</f>
        <v>12</v>
      </c>
      <c r="S805" t="str" cm="1">
        <f t="array" ref="S805">_xlfn.IFS(Table1[[#This Row],[Age]]&lt;30,"Under 30",Table1[[#This Row],[Age]]&lt;=40,"30-40",Table1[[#This Row],[Age]]&lt;50,"41-50",TRUE,"50+")</f>
        <v>50+</v>
      </c>
    </row>
    <row r="806" spans="1:19" x14ac:dyDescent="0.35">
      <c r="A806" t="s">
        <v>1627</v>
      </c>
      <c r="B806" t="s">
        <v>1628</v>
      </c>
      <c r="C806" t="s">
        <v>124</v>
      </c>
      <c r="D806" t="s">
        <v>34</v>
      </c>
      <c r="E806" t="s">
        <v>18</v>
      </c>
      <c r="F806" t="s">
        <v>19</v>
      </c>
      <c r="G806" t="s">
        <v>36</v>
      </c>
      <c r="H806" s="3">
        <v>30</v>
      </c>
      <c r="I806" s="8">
        <v>42068</v>
      </c>
      <c r="J806" s="4">
        <v>52697</v>
      </c>
      <c r="K806" s="1">
        <v>0</v>
      </c>
      <c r="L806" t="s">
        <v>21</v>
      </c>
      <c r="M806" t="s">
        <v>22</v>
      </c>
      <c r="O806" s="5">
        <f t="shared" si="12"/>
        <v>0</v>
      </c>
      <c r="P806" s="6">
        <f>Table1[[#This Row],[Annual Salary]]+Table1[[#This Row],[Bonus Amount]]</f>
        <v>52697</v>
      </c>
      <c r="Q806" t="str">
        <f>IF(Table1[[#This Row],[Exit Date]]="", "Active","Exited")</f>
        <v>Active</v>
      </c>
      <c r="R806" s="2">
        <f ca="1">IFERROR(DATEDIF(Table1[[#This Row],[Hire Date]],IF(Table1[[#This Row],[Exit Date]]="",TODAY(),Table1[[#This Row],[Exit Date]]),"Y"),"")</f>
        <v>11</v>
      </c>
      <c r="S806" t="str" cm="1">
        <f t="array" ref="S806">_xlfn.IFS(Table1[[#This Row],[Age]]&lt;30,"Under 30",Table1[[#This Row],[Age]]&lt;=40,"30-40",Table1[[#This Row],[Age]]&lt;50,"41-50",TRUE,"50+")</f>
        <v>30-40</v>
      </c>
    </row>
    <row r="807" spans="1:19" x14ac:dyDescent="0.35">
      <c r="A807" t="s">
        <v>1549</v>
      </c>
      <c r="B807" t="s">
        <v>1629</v>
      </c>
      <c r="C807" t="s">
        <v>181</v>
      </c>
      <c r="D807" t="s">
        <v>69</v>
      </c>
      <c r="E807" t="s">
        <v>35</v>
      </c>
      <c r="F807" t="s">
        <v>19</v>
      </c>
      <c r="G807" t="s">
        <v>85</v>
      </c>
      <c r="H807" s="3">
        <v>29</v>
      </c>
      <c r="I807" s="8">
        <v>44099</v>
      </c>
      <c r="J807" s="4">
        <v>123588</v>
      </c>
      <c r="K807" s="1">
        <v>0</v>
      </c>
      <c r="L807" t="s">
        <v>93</v>
      </c>
      <c r="M807" t="s">
        <v>218</v>
      </c>
      <c r="O807" s="5">
        <f t="shared" si="12"/>
        <v>0</v>
      </c>
      <c r="P807" s="6">
        <f>Table1[[#This Row],[Annual Salary]]+Table1[[#This Row],[Bonus Amount]]</f>
        <v>123588</v>
      </c>
      <c r="Q807" t="str">
        <f>IF(Table1[[#This Row],[Exit Date]]="", "Active","Exited")</f>
        <v>Active</v>
      </c>
      <c r="R807" s="2">
        <f ca="1">IFERROR(DATEDIF(Table1[[#This Row],[Hire Date]],IF(Table1[[#This Row],[Exit Date]]="",TODAY(),Table1[[#This Row],[Exit Date]]),"Y"),"")</f>
        <v>5</v>
      </c>
      <c r="S807" t="str" cm="1">
        <f t="array" ref="S807">_xlfn.IFS(Table1[[#This Row],[Age]]&lt;30,"Under 30",Table1[[#This Row],[Age]]&lt;=40,"30-40",Table1[[#This Row],[Age]]&lt;50,"41-50",TRUE,"50+")</f>
        <v>Under 30</v>
      </c>
    </row>
    <row r="808" spans="1:19" x14ac:dyDescent="0.35">
      <c r="A808" t="s">
        <v>1630</v>
      </c>
      <c r="B808" t="s">
        <v>1631</v>
      </c>
      <c r="C808" t="s">
        <v>79</v>
      </c>
      <c r="D808" t="s">
        <v>59</v>
      </c>
      <c r="E808" t="s">
        <v>49</v>
      </c>
      <c r="F808" t="s">
        <v>19</v>
      </c>
      <c r="G808" t="s">
        <v>28</v>
      </c>
      <c r="H808" s="3">
        <v>47</v>
      </c>
      <c r="I808" s="8">
        <v>44556</v>
      </c>
      <c r="J808" s="4">
        <v>243568</v>
      </c>
      <c r="K808" s="1">
        <v>0.33</v>
      </c>
      <c r="L808" t="s">
        <v>21</v>
      </c>
      <c r="M808" t="s">
        <v>60</v>
      </c>
      <c r="O808" s="5">
        <f t="shared" si="12"/>
        <v>80377.440000000002</v>
      </c>
      <c r="P808" s="6">
        <f>Table1[[#This Row],[Annual Salary]]+Table1[[#This Row],[Bonus Amount]]</f>
        <v>323945.44</v>
      </c>
      <c r="Q808" t="str">
        <f>IF(Table1[[#This Row],[Exit Date]]="", "Active","Exited")</f>
        <v>Active</v>
      </c>
      <c r="R808" s="2">
        <f ca="1">IFERROR(DATEDIF(Table1[[#This Row],[Hire Date]],IF(Table1[[#This Row],[Exit Date]]="",TODAY(),Table1[[#This Row],[Exit Date]]),"Y"),"")</f>
        <v>4</v>
      </c>
      <c r="S808" t="str" cm="1">
        <f t="array" ref="S808">_xlfn.IFS(Table1[[#This Row],[Age]]&lt;30,"Under 30",Table1[[#This Row],[Age]]&lt;=40,"30-40",Table1[[#This Row],[Age]]&lt;50,"41-50",TRUE,"50+")</f>
        <v>41-50</v>
      </c>
    </row>
    <row r="809" spans="1:19" x14ac:dyDescent="0.35">
      <c r="A809" t="s">
        <v>1224</v>
      </c>
      <c r="B809" t="s">
        <v>1632</v>
      </c>
      <c r="C809" t="s">
        <v>33</v>
      </c>
      <c r="D809" t="s">
        <v>48</v>
      </c>
      <c r="E809" t="s">
        <v>18</v>
      </c>
      <c r="F809" t="s">
        <v>27</v>
      </c>
      <c r="G809" t="s">
        <v>28</v>
      </c>
      <c r="H809" s="3">
        <v>49</v>
      </c>
      <c r="I809" s="8">
        <v>37092</v>
      </c>
      <c r="J809" s="4">
        <v>199176</v>
      </c>
      <c r="K809" s="1">
        <v>0.24</v>
      </c>
      <c r="L809" t="s">
        <v>21</v>
      </c>
      <c r="M809" t="s">
        <v>44</v>
      </c>
      <c r="O809" s="5">
        <f t="shared" si="12"/>
        <v>47802.239999999998</v>
      </c>
      <c r="P809" s="6">
        <f>Table1[[#This Row],[Annual Salary]]+Table1[[#This Row],[Bonus Amount]]</f>
        <v>246978.24</v>
      </c>
      <c r="Q809" t="str">
        <f>IF(Table1[[#This Row],[Exit Date]]="", "Active","Exited")</f>
        <v>Active</v>
      </c>
      <c r="R809" s="2">
        <f ca="1">IFERROR(DATEDIF(Table1[[#This Row],[Hire Date]],IF(Table1[[#This Row],[Exit Date]]="",TODAY(),Table1[[#This Row],[Exit Date]]),"Y"),"")</f>
        <v>24</v>
      </c>
      <c r="S809" t="str" cm="1">
        <f t="array" ref="S809">_xlfn.IFS(Table1[[#This Row],[Age]]&lt;30,"Under 30",Table1[[#This Row],[Age]]&lt;=40,"30-40",Table1[[#This Row],[Age]]&lt;50,"41-50",TRUE,"50+")</f>
        <v>41-50</v>
      </c>
    </row>
    <row r="810" spans="1:19" x14ac:dyDescent="0.35">
      <c r="A810" t="s">
        <v>156</v>
      </c>
      <c r="B810" t="s">
        <v>1633</v>
      </c>
      <c r="C810" t="s">
        <v>25</v>
      </c>
      <c r="D810" t="s">
        <v>17</v>
      </c>
      <c r="E810" t="s">
        <v>35</v>
      </c>
      <c r="F810" t="s">
        <v>19</v>
      </c>
      <c r="G810" t="s">
        <v>28</v>
      </c>
      <c r="H810" s="3">
        <v>56</v>
      </c>
      <c r="I810" s="8">
        <v>35238</v>
      </c>
      <c r="J810" s="4">
        <v>82806</v>
      </c>
      <c r="K810" s="1">
        <v>0</v>
      </c>
      <c r="L810" t="s">
        <v>21</v>
      </c>
      <c r="M810" t="s">
        <v>22</v>
      </c>
      <c r="O810" s="5">
        <f t="shared" si="12"/>
        <v>0</v>
      </c>
      <c r="P810" s="6">
        <f>Table1[[#This Row],[Annual Salary]]+Table1[[#This Row],[Bonus Amount]]</f>
        <v>82806</v>
      </c>
      <c r="Q810" t="str">
        <f>IF(Table1[[#This Row],[Exit Date]]="", "Active","Exited")</f>
        <v>Active</v>
      </c>
      <c r="R810" s="2">
        <f ca="1">IFERROR(DATEDIF(Table1[[#This Row],[Hire Date]],IF(Table1[[#This Row],[Exit Date]]="",TODAY(),Table1[[#This Row],[Exit Date]]),"Y"),"")</f>
        <v>29</v>
      </c>
      <c r="S810" t="str" cm="1">
        <f t="array" ref="S810">_xlfn.IFS(Table1[[#This Row],[Age]]&lt;30,"Under 30",Table1[[#This Row],[Age]]&lt;=40,"30-40",Table1[[#This Row],[Age]]&lt;50,"41-50",TRUE,"50+")</f>
        <v>50+</v>
      </c>
    </row>
    <row r="811" spans="1:19" x14ac:dyDescent="0.35">
      <c r="A811" t="s">
        <v>1634</v>
      </c>
      <c r="B811" t="s">
        <v>1635</v>
      </c>
      <c r="C811" t="s">
        <v>33</v>
      </c>
      <c r="D811" t="s">
        <v>80</v>
      </c>
      <c r="E811" t="s">
        <v>35</v>
      </c>
      <c r="F811" t="s">
        <v>19</v>
      </c>
      <c r="G811" t="s">
        <v>28</v>
      </c>
      <c r="H811" s="3">
        <v>53</v>
      </c>
      <c r="I811" s="8">
        <v>35601</v>
      </c>
      <c r="J811" s="4">
        <v>164399</v>
      </c>
      <c r="K811" s="1">
        <v>0.25</v>
      </c>
      <c r="L811" t="s">
        <v>21</v>
      </c>
      <c r="M811" t="s">
        <v>22</v>
      </c>
      <c r="O811" s="5">
        <f t="shared" si="12"/>
        <v>41099.75</v>
      </c>
      <c r="P811" s="6">
        <f>Table1[[#This Row],[Annual Salary]]+Table1[[#This Row],[Bonus Amount]]</f>
        <v>205498.75</v>
      </c>
      <c r="Q811" t="str">
        <f>IF(Table1[[#This Row],[Exit Date]]="", "Active","Exited")</f>
        <v>Active</v>
      </c>
      <c r="R811" s="2">
        <f ca="1">IFERROR(DATEDIF(Table1[[#This Row],[Hire Date]],IF(Table1[[#This Row],[Exit Date]]="",TODAY(),Table1[[#This Row],[Exit Date]]),"Y"),"")</f>
        <v>28</v>
      </c>
      <c r="S811" t="str" cm="1">
        <f t="array" ref="S811">_xlfn.IFS(Table1[[#This Row],[Age]]&lt;30,"Under 30",Table1[[#This Row],[Age]]&lt;=40,"30-40",Table1[[#This Row],[Age]]&lt;50,"41-50",TRUE,"50+")</f>
        <v>50+</v>
      </c>
    </row>
    <row r="812" spans="1:19" x14ac:dyDescent="0.35">
      <c r="A812" t="s">
        <v>1636</v>
      </c>
      <c r="B812" t="s">
        <v>1637</v>
      </c>
      <c r="C812" t="s">
        <v>16</v>
      </c>
      <c r="D812" t="s">
        <v>65</v>
      </c>
      <c r="E812" t="s">
        <v>26</v>
      </c>
      <c r="F812" t="s">
        <v>19</v>
      </c>
      <c r="G812" t="s">
        <v>28</v>
      </c>
      <c r="H812" s="3">
        <v>32</v>
      </c>
      <c r="I812" s="8">
        <v>42839</v>
      </c>
      <c r="J812" s="4">
        <v>154956</v>
      </c>
      <c r="K812" s="1">
        <v>0.13</v>
      </c>
      <c r="L812" t="s">
        <v>21</v>
      </c>
      <c r="M812" t="s">
        <v>44</v>
      </c>
      <c r="O812" s="5">
        <f t="shared" si="12"/>
        <v>20144.280000000002</v>
      </c>
      <c r="P812" s="6">
        <f>Table1[[#This Row],[Annual Salary]]+Table1[[#This Row],[Bonus Amount]]</f>
        <v>175100.28</v>
      </c>
      <c r="Q812" t="str">
        <f>IF(Table1[[#This Row],[Exit Date]]="", "Active","Exited")</f>
        <v>Active</v>
      </c>
      <c r="R812" s="2">
        <f ca="1">IFERROR(DATEDIF(Table1[[#This Row],[Hire Date]],IF(Table1[[#This Row],[Exit Date]]="",TODAY(),Table1[[#This Row],[Exit Date]]),"Y"),"")</f>
        <v>8</v>
      </c>
      <c r="S812" t="str" cm="1">
        <f t="array" ref="S812">_xlfn.IFS(Table1[[#This Row],[Age]]&lt;30,"Under 30",Table1[[#This Row],[Age]]&lt;=40,"30-40",Table1[[#This Row],[Age]]&lt;50,"41-50",TRUE,"50+")</f>
        <v>30-40</v>
      </c>
    </row>
    <row r="813" spans="1:19" x14ac:dyDescent="0.35">
      <c r="A813" t="s">
        <v>1638</v>
      </c>
      <c r="B813" t="s">
        <v>1639</v>
      </c>
      <c r="C813" t="s">
        <v>16</v>
      </c>
      <c r="D813" t="s">
        <v>80</v>
      </c>
      <c r="E813" t="s">
        <v>26</v>
      </c>
      <c r="F813" t="s">
        <v>27</v>
      </c>
      <c r="G813" t="s">
        <v>28</v>
      </c>
      <c r="H813" s="3">
        <v>32</v>
      </c>
      <c r="I813" s="8">
        <v>42764</v>
      </c>
      <c r="J813" s="4">
        <v>143970</v>
      </c>
      <c r="K813" s="1">
        <v>0.12</v>
      </c>
      <c r="L813" t="s">
        <v>21</v>
      </c>
      <c r="M813" t="s">
        <v>22</v>
      </c>
      <c r="N813" s="7">
        <v>43078</v>
      </c>
      <c r="O813" s="5">
        <f t="shared" si="12"/>
        <v>17276.399999999998</v>
      </c>
      <c r="P813" s="6">
        <f>Table1[[#This Row],[Annual Salary]]+Table1[[#This Row],[Bonus Amount]]</f>
        <v>161246.39999999999</v>
      </c>
      <c r="Q813" t="str">
        <f>IF(Table1[[#This Row],[Exit Date]]="", "Active","Exited")</f>
        <v>Exited</v>
      </c>
      <c r="R813" s="2">
        <f ca="1">IFERROR(DATEDIF(Table1[[#This Row],[Hire Date]],IF(Table1[[#This Row],[Exit Date]]="",TODAY(),Table1[[#This Row],[Exit Date]]),"Y"),"")</f>
        <v>0</v>
      </c>
      <c r="S813" t="str" cm="1">
        <f t="array" ref="S813">_xlfn.IFS(Table1[[#This Row],[Age]]&lt;30,"Under 30",Table1[[#This Row],[Age]]&lt;=40,"30-40",Table1[[#This Row],[Age]]&lt;50,"41-50",TRUE,"50+")</f>
        <v>30-40</v>
      </c>
    </row>
    <row r="814" spans="1:19" x14ac:dyDescent="0.35">
      <c r="A814" t="s">
        <v>1640</v>
      </c>
      <c r="B814" t="s">
        <v>1641</v>
      </c>
      <c r="C814" t="s">
        <v>33</v>
      </c>
      <c r="D814" t="s">
        <v>48</v>
      </c>
      <c r="E814" t="s">
        <v>49</v>
      </c>
      <c r="F814" t="s">
        <v>27</v>
      </c>
      <c r="G814" t="s">
        <v>85</v>
      </c>
      <c r="H814" s="3">
        <v>52</v>
      </c>
      <c r="I814" s="8">
        <v>44099</v>
      </c>
      <c r="J814" s="4">
        <v>163143</v>
      </c>
      <c r="K814" s="1">
        <v>0.28000000000000003</v>
      </c>
      <c r="L814" t="s">
        <v>93</v>
      </c>
      <c r="M814" t="s">
        <v>218</v>
      </c>
      <c r="O814" s="5">
        <f t="shared" si="12"/>
        <v>45680.04</v>
      </c>
      <c r="P814" s="6">
        <f>Table1[[#This Row],[Annual Salary]]+Table1[[#This Row],[Bonus Amount]]</f>
        <v>208823.04000000001</v>
      </c>
      <c r="Q814" t="str">
        <f>IF(Table1[[#This Row],[Exit Date]]="", "Active","Exited")</f>
        <v>Active</v>
      </c>
      <c r="R814" s="2">
        <f ca="1">IFERROR(DATEDIF(Table1[[#This Row],[Hire Date]],IF(Table1[[#This Row],[Exit Date]]="",TODAY(),Table1[[#This Row],[Exit Date]]),"Y"),"")</f>
        <v>5</v>
      </c>
      <c r="S814" t="str" cm="1">
        <f t="array" ref="S814">_xlfn.IFS(Table1[[#This Row],[Age]]&lt;30,"Under 30",Table1[[#This Row],[Age]]&lt;=40,"30-40",Table1[[#This Row],[Age]]&lt;50,"41-50",TRUE,"50+")</f>
        <v>50+</v>
      </c>
    </row>
    <row r="815" spans="1:19" x14ac:dyDescent="0.35">
      <c r="A815" t="s">
        <v>1642</v>
      </c>
      <c r="B815" t="s">
        <v>1643</v>
      </c>
      <c r="C815" t="s">
        <v>43</v>
      </c>
      <c r="D815" t="s">
        <v>59</v>
      </c>
      <c r="E815" t="s">
        <v>35</v>
      </c>
      <c r="F815" t="s">
        <v>19</v>
      </c>
      <c r="G815" t="s">
        <v>36</v>
      </c>
      <c r="H815" s="3">
        <v>38</v>
      </c>
      <c r="I815" s="8">
        <v>44036</v>
      </c>
      <c r="J815" s="4">
        <v>89390</v>
      </c>
      <c r="K815" s="1">
        <v>0</v>
      </c>
      <c r="L815" t="s">
        <v>21</v>
      </c>
      <c r="M815" t="s">
        <v>22</v>
      </c>
      <c r="O815" s="5">
        <f t="shared" si="12"/>
        <v>0</v>
      </c>
      <c r="P815" s="6">
        <f>Table1[[#This Row],[Annual Salary]]+Table1[[#This Row],[Bonus Amount]]</f>
        <v>89390</v>
      </c>
      <c r="Q815" t="str">
        <f>IF(Table1[[#This Row],[Exit Date]]="", "Active","Exited")</f>
        <v>Active</v>
      </c>
      <c r="R815" s="2">
        <f ca="1">IFERROR(DATEDIF(Table1[[#This Row],[Hire Date]],IF(Table1[[#This Row],[Exit Date]]="",TODAY(),Table1[[#This Row],[Exit Date]]),"Y"),"")</f>
        <v>5</v>
      </c>
      <c r="S815" t="str" cm="1">
        <f t="array" ref="S815">_xlfn.IFS(Table1[[#This Row],[Age]]&lt;30,"Under 30",Table1[[#This Row],[Age]]&lt;=40,"30-40",Table1[[#This Row],[Age]]&lt;50,"41-50",TRUE,"50+")</f>
        <v>30-40</v>
      </c>
    </row>
    <row r="816" spans="1:19" x14ac:dyDescent="0.35">
      <c r="A816" t="s">
        <v>1644</v>
      </c>
      <c r="B816" t="s">
        <v>1645</v>
      </c>
      <c r="C816" t="s">
        <v>248</v>
      </c>
      <c r="D816" t="s">
        <v>17</v>
      </c>
      <c r="E816" t="s">
        <v>26</v>
      </c>
      <c r="F816" t="s">
        <v>27</v>
      </c>
      <c r="G816" t="s">
        <v>36</v>
      </c>
      <c r="H816" s="3">
        <v>41</v>
      </c>
      <c r="I816" s="8">
        <v>43013</v>
      </c>
      <c r="J816" s="4">
        <v>67468</v>
      </c>
      <c r="K816" s="1">
        <v>0</v>
      </c>
      <c r="L816" t="s">
        <v>21</v>
      </c>
      <c r="M816" t="s">
        <v>56</v>
      </c>
      <c r="O816" s="5">
        <f t="shared" si="12"/>
        <v>0</v>
      </c>
      <c r="P816" s="6">
        <f>Table1[[#This Row],[Annual Salary]]+Table1[[#This Row],[Bonus Amount]]</f>
        <v>67468</v>
      </c>
      <c r="Q816" t="str">
        <f>IF(Table1[[#This Row],[Exit Date]]="", "Active","Exited")</f>
        <v>Active</v>
      </c>
      <c r="R816" s="2">
        <f ca="1">IFERROR(DATEDIF(Table1[[#This Row],[Hire Date]],IF(Table1[[#This Row],[Exit Date]]="",TODAY(),Table1[[#This Row],[Exit Date]]),"Y"),"")</f>
        <v>8</v>
      </c>
      <c r="S816" t="str" cm="1">
        <f t="array" ref="S816">_xlfn.IFS(Table1[[#This Row],[Age]]&lt;30,"Under 30",Table1[[#This Row],[Age]]&lt;=40,"30-40",Table1[[#This Row],[Age]]&lt;50,"41-50",TRUE,"50+")</f>
        <v>41-50</v>
      </c>
    </row>
    <row r="817" spans="1:19" x14ac:dyDescent="0.35">
      <c r="A817" t="s">
        <v>1646</v>
      </c>
      <c r="B817" t="s">
        <v>1647</v>
      </c>
      <c r="C817" t="s">
        <v>113</v>
      </c>
      <c r="D817" t="s">
        <v>69</v>
      </c>
      <c r="E817" t="s">
        <v>26</v>
      </c>
      <c r="F817" t="s">
        <v>19</v>
      </c>
      <c r="G817" t="s">
        <v>85</v>
      </c>
      <c r="H817" s="3">
        <v>49</v>
      </c>
      <c r="I817" s="8">
        <v>42441</v>
      </c>
      <c r="J817" s="4">
        <v>100810</v>
      </c>
      <c r="K817" s="1">
        <v>0.12</v>
      </c>
      <c r="L817" t="s">
        <v>93</v>
      </c>
      <c r="M817" t="s">
        <v>99</v>
      </c>
      <c r="O817" s="5">
        <f t="shared" si="12"/>
        <v>12097.199999999999</v>
      </c>
      <c r="P817" s="6">
        <f>Table1[[#This Row],[Annual Salary]]+Table1[[#This Row],[Bonus Amount]]</f>
        <v>112907.2</v>
      </c>
      <c r="Q817" t="str">
        <f>IF(Table1[[#This Row],[Exit Date]]="", "Active","Exited")</f>
        <v>Active</v>
      </c>
      <c r="R817" s="2">
        <f ca="1">IFERROR(DATEDIF(Table1[[#This Row],[Hire Date]],IF(Table1[[#This Row],[Exit Date]]="",TODAY(),Table1[[#This Row],[Exit Date]]),"Y"),"")</f>
        <v>10</v>
      </c>
      <c r="S817" t="str" cm="1">
        <f t="array" ref="S817">_xlfn.IFS(Table1[[#This Row],[Age]]&lt;30,"Under 30",Table1[[#This Row],[Age]]&lt;=40,"30-40",Table1[[#This Row],[Age]]&lt;50,"41-50",TRUE,"50+")</f>
        <v>41-50</v>
      </c>
    </row>
    <row r="818" spans="1:19" x14ac:dyDescent="0.35">
      <c r="A818" t="s">
        <v>1648</v>
      </c>
      <c r="B818" t="s">
        <v>1649</v>
      </c>
      <c r="C818" t="s">
        <v>43</v>
      </c>
      <c r="D818" t="s">
        <v>34</v>
      </c>
      <c r="E818" t="s">
        <v>26</v>
      </c>
      <c r="F818" t="s">
        <v>19</v>
      </c>
      <c r="G818" t="s">
        <v>28</v>
      </c>
      <c r="H818" s="3">
        <v>35</v>
      </c>
      <c r="I818" s="8">
        <v>43542</v>
      </c>
      <c r="J818" s="4">
        <v>74779</v>
      </c>
      <c r="K818" s="1">
        <v>0</v>
      </c>
      <c r="L818" t="s">
        <v>21</v>
      </c>
      <c r="M818" t="s">
        <v>44</v>
      </c>
      <c r="O818" s="5">
        <f t="shared" si="12"/>
        <v>0</v>
      </c>
      <c r="P818" s="6">
        <f>Table1[[#This Row],[Annual Salary]]+Table1[[#This Row],[Bonus Amount]]</f>
        <v>74779</v>
      </c>
      <c r="Q818" t="str">
        <f>IF(Table1[[#This Row],[Exit Date]]="", "Active","Exited")</f>
        <v>Active</v>
      </c>
      <c r="R818" s="2">
        <f ca="1">IFERROR(DATEDIF(Table1[[#This Row],[Hire Date]],IF(Table1[[#This Row],[Exit Date]]="",TODAY(),Table1[[#This Row],[Exit Date]]),"Y"),"")</f>
        <v>7</v>
      </c>
      <c r="S818" t="str" cm="1">
        <f t="array" ref="S818">_xlfn.IFS(Table1[[#This Row],[Age]]&lt;30,"Under 30",Table1[[#This Row],[Age]]&lt;=40,"30-40",Table1[[#This Row],[Age]]&lt;50,"41-50",TRUE,"50+")</f>
        <v>30-40</v>
      </c>
    </row>
    <row r="819" spans="1:19" x14ac:dyDescent="0.35">
      <c r="A819" t="s">
        <v>647</v>
      </c>
      <c r="B819" t="s">
        <v>1650</v>
      </c>
      <c r="C819" t="s">
        <v>251</v>
      </c>
      <c r="D819" t="s">
        <v>17</v>
      </c>
      <c r="E819" t="s">
        <v>49</v>
      </c>
      <c r="F819" t="s">
        <v>19</v>
      </c>
      <c r="G819" t="s">
        <v>28</v>
      </c>
      <c r="H819" s="3">
        <v>29</v>
      </c>
      <c r="I819" s="8">
        <v>43048</v>
      </c>
      <c r="J819" s="4">
        <v>63985</v>
      </c>
      <c r="K819" s="1">
        <v>0</v>
      </c>
      <c r="L819" t="s">
        <v>21</v>
      </c>
      <c r="M819" t="s">
        <v>56</v>
      </c>
      <c r="O819" s="5">
        <f t="shared" si="12"/>
        <v>0</v>
      </c>
      <c r="P819" s="6">
        <f>Table1[[#This Row],[Annual Salary]]+Table1[[#This Row],[Bonus Amount]]</f>
        <v>63985</v>
      </c>
      <c r="Q819" t="str">
        <f>IF(Table1[[#This Row],[Exit Date]]="", "Active","Exited")</f>
        <v>Active</v>
      </c>
      <c r="R819" s="2">
        <f ca="1">IFERROR(DATEDIF(Table1[[#This Row],[Hire Date]],IF(Table1[[#This Row],[Exit Date]]="",TODAY(),Table1[[#This Row],[Exit Date]]),"Y"),"")</f>
        <v>8</v>
      </c>
      <c r="S819" t="str" cm="1">
        <f t="array" ref="S819">_xlfn.IFS(Table1[[#This Row],[Age]]&lt;30,"Under 30",Table1[[#This Row],[Age]]&lt;=40,"30-40",Table1[[#This Row],[Age]]&lt;50,"41-50",TRUE,"50+")</f>
        <v>Under 30</v>
      </c>
    </row>
    <row r="820" spans="1:19" x14ac:dyDescent="0.35">
      <c r="A820" t="s">
        <v>1651</v>
      </c>
      <c r="B820" t="s">
        <v>1652</v>
      </c>
      <c r="C820" t="s">
        <v>372</v>
      </c>
      <c r="D820" t="s">
        <v>17</v>
      </c>
      <c r="E820" t="s">
        <v>26</v>
      </c>
      <c r="F820" t="s">
        <v>19</v>
      </c>
      <c r="G820" t="s">
        <v>36</v>
      </c>
      <c r="H820" s="3">
        <v>64</v>
      </c>
      <c r="I820" s="8">
        <v>38176</v>
      </c>
      <c r="J820" s="4">
        <v>77903</v>
      </c>
      <c r="K820" s="1">
        <v>0</v>
      </c>
      <c r="L820" t="s">
        <v>21</v>
      </c>
      <c r="M820" t="s">
        <v>22</v>
      </c>
      <c r="O820" s="5">
        <f t="shared" si="12"/>
        <v>0</v>
      </c>
      <c r="P820" s="6">
        <f>Table1[[#This Row],[Annual Salary]]+Table1[[#This Row],[Bonus Amount]]</f>
        <v>77903</v>
      </c>
      <c r="Q820" t="str">
        <f>IF(Table1[[#This Row],[Exit Date]]="", "Active","Exited")</f>
        <v>Active</v>
      </c>
      <c r="R820" s="2">
        <f ca="1">IFERROR(DATEDIF(Table1[[#This Row],[Hire Date]],IF(Table1[[#This Row],[Exit Date]]="",TODAY(),Table1[[#This Row],[Exit Date]]),"Y"),"")</f>
        <v>21</v>
      </c>
      <c r="S820" t="str" cm="1">
        <f t="array" ref="S820">_xlfn.IFS(Table1[[#This Row],[Age]]&lt;30,"Under 30",Table1[[#This Row],[Age]]&lt;=40,"30-40",Table1[[#This Row],[Age]]&lt;50,"41-50",TRUE,"50+")</f>
        <v>50+</v>
      </c>
    </row>
    <row r="821" spans="1:19" x14ac:dyDescent="0.35">
      <c r="A821" t="s">
        <v>1653</v>
      </c>
      <c r="B821" t="s">
        <v>1654</v>
      </c>
      <c r="C821" t="s">
        <v>33</v>
      </c>
      <c r="D821" t="s">
        <v>80</v>
      </c>
      <c r="E821" t="s">
        <v>49</v>
      </c>
      <c r="F821" t="s">
        <v>27</v>
      </c>
      <c r="G821" t="s">
        <v>36</v>
      </c>
      <c r="H821" s="3">
        <v>33</v>
      </c>
      <c r="I821" s="8">
        <v>42898</v>
      </c>
      <c r="J821" s="4">
        <v>164396</v>
      </c>
      <c r="K821" s="1">
        <v>0.28999999999999998</v>
      </c>
      <c r="L821" t="s">
        <v>21</v>
      </c>
      <c r="M821" t="s">
        <v>88</v>
      </c>
      <c r="O821" s="5">
        <f t="shared" si="12"/>
        <v>47674.84</v>
      </c>
      <c r="P821" s="6">
        <f>Table1[[#This Row],[Annual Salary]]+Table1[[#This Row],[Bonus Amount]]</f>
        <v>212070.84</v>
      </c>
      <c r="Q821" t="str">
        <f>IF(Table1[[#This Row],[Exit Date]]="", "Active","Exited")</f>
        <v>Active</v>
      </c>
      <c r="R821" s="2">
        <f ca="1">IFERROR(DATEDIF(Table1[[#This Row],[Hire Date]],IF(Table1[[#This Row],[Exit Date]]="",TODAY(),Table1[[#This Row],[Exit Date]]),"Y"),"")</f>
        <v>8</v>
      </c>
      <c r="S821" t="str" cm="1">
        <f t="array" ref="S821">_xlfn.IFS(Table1[[#This Row],[Age]]&lt;30,"Under 30",Table1[[#This Row],[Age]]&lt;=40,"30-40",Table1[[#This Row],[Age]]&lt;50,"41-50",TRUE,"50+")</f>
        <v>30-40</v>
      </c>
    </row>
    <row r="822" spans="1:19" x14ac:dyDescent="0.35">
      <c r="A822" t="s">
        <v>1655</v>
      </c>
      <c r="B822" t="s">
        <v>1656</v>
      </c>
      <c r="C822" t="s">
        <v>442</v>
      </c>
      <c r="D822" t="s">
        <v>17</v>
      </c>
      <c r="E822" t="s">
        <v>49</v>
      </c>
      <c r="F822" t="s">
        <v>27</v>
      </c>
      <c r="G822" t="s">
        <v>28</v>
      </c>
      <c r="H822" s="3">
        <v>29</v>
      </c>
      <c r="I822" s="8">
        <v>44375</v>
      </c>
      <c r="J822" s="4">
        <v>71234</v>
      </c>
      <c r="K822" s="1">
        <v>0</v>
      </c>
      <c r="L822" t="s">
        <v>21</v>
      </c>
      <c r="M822" t="s">
        <v>22</v>
      </c>
      <c r="O822" s="5">
        <f t="shared" si="12"/>
        <v>0</v>
      </c>
      <c r="P822" s="6">
        <f>Table1[[#This Row],[Annual Salary]]+Table1[[#This Row],[Bonus Amount]]</f>
        <v>71234</v>
      </c>
      <c r="Q822" t="str">
        <f>IF(Table1[[#This Row],[Exit Date]]="", "Active","Exited")</f>
        <v>Active</v>
      </c>
      <c r="R822" s="2">
        <f ca="1">IFERROR(DATEDIF(Table1[[#This Row],[Hire Date]],IF(Table1[[#This Row],[Exit Date]]="",TODAY(),Table1[[#This Row],[Exit Date]]),"Y"),"")</f>
        <v>4</v>
      </c>
      <c r="S822" t="str" cm="1">
        <f t="array" ref="S822">_xlfn.IFS(Table1[[#This Row],[Age]]&lt;30,"Under 30",Table1[[#This Row],[Age]]&lt;=40,"30-40",Table1[[#This Row],[Age]]&lt;50,"41-50",TRUE,"50+")</f>
        <v>Under 30</v>
      </c>
    </row>
    <row r="823" spans="1:19" x14ac:dyDescent="0.35">
      <c r="A823" t="s">
        <v>1657</v>
      </c>
      <c r="B823" t="s">
        <v>1658</v>
      </c>
      <c r="C823" t="s">
        <v>52</v>
      </c>
      <c r="D823" t="s">
        <v>34</v>
      </c>
      <c r="E823" t="s">
        <v>49</v>
      </c>
      <c r="F823" t="s">
        <v>27</v>
      </c>
      <c r="G823" t="s">
        <v>28</v>
      </c>
      <c r="H823" s="3">
        <v>63</v>
      </c>
      <c r="I823" s="8">
        <v>38096</v>
      </c>
      <c r="J823" s="4">
        <v>122487</v>
      </c>
      <c r="K823" s="1">
        <v>0.08</v>
      </c>
      <c r="L823" t="s">
        <v>29</v>
      </c>
      <c r="M823" t="s">
        <v>74</v>
      </c>
      <c r="O823" s="5">
        <f t="shared" si="12"/>
        <v>9798.9600000000009</v>
      </c>
      <c r="P823" s="6">
        <f>Table1[[#This Row],[Annual Salary]]+Table1[[#This Row],[Bonus Amount]]</f>
        <v>132285.96</v>
      </c>
      <c r="Q823" t="str">
        <f>IF(Table1[[#This Row],[Exit Date]]="", "Active","Exited")</f>
        <v>Active</v>
      </c>
      <c r="R823" s="2">
        <f ca="1">IFERROR(DATEDIF(Table1[[#This Row],[Hire Date]],IF(Table1[[#This Row],[Exit Date]]="",TODAY(),Table1[[#This Row],[Exit Date]]),"Y"),"")</f>
        <v>21</v>
      </c>
      <c r="S823" t="str" cm="1">
        <f t="array" ref="S823">_xlfn.IFS(Table1[[#This Row],[Age]]&lt;30,"Under 30",Table1[[#This Row],[Age]]&lt;=40,"30-40",Table1[[#This Row],[Age]]&lt;50,"41-50",TRUE,"50+")</f>
        <v>50+</v>
      </c>
    </row>
    <row r="824" spans="1:19" x14ac:dyDescent="0.35">
      <c r="A824" t="s">
        <v>1659</v>
      </c>
      <c r="B824" t="s">
        <v>1660</v>
      </c>
      <c r="C824" t="s">
        <v>52</v>
      </c>
      <c r="D824" t="s">
        <v>65</v>
      </c>
      <c r="E824" t="s">
        <v>35</v>
      </c>
      <c r="F824" t="s">
        <v>19</v>
      </c>
      <c r="G824" t="s">
        <v>28</v>
      </c>
      <c r="H824" s="3">
        <v>32</v>
      </c>
      <c r="I824" s="8">
        <v>42738</v>
      </c>
      <c r="J824" s="4">
        <v>101870</v>
      </c>
      <c r="K824" s="1">
        <v>0.1</v>
      </c>
      <c r="L824" t="s">
        <v>21</v>
      </c>
      <c r="M824" t="s">
        <v>44</v>
      </c>
      <c r="O824" s="5">
        <f t="shared" si="12"/>
        <v>10187</v>
      </c>
      <c r="P824" s="6">
        <f>Table1[[#This Row],[Annual Salary]]+Table1[[#This Row],[Bonus Amount]]</f>
        <v>112057</v>
      </c>
      <c r="Q824" t="str">
        <f>IF(Table1[[#This Row],[Exit Date]]="", "Active","Exited")</f>
        <v>Active</v>
      </c>
      <c r="R824" s="2">
        <f ca="1">IFERROR(DATEDIF(Table1[[#This Row],[Hire Date]],IF(Table1[[#This Row],[Exit Date]]="",TODAY(),Table1[[#This Row],[Exit Date]]),"Y"),"")</f>
        <v>9</v>
      </c>
      <c r="S824" t="str" cm="1">
        <f t="array" ref="S824">_xlfn.IFS(Table1[[#This Row],[Age]]&lt;30,"Under 30",Table1[[#This Row],[Age]]&lt;=40,"30-40",Table1[[#This Row],[Age]]&lt;50,"41-50",TRUE,"50+")</f>
        <v>30-40</v>
      </c>
    </row>
    <row r="825" spans="1:19" x14ac:dyDescent="0.35">
      <c r="A825" t="s">
        <v>1661</v>
      </c>
      <c r="B825" t="s">
        <v>1662</v>
      </c>
      <c r="C825" t="s">
        <v>330</v>
      </c>
      <c r="D825" t="s">
        <v>17</v>
      </c>
      <c r="E825" t="s">
        <v>18</v>
      </c>
      <c r="F825" t="s">
        <v>27</v>
      </c>
      <c r="G825" t="s">
        <v>85</v>
      </c>
      <c r="H825" s="3">
        <v>64</v>
      </c>
      <c r="I825" s="8">
        <v>44009</v>
      </c>
      <c r="J825" s="4">
        <v>40316</v>
      </c>
      <c r="K825" s="1">
        <v>0</v>
      </c>
      <c r="L825" t="s">
        <v>93</v>
      </c>
      <c r="M825" t="s">
        <v>94</v>
      </c>
      <c r="O825" s="5">
        <f t="shared" si="12"/>
        <v>0</v>
      </c>
      <c r="P825" s="6">
        <f>Table1[[#This Row],[Annual Salary]]+Table1[[#This Row],[Bonus Amount]]</f>
        <v>40316</v>
      </c>
      <c r="Q825" t="str">
        <f>IF(Table1[[#This Row],[Exit Date]]="", "Active","Exited")</f>
        <v>Active</v>
      </c>
      <c r="R825" s="2">
        <f ca="1">IFERROR(DATEDIF(Table1[[#This Row],[Hire Date]],IF(Table1[[#This Row],[Exit Date]]="",TODAY(),Table1[[#This Row],[Exit Date]]),"Y"),"")</f>
        <v>5</v>
      </c>
      <c r="S825" t="str" cm="1">
        <f t="array" ref="S825">_xlfn.IFS(Table1[[#This Row],[Age]]&lt;30,"Under 30",Table1[[#This Row],[Age]]&lt;=40,"30-40",Table1[[#This Row],[Age]]&lt;50,"41-50",TRUE,"50+")</f>
        <v>50+</v>
      </c>
    </row>
    <row r="826" spans="1:19" x14ac:dyDescent="0.35">
      <c r="A826" t="s">
        <v>1663</v>
      </c>
      <c r="B826" t="s">
        <v>1664</v>
      </c>
      <c r="C826" t="s">
        <v>52</v>
      </c>
      <c r="D826" t="s">
        <v>17</v>
      </c>
      <c r="E826" t="s">
        <v>18</v>
      </c>
      <c r="F826" t="s">
        <v>19</v>
      </c>
      <c r="G826" t="s">
        <v>28</v>
      </c>
      <c r="H826" s="3">
        <v>55</v>
      </c>
      <c r="I826" s="8">
        <v>38391</v>
      </c>
      <c r="J826" s="4">
        <v>115145</v>
      </c>
      <c r="K826" s="1">
        <v>0.05</v>
      </c>
      <c r="L826" t="s">
        <v>29</v>
      </c>
      <c r="M826" t="s">
        <v>30</v>
      </c>
      <c r="O826" s="5">
        <f t="shared" si="12"/>
        <v>5757.25</v>
      </c>
      <c r="P826" s="6">
        <f>Table1[[#This Row],[Annual Salary]]+Table1[[#This Row],[Bonus Amount]]</f>
        <v>120902.25</v>
      </c>
      <c r="Q826" t="str">
        <f>IF(Table1[[#This Row],[Exit Date]]="", "Active","Exited")</f>
        <v>Active</v>
      </c>
      <c r="R826" s="2">
        <f ca="1">IFERROR(DATEDIF(Table1[[#This Row],[Hire Date]],IF(Table1[[#This Row],[Exit Date]]="",TODAY(),Table1[[#This Row],[Exit Date]]),"Y"),"")</f>
        <v>21</v>
      </c>
      <c r="S826" t="str" cm="1">
        <f t="array" ref="S826">_xlfn.IFS(Table1[[#This Row],[Age]]&lt;30,"Under 30",Table1[[#This Row],[Age]]&lt;=40,"30-40",Table1[[#This Row],[Age]]&lt;50,"41-50",TRUE,"50+")</f>
        <v>50+</v>
      </c>
    </row>
    <row r="827" spans="1:19" x14ac:dyDescent="0.35">
      <c r="A827" t="s">
        <v>1665</v>
      </c>
      <c r="B827" t="s">
        <v>1666</v>
      </c>
      <c r="C827" t="s">
        <v>207</v>
      </c>
      <c r="D827" t="s">
        <v>17</v>
      </c>
      <c r="E827" t="s">
        <v>26</v>
      </c>
      <c r="F827" t="s">
        <v>19</v>
      </c>
      <c r="G827" t="s">
        <v>85</v>
      </c>
      <c r="H827" s="3">
        <v>43</v>
      </c>
      <c r="I827" s="8">
        <v>39885</v>
      </c>
      <c r="J827" s="4">
        <v>62335</v>
      </c>
      <c r="K827" s="1">
        <v>0</v>
      </c>
      <c r="L827" t="s">
        <v>93</v>
      </c>
      <c r="M827" t="s">
        <v>94</v>
      </c>
      <c r="O827" s="5">
        <f t="shared" si="12"/>
        <v>0</v>
      </c>
      <c r="P827" s="6">
        <f>Table1[[#This Row],[Annual Salary]]+Table1[[#This Row],[Bonus Amount]]</f>
        <v>62335</v>
      </c>
      <c r="Q827" t="str">
        <f>IF(Table1[[#This Row],[Exit Date]]="", "Active","Exited")</f>
        <v>Active</v>
      </c>
      <c r="R827" s="2">
        <f ca="1">IFERROR(DATEDIF(Table1[[#This Row],[Hire Date]],IF(Table1[[#This Row],[Exit Date]]="",TODAY(),Table1[[#This Row],[Exit Date]]),"Y"),"")</f>
        <v>17</v>
      </c>
      <c r="S827" t="str" cm="1">
        <f t="array" ref="S827">_xlfn.IFS(Table1[[#This Row],[Age]]&lt;30,"Under 30",Table1[[#This Row],[Age]]&lt;=40,"30-40",Table1[[#This Row],[Age]]&lt;50,"41-50",TRUE,"50+")</f>
        <v>41-50</v>
      </c>
    </row>
    <row r="828" spans="1:19" x14ac:dyDescent="0.35">
      <c r="A828" t="s">
        <v>1667</v>
      </c>
      <c r="B828" t="s">
        <v>1668</v>
      </c>
      <c r="C828" t="s">
        <v>55</v>
      </c>
      <c r="D828" t="s">
        <v>34</v>
      </c>
      <c r="E828" t="s">
        <v>26</v>
      </c>
      <c r="F828" t="s">
        <v>27</v>
      </c>
      <c r="G828" t="s">
        <v>28</v>
      </c>
      <c r="H828" s="3">
        <v>56</v>
      </c>
      <c r="I828" s="8">
        <v>38847</v>
      </c>
      <c r="J828" s="4">
        <v>41561</v>
      </c>
      <c r="K828" s="1">
        <v>0</v>
      </c>
      <c r="L828" t="s">
        <v>21</v>
      </c>
      <c r="M828" t="s">
        <v>60</v>
      </c>
      <c r="O828" s="5">
        <f t="shared" si="12"/>
        <v>0</v>
      </c>
      <c r="P828" s="6">
        <f>Table1[[#This Row],[Annual Salary]]+Table1[[#This Row],[Bonus Amount]]</f>
        <v>41561</v>
      </c>
      <c r="Q828" t="str">
        <f>IF(Table1[[#This Row],[Exit Date]]="", "Active","Exited")</f>
        <v>Active</v>
      </c>
      <c r="R828" s="2">
        <f ca="1">IFERROR(DATEDIF(Table1[[#This Row],[Hire Date]],IF(Table1[[#This Row],[Exit Date]]="",TODAY(),Table1[[#This Row],[Exit Date]]),"Y"),"")</f>
        <v>19</v>
      </c>
      <c r="S828" t="str" cm="1">
        <f t="array" ref="S828">_xlfn.IFS(Table1[[#This Row],[Age]]&lt;30,"Under 30",Table1[[#This Row],[Age]]&lt;=40,"30-40",Table1[[#This Row],[Age]]&lt;50,"41-50",TRUE,"50+")</f>
        <v>50+</v>
      </c>
    </row>
    <row r="829" spans="1:19" x14ac:dyDescent="0.35">
      <c r="A829" t="s">
        <v>1669</v>
      </c>
      <c r="B829" t="s">
        <v>1670</v>
      </c>
      <c r="C829" t="s">
        <v>16</v>
      </c>
      <c r="D829" t="s">
        <v>34</v>
      </c>
      <c r="E829" t="s">
        <v>35</v>
      </c>
      <c r="F829" t="s">
        <v>19</v>
      </c>
      <c r="G829" t="s">
        <v>28</v>
      </c>
      <c r="H829" s="3">
        <v>37</v>
      </c>
      <c r="I829" s="8">
        <v>40657</v>
      </c>
      <c r="J829" s="4">
        <v>131183</v>
      </c>
      <c r="K829" s="1">
        <v>0.14000000000000001</v>
      </c>
      <c r="L829" t="s">
        <v>29</v>
      </c>
      <c r="M829" t="s">
        <v>74</v>
      </c>
      <c r="N829" s="7">
        <v>42445</v>
      </c>
      <c r="O829" s="5">
        <f t="shared" si="12"/>
        <v>18365.620000000003</v>
      </c>
      <c r="P829" s="6">
        <f>Table1[[#This Row],[Annual Salary]]+Table1[[#This Row],[Bonus Amount]]</f>
        <v>149548.62</v>
      </c>
      <c r="Q829" t="str">
        <f>IF(Table1[[#This Row],[Exit Date]]="", "Active","Exited")</f>
        <v>Exited</v>
      </c>
      <c r="R829" s="2">
        <f ca="1">IFERROR(DATEDIF(Table1[[#This Row],[Hire Date]],IF(Table1[[#This Row],[Exit Date]]="",TODAY(),Table1[[#This Row],[Exit Date]]),"Y"),"")</f>
        <v>4</v>
      </c>
      <c r="S829" t="str" cm="1">
        <f t="array" ref="S829">_xlfn.IFS(Table1[[#This Row],[Age]]&lt;30,"Under 30",Table1[[#This Row],[Age]]&lt;=40,"30-40",Table1[[#This Row],[Age]]&lt;50,"41-50",TRUE,"50+")</f>
        <v>30-40</v>
      </c>
    </row>
    <row r="830" spans="1:19" x14ac:dyDescent="0.35">
      <c r="A830" t="s">
        <v>948</v>
      </c>
      <c r="B830" t="s">
        <v>1671</v>
      </c>
      <c r="C830" t="s">
        <v>25</v>
      </c>
      <c r="D830" t="s">
        <v>17</v>
      </c>
      <c r="E830" t="s">
        <v>26</v>
      </c>
      <c r="F830" t="s">
        <v>19</v>
      </c>
      <c r="G830" t="s">
        <v>28</v>
      </c>
      <c r="H830" s="3">
        <v>45</v>
      </c>
      <c r="I830" s="8">
        <v>37445</v>
      </c>
      <c r="J830" s="4">
        <v>92655</v>
      </c>
      <c r="K830" s="1">
        <v>0</v>
      </c>
      <c r="L830" t="s">
        <v>29</v>
      </c>
      <c r="M830" t="s">
        <v>134</v>
      </c>
      <c r="O830" s="5">
        <f t="shared" si="12"/>
        <v>0</v>
      </c>
      <c r="P830" s="6">
        <f>Table1[[#This Row],[Annual Salary]]+Table1[[#This Row],[Bonus Amount]]</f>
        <v>92655</v>
      </c>
      <c r="Q830" t="str">
        <f>IF(Table1[[#This Row],[Exit Date]]="", "Active","Exited")</f>
        <v>Active</v>
      </c>
      <c r="R830" s="2">
        <f ca="1">IFERROR(DATEDIF(Table1[[#This Row],[Hire Date]],IF(Table1[[#This Row],[Exit Date]]="",TODAY(),Table1[[#This Row],[Exit Date]]),"Y"),"")</f>
        <v>23</v>
      </c>
      <c r="S830" t="str" cm="1">
        <f t="array" ref="S830">_xlfn.IFS(Table1[[#This Row],[Age]]&lt;30,"Under 30",Table1[[#This Row],[Age]]&lt;=40,"30-40",Table1[[#This Row],[Age]]&lt;50,"41-50",TRUE,"50+")</f>
        <v>41-50</v>
      </c>
    </row>
    <row r="831" spans="1:19" x14ac:dyDescent="0.35">
      <c r="A831" t="s">
        <v>1509</v>
      </c>
      <c r="B831" t="s">
        <v>1672</v>
      </c>
      <c r="C831" t="s">
        <v>16</v>
      </c>
      <c r="D831" t="s">
        <v>48</v>
      </c>
      <c r="E831" t="s">
        <v>26</v>
      </c>
      <c r="F831" t="s">
        <v>19</v>
      </c>
      <c r="G831" t="s">
        <v>85</v>
      </c>
      <c r="H831" s="3">
        <v>49</v>
      </c>
      <c r="I831" s="8">
        <v>35157</v>
      </c>
      <c r="J831" s="4">
        <v>157057</v>
      </c>
      <c r="K831" s="1">
        <v>0.12</v>
      </c>
      <c r="L831" t="s">
        <v>21</v>
      </c>
      <c r="M831" t="s">
        <v>56</v>
      </c>
      <c r="O831" s="5">
        <f t="shared" si="12"/>
        <v>18846.84</v>
      </c>
      <c r="P831" s="6">
        <f>Table1[[#This Row],[Annual Salary]]+Table1[[#This Row],[Bonus Amount]]</f>
        <v>175903.84</v>
      </c>
      <c r="Q831" t="str">
        <f>IF(Table1[[#This Row],[Exit Date]]="", "Active","Exited")</f>
        <v>Active</v>
      </c>
      <c r="R831" s="2">
        <f ca="1">IFERROR(DATEDIF(Table1[[#This Row],[Hire Date]],IF(Table1[[#This Row],[Exit Date]]="",TODAY(),Table1[[#This Row],[Exit Date]]),"Y"),"")</f>
        <v>29</v>
      </c>
      <c r="S831" t="str" cm="1">
        <f t="array" ref="S831">_xlfn.IFS(Table1[[#This Row],[Age]]&lt;30,"Under 30",Table1[[#This Row],[Age]]&lt;=40,"30-40",Table1[[#This Row],[Age]]&lt;50,"41-50",TRUE,"50+")</f>
        <v>41-50</v>
      </c>
    </row>
    <row r="832" spans="1:19" x14ac:dyDescent="0.35">
      <c r="A832" t="s">
        <v>1673</v>
      </c>
      <c r="B832" t="s">
        <v>1674</v>
      </c>
      <c r="C832" t="s">
        <v>131</v>
      </c>
      <c r="D832" t="s">
        <v>17</v>
      </c>
      <c r="E832" t="s">
        <v>35</v>
      </c>
      <c r="F832" t="s">
        <v>19</v>
      </c>
      <c r="G832" t="s">
        <v>36</v>
      </c>
      <c r="H832" s="3">
        <v>61</v>
      </c>
      <c r="I832" s="8">
        <v>38392</v>
      </c>
      <c r="J832" s="4">
        <v>64462</v>
      </c>
      <c r="K832" s="1">
        <v>0</v>
      </c>
      <c r="L832" t="s">
        <v>21</v>
      </c>
      <c r="M832" t="s">
        <v>37</v>
      </c>
      <c r="O832" s="5">
        <f t="shared" si="12"/>
        <v>0</v>
      </c>
      <c r="P832" s="6">
        <f>Table1[[#This Row],[Annual Salary]]+Table1[[#This Row],[Bonus Amount]]</f>
        <v>64462</v>
      </c>
      <c r="Q832" t="str">
        <f>IF(Table1[[#This Row],[Exit Date]]="", "Active","Exited")</f>
        <v>Active</v>
      </c>
      <c r="R832" s="2">
        <f ca="1">IFERROR(DATEDIF(Table1[[#This Row],[Hire Date]],IF(Table1[[#This Row],[Exit Date]]="",TODAY(),Table1[[#This Row],[Exit Date]]),"Y"),"")</f>
        <v>21</v>
      </c>
      <c r="S832" t="str" cm="1">
        <f t="array" ref="S832">_xlfn.IFS(Table1[[#This Row],[Age]]&lt;30,"Under 30",Table1[[#This Row],[Age]]&lt;=40,"30-40",Table1[[#This Row],[Age]]&lt;50,"41-50",TRUE,"50+")</f>
        <v>50+</v>
      </c>
    </row>
    <row r="833" spans="1:19" x14ac:dyDescent="0.35">
      <c r="A833" t="s">
        <v>1675</v>
      </c>
      <c r="B833" t="s">
        <v>1676</v>
      </c>
      <c r="C833" t="s">
        <v>108</v>
      </c>
      <c r="D833" t="s">
        <v>69</v>
      </c>
      <c r="E833" t="s">
        <v>49</v>
      </c>
      <c r="F833" t="s">
        <v>19</v>
      </c>
      <c r="G833" t="s">
        <v>36</v>
      </c>
      <c r="H833" s="3">
        <v>41</v>
      </c>
      <c r="I833" s="8">
        <v>38632</v>
      </c>
      <c r="J833" s="4">
        <v>79352</v>
      </c>
      <c r="K833" s="1">
        <v>0</v>
      </c>
      <c r="L833" t="s">
        <v>21</v>
      </c>
      <c r="M833" t="s">
        <v>22</v>
      </c>
      <c r="O833" s="5">
        <f t="shared" si="12"/>
        <v>0</v>
      </c>
      <c r="P833" s="6">
        <f>Table1[[#This Row],[Annual Salary]]+Table1[[#This Row],[Bonus Amount]]</f>
        <v>79352</v>
      </c>
      <c r="Q833" t="str">
        <f>IF(Table1[[#This Row],[Exit Date]]="", "Active","Exited")</f>
        <v>Active</v>
      </c>
      <c r="R833" s="2">
        <f ca="1">IFERROR(DATEDIF(Table1[[#This Row],[Hire Date]],IF(Table1[[#This Row],[Exit Date]]="",TODAY(),Table1[[#This Row],[Exit Date]]),"Y"),"")</f>
        <v>20</v>
      </c>
      <c r="S833" t="str" cm="1">
        <f t="array" ref="S833">_xlfn.IFS(Table1[[#This Row],[Age]]&lt;30,"Under 30",Table1[[#This Row],[Age]]&lt;=40,"30-40",Table1[[#This Row],[Age]]&lt;50,"41-50",TRUE,"50+")</f>
        <v>41-50</v>
      </c>
    </row>
    <row r="834" spans="1:19" x14ac:dyDescent="0.35">
      <c r="A834" t="s">
        <v>1677</v>
      </c>
      <c r="B834" t="s">
        <v>1678</v>
      </c>
      <c r="C834" t="s">
        <v>16</v>
      </c>
      <c r="D834" t="s">
        <v>80</v>
      </c>
      <c r="E834" t="s">
        <v>35</v>
      </c>
      <c r="F834" t="s">
        <v>19</v>
      </c>
      <c r="G834" t="s">
        <v>36</v>
      </c>
      <c r="H834" s="3">
        <v>55</v>
      </c>
      <c r="I834" s="8">
        <v>36977</v>
      </c>
      <c r="J834" s="4">
        <v>157812</v>
      </c>
      <c r="K834" s="1">
        <v>0.11</v>
      </c>
      <c r="L834" t="s">
        <v>21</v>
      </c>
      <c r="M834" t="s">
        <v>56</v>
      </c>
      <c r="O834" s="5">
        <f t="shared" si="12"/>
        <v>17359.32</v>
      </c>
      <c r="P834" s="6">
        <f>Table1[[#This Row],[Annual Salary]]+Table1[[#This Row],[Bonus Amount]]</f>
        <v>175171.32</v>
      </c>
      <c r="Q834" t="str">
        <f>IF(Table1[[#This Row],[Exit Date]]="", "Active","Exited")</f>
        <v>Active</v>
      </c>
      <c r="R834" s="2">
        <f ca="1">IFERROR(DATEDIF(Table1[[#This Row],[Hire Date]],IF(Table1[[#This Row],[Exit Date]]="",TODAY(),Table1[[#This Row],[Exit Date]]),"Y"),"")</f>
        <v>24</v>
      </c>
      <c r="S834" t="str" cm="1">
        <f t="array" ref="S834">_xlfn.IFS(Table1[[#This Row],[Age]]&lt;30,"Under 30",Table1[[#This Row],[Age]]&lt;=40,"30-40",Table1[[#This Row],[Age]]&lt;50,"41-50",TRUE,"50+")</f>
        <v>50+</v>
      </c>
    </row>
    <row r="835" spans="1:19" x14ac:dyDescent="0.35">
      <c r="A835" t="s">
        <v>1679</v>
      </c>
      <c r="B835" t="s">
        <v>1680</v>
      </c>
      <c r="C835" t="s">
        <v>108</v>
      </c>
      <c r="D835" t="s">
        <v>69</v>
      </c>
      <c r="E835" t="s">
        <v>49</v>
      </c>
      <c r="F835" t="s">
        <v>27</v>
      </c>
      <c r="G835" t="s">
        <v>36</v>
      </c>
      <c r="H835" s="3">
        <v>27</v>
      </c>
      <c r="I835" s="8">
        <v>43354</v>
      </c>
      <c r="J835" s="4">
        <v>80745</v>
      </c>
      <c r="K835" s="1">
        <v>0</v>
      </c>
      <c r="L835" t="s">
        <v>21</v>
      </c>
      <c r="M835" t="s">
        <v>37</v>
      </c>
      <c r="O835" s="5">
        <f t="shared" ref="O835:O898" si="13">J835*K835</f>
        <v>0</v>
      </c>
      <c r="P835" s="6">
        <f>Table1[[#This Row],[Annual Salary]]+Table1[[#This Row],[Bonus Amount]]</f>
        <v>80745</v>
      </c>
      <c r="Q835" t="str">
        <f>IF(Table1[[#This Row],[Exit Date]]="", "Active","Exited")</f>
        <v>Active</v>
      </c>
      <c r="R835" s="2">
        <f ca="1">IFERROR(DATEDIF(Table1[[#This Row],[Hire Date]],IF(Table1[[#This Row],[Exit Date]]="",TODAY(),Table1[[#This Row],[Exit Date]]),"Y"),"")</f>
        <v>7</v>
      </c>
      <c r="S835" t="str" cm="1">
        <f t="array" ref="S835">_xlfn.IFS(Table1[[#This Row],[Age]]&lt;30,"Under 30",Table1[[#This Row],[Age]]&lt;=40,"30-40",Table1[[#This Row],[Age]]&lt;50,"41-50",TRUE,"50+")</f>
        <v>Under 30</v>
      </c>
    </row>
    <row r="836" spans="1:19" x14ac:dyDescent="0.35">
      <c r="A836" t="s">
        <v>1681</v>
      </c>
      <c r="B836" t="s">
        <v>1682</v>
      </c>
      <c r="C836" t="s">
        <v>299</v>
      </c>
      <c r="D836" t="s">
        <v>17</v>
      </c>
      <c r="E836" t="s">
        <v>26</v>
      </c>
      <c r="F836" t="s">
        <v>19</v>
      </c>
      <c r="G836" t="s">
        <v>36</v>
      </c>
      <c r="H836" s="3">
        <v>57</v>
      </c>
      <c r="I836" s="8">
        <v>35113</v>
      </c>
      <c r="J836" s="4">
        <v>75354</v>
      </c>
      <c r="K836" s="1">
        <v>0</v>
      </c>
      <c r="L836" t="s">
        <v>21</v>
      </c>
      <c r="M836" t="s">
        <v>60</v>
      </c>
      <c r="N836" s="7">
        <v>35413</v>
      </c>
      <c r="O836" s="5">
        <f t="shared" si="13"/>
        <v>0</v>
      </c>
      <c r="P836" s="6">
        <f>Table1[[#This Row],[Annual Salary]]+Table1[[#This Row],[Bonus Amount]]</f>
        <v>75354</v>
      </c>
      <c r="Q836" t="str">
        <f>IF(Table1[[#This Row],[Exit Date]]="", "Active","Exited")</f>
        <v>Exited</v>
      </c>
      <c r="R836" s="2">
        <f ca="1">IFERROR(DATEDIF(Table1[[#This Row],[Hire Date]],IF(Table1[[#This Row],[Exit Date]]="",TODAY(),Table1[[#This Row],[Exit Date]]),"Y"),"")</f>
        <v>0</v>
      </c>
      <c r="S836" t="str" cm="1">
        <f t="array" ref="S836">_xlfn.IFS(Table1[[#This Row],[Age]]&lt;30,"Under 30",Table1[[#This Row],[Age]]&lt;=40,"30-40",Table1[[#This Row],[Age]]&lt;50,"41-50",TRUE,"50+")</f>
        <v>50+</v>
      </c>
    </row>
    <row r="837" spans="1:19" x14ac:dyDescent="0.35">
      <c r="A837" t="s">
        <v>1683</v>
      </c>
      <c r="B837" t="s">
        <v>1684</v>
      </c>
      <c r="C837" t="s">
        <v>113</v>
      </c>
      <c r="D837" t="s">
        <v>69</v>
      </c>
      <c r="E837" t="s">
        <v>18</v>
      </c>
      <c r="F837" t="s">
        <v>27</v>
      </c>
      <c r="G837" t="s">
        <v>85</v>
      </c>
      <c r="H837" s="3">
        <v>56</v>
      </c>
      <c r="I837" s="8">
        <v>43363</v>
      </c>
      <c r="J837" s="4">
        <v>78938</v>
      </c>
      <c r="K837" s="1">
        <v>0.14000000000000001</v>
      </c>
      <c r="L837" t="s">
        <v>21</v>
      </c>
      <c r="M837" t="s">
        <v>44</v>
      </c>
      <c r="O837" s="5">
        <f t="shared" si="13"/>
        <v>11051.320000000002</v>
      </c>
      <c r="P837" s="6">
        <f>Table1[[#This Row],[Annual Salary]]+Table1[[#This Row],[Bonus Amount]]</f>
        <v>89989.32</v>
      </c>
      <c r="Q837" t="str">
        <f>IF(Table1[[#This Row],[Exit Date]]="", "Active","Exited")</f>
        <v>Active</v>
      </c>
      <c r="R837" s="2">
        <f ca="1">IFERROR(DATEDIF(Table1[[#This Row],[Hire Date]],IF(Table1[[#This Row],[Exit Date]]="",TODAY(),Table1[[#This Row],[Exit Date]]),"Y"),"")</f>
        <v>7</v>
      </c>
      <c r="S837" t="str" cm="1">
        <f t="array" ref="S837">_xlfn.IFS(Table1[[#This Row],[Age]]&lt;30,"Under 30",Table1[[#This Row],[Age]]&lt;=40,"30-40",Table1[[#This Row],[Age]]&lt;50,"41-50",TRUE,"50+")</f>
        <v>50+</v>
      </c>
    </row>
    <row r="838" spans="1:19" x14ac:dyDescent="0.35">
      <c r="A838" t="s">
        <v>1685</v>
      </c>
      <c r="B838" t="s">
        <v>1686</v>
      </c>
      <c r="C838" t="s">
        <v>181</v>
      </c>
      <c r="D838" t="s">
        <v>69</v>
      </c>
      <c r="E838" t="s">
        <v>49</v>
      </c>
      <c r="F838" t="s">
        <v>27</v>
      </c>
      <c r="G838" t="s">
        <v>85</v>
      </c>
      <c r="H838" s="3">
        <v>59</v>
      </c>
      <c r="I838" s="8">
        <v>39701</v>
      </c>
      <c r="J838" s="4">
        <v>96313</v>
      </c>
      <c r="K838" s="1">
        <v>0</v>
      </c>
      <c r="L838" t="s">
        <v>21</v>
      </c>
      <c r="M838" t="s">
        <v>60</v>
      </c>
      <c r="O838" s="5">
        <f t="shared" si="13"/>
        <v>0</v>
      </c>
      <c r="P838" s="6">
        <f>Table1[[#This Row],[Annual Salary]]+Table1[[#This Row],[Bonus Amount]]</f>
        <v>96313</v>
      </c>
      <c r="Q838" t="str">
        <f>IF(Table1[[#This Row],[Exit Date]]="", "Active","Exited")</f>
        <v>Active</v>
      </c>
      <c r="R838" s="2">
        <f ca="1">IFERROR(DATEDIF(Table1[[#This Row],[Hire Date]],IF(Table1[[#This Row],[Exit Date]]="",TODAY(),Table1[[#This Row],[Exit Date]]),"Y"),"")</f>
        <v>17</v>
      </c>
      <c r="S838" t="str" cm="1">
        <f t="array" ref="S838">_xlfn.IFS(Table1[[#This Row],[Age]]&lt;30,"Under 30",Table1[[#This Row],[Age]]&lt;=40,"30-40",Table1[[#This Row],[Age]]&lt;50,"41-50",TRUE,"50+")</f>
        <v>50+</v>
      </c>
    </row>
    <row r="839" spans="1:19" x14ac:dyDescent="0.35">
      <c r="A839" t="s">
        <v>1687</v>
      </c>
      <c r="B839" t="s">
        <v>1688</v>
      </c>
      <c r="C839" t="s">
        <v>33</v>
      </c>
      <c r="D839" t="s">
        <v>69</v>
      </c>
      <c r="E839" t="s">
        <v>35</v>
      </c>
      <c r="F839" t="s">
        <v>27</v>
      </c>
      <c r="G839" t="s">
        <v>36</v>
      </c>
      <c r="H839" s="3">
        <v>45</v>
      </c>
      <c r="I839" s="8">
        <v>40511</v>
      </c>
      <c r="J839" s="4">
        <v>153767</v>
      </c>
      <c r="K839" s="1">
        <v>0.27</v>
      </c>
      <c r="L839" t="s">
        <v>21</v>
      </c>
      <c r="M839" t="s">
        <v>44</v>
      </c>
      <c r="O839" s="5">
        <f t="shared" si="13"/>
        <v>41517.090000000004</v>
      </c>
      <c r="P839" s="6">
        <f>Table1[[#This Row],[Annual Salary]]+Table1[[#This Row],[Bonus Amount]]</f>
        <v>195284.09</v>
      </c>
      <c r="Q839" t="str">
        <f>IF(Table1[[#This Row],[Exit Date]]="", "Active","Exited")</f>
        <v>Active</v>
      </c>
      <c r="R839" s="2">
        <f ca="1">IFERROR(DATEDIF(Table1[[#This Row],[Hire Date]],IF(Table1[[#This Row],[Exit Date]]="",TODAY(),Table1[[#This Row],[Exit Date]]),"Y"),"")</f>
        <v>15</v>
      </c>
      <c r="S839" t="str" cm="1">
        <f t="array" ref="S839">_xlfn.IFS(Table1[[#This Row],[Age]]&lt;30,"Under 30",Table1[[#This Row],[Age]]&lt;=40,"30-40",Table1[[#This Row],[Age]]&lt;50,"41-50",TRUE,"50+")</f>
        <v>41-50</v>
      </c>
    </row>
    <row r="840" spans="1:19" x14ac:dyDescent="0.35">
      <c r="A840" t="s">
        <v>1344</v>
      </c>
      <c r="B840" t="s">
        <v>1689</v>
      </c>
      <c r="C840" t="s">
        <v>52</v>
      </c>
      <c r="D840" t="s">
        <v>80</v>
      </c>
      <c r="E840" t="s">
        <v>18</v>
      </c>
      <c r="F840" t="s">
        <v>19</v>
      </c>
      <c r="G840" t="s">
        <v>20</v>
      </c>
      <c r="H840" s="3">
        <v>42</v>
      </c>
      <c r="I840" s="8">
        <v>42266</v>
      </c>
      <c r="J840" s="4">
        <v>103423</v>
      </c>
      <c r="K840" s="1">
        <v>0.06</v>
      </c>
      <c r="L840" t="s">
        <v>21</v>
      </c>
      <c r="M840" t="s">
        <v>88</v>
      </c>
      <c r="O840" s="5">
        <f t="shared" si="13"/>
        <v>6205.38</v>
      </c>
      <c r="P840" s="6">
        <f>Table1[[#This Row],[Annual Salary]]+Table1[[#This Row],[Bonus Amount]]</f>
        <v>109628.38</v>
      </c>
      <c r="Q840" t="str">
        <f>IF(Table1[[#This Row],[Exit Date]]="", "Active","Exited")</f>
        <v>Active</v>
      </c>
      <c r="R840" s="2">
        <f ca="1">IFERROR(DATEDIF(Table1[[#This Row],[Hire Date]],IF(Table1[[#This Row],[Exit Date]]="",TODAY(),Table1[[#This Row],[Exit Date]]),"Y"),"")</f>
        <v>10</v>
      </c>
      <c r="S840" t="str" cm="1">
        <f t="array" ref="S840">_xlfn.IFS(Table1[[#This Row],[Age]]&lt;30,"Under 30",Table1[[#This Row],[Age]]&lt;=40,"30-40",Table1[[#This Row],[Age]]&lt;50,"41-50",TRUE,"50+")</f>
        <v>41-50</v>
      </c>
    </row>
    <row r="841" spans="1:19" x14ac:dyDescent="0.35">
      <c r="A841" t="s">
        <v>1690</v>
      </c>
      <c r="B841" t="s">
        <v>1691</v>
      </c>
      <c r="C841" t="s">
        <v>68</v>
      </c>
      <c r="D841" t="s">
        <v>69</v>
      </c>
      <c r="E841" t="s">
        <v>49</v>
      </c>
      <c r="F841" t="s">
        <v>19</v>
      </c>
      <c r="G841" t="s">
        <v>28</v>
      </c>
      <c r="H841" s="3">
        <v>25</v>
      </c>
      <c r="I841" s="8">
        <v>44370</v>
      </c>
      <c r="J841" s="4">
        <v>86464</v>
      </c>
      <c r="K841" s="1">
        <v>0</v>
      </c>
      <c r="L841" t="s">
        <v>29</v>
      </c>
      <c r="M841" t="s">
        <v>74</v>
      </c>
      <c r="O841" s="5">
        <f t="shared" si="13"/>
        <v>0</v>
      </c>
      <c r="P841" s="6">
        <f>Table1[[#This Row],[Annual Salary]]+Table1[[#This Row],[Bonus Amount]]</f>
        <v>86464</v>
      </c>
      <c r="Q841" t="str">
        <f>IF(Table1[[#This Row],[Exit Date]]="", "Active","Exited")</f>
        <v>Active</v>
      </c>
      <c r="R841" s="2">
        <f ca="1">IFERROR(DATEDIF(Table1[[#This Row],[Hire Date]],IF(Table1[[#This Row],[Exit Date]]="",TODAY(),Table1[[#This Row],[Exit Date]]),"Y"),"")</f>
        <v>4</v>
      </c>
      <c r="S841" t="str" cm="1">
        <f t="array" ref="S841">_xlfn.IFS(Table1[[#This Row],[Age]]&lt;30,"Under 30",Table1[[#This Row],[Age]]&lt;=40,"30-40",Table1[[#This Row],[Age]]&lt;50,"41-50",TRUE,"50+")</f>
        <v>Under 30</v>
      </c>
    </row>
    <row r="842" spans="1:19" x14ac:dyDescent="0.35">
      <c r="A842" t="s">
        <v>1692</v>
      </c>
      <c r="B842" t="s">
        <v>1693</v>
      </c>
      <c r="C842" t="s">
        <v>68</v>
      </c>
      <c r="D842" t="s">
        <v>69</v>
      </c>
      <c r="E842" t="s">
        <v>49</v>
      </c>
      <c r="F842" t="s">
        <v>19</v>
      </c>
      <c r="G842" t="s">
        <v>85</v>
      </c>
      <c r="H842" s="3">
        <v>29</v>
      </c>
      <c r="I842" s="8">
        <v>43114</v>
      </c>
      <c r="J842" s="4">
        <v>80516</v>
      </c>
      <c r="K842" s="1">
        <v>0</v>
      </c>
      <c r="L842" t="s">
        <v>93</v>
      </c>
      <c r="M842" t="s">
        <v>218</v>
      </c>
      <c r="O842" s="5">
        <f t="shared" si="13"/>
        <v>0</v>
      </c>
      <c r="P842" s="6">
        <f>Table1[[#This Row],[Annual Salary]]+Table1[[#This Row],[Bonus Amount]]</f>
        <v>80516</v>
      </c>
      <c r="Q842" t="str">
        <f>IF(Table1[[#This Row],[Exit Date]]="", "Active","Exited")</f>
        <v>Active</v>
      </c>
      <c r="R842" s="2">
        <f ca="1">IFERROR(DATEDIF(Table1[[#This Row],[Hire Date]],IF(Table1[[#This Row],[Exit Date]]="",TODAY(),Table1[[#This Row],[Exit Date]]),"Y"),"")</f>
        <v>8</v>
      </c>
      <c r="S842" t="str" cm="1">
        <f t="array" ref="S842">_xlfn.IFS(Table1[[#This Row],[Age]]&lt;30,"Under 30",Table1[[#This Row],[Age]]&lt;=40,"30-40",Table1[[#This Row],[Age]]&lt;50,"41-50",TRUE,"50+")</f>
        <v>Under 30</v>
      </c>
    </row>
    <row r="843" spans="1:19" x14ac:dyDescent="0.35">
      <c r="A843" t="s">
        <v>1694</v>
      </c>
      <c r="B843" t="s">
        <v>1695</v>
      </c>
      <c r="C843" t="s">
        <v>52</v>
      </c>
      <c r="D843" t="s">
        <v>65</v>
      </c>
      <c r="E843" t="s">
        <v>35</v>
      </c>
      <c r="F843" t="s">
        <v>19</v>
      </c>
      <c r="G843" t="s">
        <v>20</v>
      </c>
      <c r="H843" s="3">
        <v>33</v>
      </c>
      <c r="I843" s="8">
        <v>41507</v>
      </c>
      <c r="J843" s="4">
        <v>105390</v>
      </c>
      <c r="K843" s="1">
        <v>0.06</v>
      </c>
      <c r="L843" t="s">
        <v>21</v>
      </c>
      <c r="M843" t="s">
        <v>88</v>
      </c>
      <c r="O843" s="5">
        <f t="shared" si="13"/>
        <v>6323.4</v>
      </c>
      <c r="P843" s="6">
        <f>Table1[[#This Row],[Annual Salary]]+Table1[[#This Row],[Bonus Amount]]</f>
        <v>111713.4</v>
      </c>
      <c r="Q843" t="str">
        <f>IF(Table1[[#This Row],[Exit Date]]="", "Active","Exited")</f>
        <v>Active</v>
      </c>
      <c r="R843" s="2">
        <f ca="1">IFERROR(DATEDIF(Table1[[#This Row],[Hire Date]],IF(Table1[[#This Row],[Exit Date]]="",TODAY(),Table1[[#This Row],[Exit Date]]),"Y"),"")</f>
        <v>12</v>
      </c>
      <c r="S843" t="str" cm="1">
        <f t="array" ref="S843">_xlfn.IFS(Table1[[#This Row],[Age]]&lt;30,"Under 30",Table1[[#This Row],[Age]]&lt;=40,"30-40",Table1[[#This Row],[Age]]&lt;50,"41-50",TRUE,"50+")</f>
        <v>30-40</v>
      </c>
    </row>
    <row r="844" spans="1:19" x14ac:dyDescent="0.35">
      <c r="A844" t="s">
        <v>1696</v>
      </c>
      <c r="B844" t="s">
        <v>1697</v>
      </c>
      <c r="C844" t="s">
        <v>207</v>
      </c>
      <c r="D844" t="s">
        <v>17</v>
      </c>
      <c r="E844" t="s">
        <v>26</v>
      </c>
      <c r="F844" t="s">
        <v>19</v>
      </c>
      <c r="G844" t="s">
        <v>28</v>
      </c>
      <c r="H844" s="3">
        <v>50</v>
      </c>
      <c r="I844" s="8">
        <v>44445</v>
      </c>
      <c r="J844" s="4">
        <v>83418</v>
      </c>
      <c r="K844" s="1">
        <v>0</v>
      </c>
      <c r="L844" t="s">
        <v>29</v>
      </c>
      <c r="M844" t="s">
        <v>74</v>
      </c>
      <c r="O844" s="5">
        <f t="shared" si="13"/>
        <v>0</v>
      </c>
      <c r="P844" s="6">
        <f>Table1[[#This Row],[Annual Salary]]+Table1[[#This Row],[Bonus Amount]]</f>
        <v>83418</v>
      </c>
      <c r="Q844" t="str">
        <f>IF(Table1[[#This Row],[Exit Date]]="", "Active","Exited")</f>
        <v>Active</v>
      </c>
      <c r="R844" s="2">
        <f ca="1">IFERROR(DATEDIF(Table1[[#This Row],[Hire Date]],IF(Table1[[#This Row],[Exit Date]]="",TODAY(),Table1[[#This Row],[Exit Date]]),"Y"),"")</f>
        <v>4</v>
      </c>
      <c r="S844" t="str" cm="1">
        <f t="array" ref="S844">_xlfn.IFS(Table1[[#This Row],[Age]]&lt;30,"Under 30",Table1[[#This Row],[Age]]&lt;=40,"30-40",Table1[[#This Row],[Age]]&lt;50,"41-50",TRUE,"50+")</f>
        <v>50+</v>
      </c>
    </row>
    <row r="845" spans="1:19" x14ac:dyDescent="0.35">
      <c r="A845" t="s">
        <v>1698</v>
      </c>
      <c r="B845" t="s">
        <v>1699</v>
      </c>
      <c r="C845" t="s">
        <v>372</v>
      </c>
      <c r="D845" t="s">
        <v>17</v>
      </c>
      <c r="E845" t="s">
        <v>35</v>
      </c>
      <c r="F845" t="s">
        <v>19</v>
      </c>
      <c r="G845" t="s">
        <v>36</v>
      </c>
      <c r="H845" s="3">
        <v>45</v>
      </c>
      <c r="I845" s="8">
        <v>43042</v>
      </c>
      <c r="J845" s="4">
        <v>66660</v>
      </c>
      <c r="K845" s="1">
        <v>0</v>
      </c>
      <c r="L845" t="s">
        <v>21</v>
      </c>
      <c r="M845" t="s">
        <v>60</v>
      </c>
      <c r="O845" s="5">
        <f t="shared" si="13"/>
        <v>0</v>
      </c>
      <c r="P845" s="6">
        <f>Table1[[#This Row],[Annual Salary]]+Table1[[#This Row],[Bonus Amount]]</f>
        <v>66660</v>
      </c>
      <c r="Q845" t="str">
        <f>IF(Table1[[#This Row],[Exit Date]]="", "Active","Exited")</f>
        <v>Active</v>
      </c>
      <c r="R845" s="2">
        <f ca="1">IFERROR(DATEDIF(Table1[[#This Row],[Hire Date]],IF(Table1[[#This Row],[Exit Date]]="",TODAY(),Table1[[#This Row],[Exit Date]]),"Y"),"")</f>
        <v>8</v>
      </c>
      <c r="S845" t="str" cm="1">
        <f t="array" ref="S845">_xlfn.IFS(Table1[[#This Row],[Age]]&lt;30,"Under 30",Table1[[#This Row],[Age]]&lt;=40,"30-40",Table1[[#This Row],[Age]]&lt;50,"41-50",TRUE,"50+")</f>
        <v>41-50</v>
      </c>
    </row>
    <row r="846" spans="1:19" x14ac:dyDescent="0.35">
      <c r="A846" t="s">
        <v>1270</v>
      </c>
      <c r="B846" t="s">
        <v>1700</v>
      </c>
      <c r="C846" t="s">
        <v>52</v>
      </c>
      <c r="D846" t="s">
        <v>65</v>
      </c>
      <c r="E846" t="s">
        <v>35</v>
      </c>
      <c r="F846" t="s">
        <v>27</v>
      </c>
      <c r="G846" t="s">
        <v>85</v>
      </c>
      <c r="H846" s="3">
        <v>59</v>
      </c>
      <c r="I846" s="8">
        <v>42165</v>
      </c>
      <c r="J846" s="4">
        <v>101985</v>
      </c>
      <c r="K846" s="1">
        <v>7.0000000000000007E-2</v>
      </c>
      <c r="L846" t="s">
        <v>21</v>
      </c>
      <c r="M846" t="s">
        <v>56</v>
      </c>
      <c r="O846" s="5">
        <f t="shared" si="13"/>
        <v>7138.9500000000007</v>
      </c>
      <c r="P846" s="6">
        <f>Table1[[#This Row],[Annual Salary]]+Table1[[#This Row],[Bonus Amount]]</f>
        <v>109123.95</v>
      </c>
      <c r="Q846" t="str">
        <f>IF(Table1[[#This Row],[Exit Date]]="", "Active","Exited")</f>
        <v>Active</v>
      </c>
      <c r="R846" s="2">
        <f ca="1">IFERROR(DATEDIF(Table1[[#This Row],[Hire Date]],IF(Table1[[#This Row],[Exit Date]]="",TODAY(),Table1[[#This Row],[Exit Date]]),"Y"),"")</f>
        <v>10</v>
      </c>
      <c r="S846" t="str" cm="1">
        <f t="array" ref="S846">_xlfn.IFS(Table1[[#This Row],[Age]]&lt;30,"Under 30",Table1[[#This Row],[Age]]&lt;=40,"30-40",Table1[[#This Row],[Age]]&lt;50,"41-50",TRUE,"50+")</f>
        <v>50+</v>
      </c>
    </row>
    <row r="847" spans="1:19" x14ac:dyDescent="0.35">
      <c r="A847" t="s">
        <v>1701</v>
      </c>
      <c r="B847" t="s">
        <v>1702</v>
      </c>
      <c r="C847" t="s">
        <v>79</v>
      </c>
      <c r="D847" t="s">
        <v>34</v>
      </c>
      <c r="E847" t="s">
        <v>49</v>
      </c>
      <c r="F847" t="s">
        <v>27</v>
      </c>
      <c r="G847" t="s">
        <v>85</v>
      </c>
      <c r="H847" s="3">
        <v>29</v>
      </c>
      <c r="I847" s="8">
        <v>43439</v>
      </c>
      <c r="J847" s="4">
        <v>199504</v>
      </c>
      <c r="K847" s="1">
        <v>0.3</v>
      </c>
      <c r="L847" t="s">
        <v>21</v>
      </c>
      <c r="M847" t="s">
        <v>60</v>
      </c>
      <c r="O847" s="5">
        <f t="shared" si="13"/>
        <v>59851.199999999997</v>
      </c>
      <c r="P847" s="6">
        <f>Table1[[#This Row],[Annual Salary]]+Table1[[#This Row],[Bonus Amount]]</f>
        <v>259355.2</v>
      </c>
      <c r="Q847" t="str">
        <f>IF(Table1[[#This Row],[Exit Date]]="", "Active","Exited")</f>
        <v>Active</v>
      </c>
      <c r="R847" s="2">
        <f ca="1">IFERROR(DATEDIF(Table1[[#This Row],[Hire Date]],IF(Table1[[#This Row],[Exit Date]]="",TODAY(),Table1[[#This Row],[Exit Date]]),"Y"),"")</f>
        <v>7</v>
      </c>
      <c r="S847" t="str" cm="1">
        <f t="array" ref="S847">_xlfn.IFS(Table1[[#This Row],[Age]]&lt;30,"Under 30",Table1[[#This Row],[Age]]&lt;=40,"30-40",Table1[[#This Row],[Age]]&lt;50,"41-50",TRUE,"50+")</f>
        <v>Under 30</v>
      </c>
    </row>
    <row r="848" spans="1:19" x14ac:dyDescent="0.35">
      <c r="A848" t="s">
        <v>1703</v>
      </c>
      <c r="B848" t="s">
        <v>1704</v>
      </c>
      <c r="C848" t="s">
        <v>16</v>
      </c>
      <c r="D848" t="s">
        <v>48</v>
      </c>
      <c r="E848" t="s">
        <v>49</v>
      </c>
      <c r="F848" t="s">
        <v>19</v>
      </c>
      <c r="G848" t="s">
        <v>85</v>
      </c>
      <c r="H848" s="3">
        <v>52</v>
      </c>
      <c r="I848" s="8">
        <v>38995</v>
      </c>
      <c r="J848" s="4">
        <v>147966</v>
      </c>
      <c r="K848" s="1">
        <v>0.11</v>
      </c>
      <c r="L848" t="s">
        <v>93</v>
      </c>
      <c r="M848" t="s">
        <v>99</v>
      </c>
      <c r="N848" s="7">
        <v>43608</v>
      </c>
      <c r="O848" s="5">
        <f t="shared" si="13"/>
        <v>16276.26</v>
      </c>
      <c r="P848" s="6">
        <f>Table1[[#This Row],[Annual Salary]]+Table1[[#This Row],[Bonus Amount]]</f>
        <v>164242.26</v>
      </c>
      <c r="Q848" t="str">
        <f>IF(Table1[[#This Row],[Exit Date]]="", "Active","Exited")</f>
        <v>Exited</v>
      </c>
      <c r="R848" s="2">
        <f ca="1">IFERROR(DATEDIF(Table1[[#This Row],[Hire Date]],IF(Table1[[#This Row],[Exit Date]]="",TODAY(),Table1[[#This Row],[Exit Date]]),"Y"),"")</f>
        <v>12</v>
      </c>
      <c r="S848" t="str" cm="1">
        <f t="array" ref="S848">_xlfn.IFS(Table1[[#This Row],[Age]]&lt;30,"Under 30",Table1[[#This Row],[Age]]&lt;=40,"30-40",Table1[[#This Row],[Age]]&lt;50,"41-50",TRUE,"50+")</f>
        <v>50+</v>
      </c>
    </row>
    <row r="849" spans="1:19" x14ac:dyDescent="0.35">
      <c r="A849" t="s">
        <v>284</v>
      </c>
      <c r="B849" t="s">
        <v>1705</v>
      </c>
      <c r="C849" t="s">
        <v>184</v>
      </c>
      <c r="D849" t="s">
        <v>65</v>
      </c>
      <c r="E849" t="s">
        <v>35</v>
      </c>
      <c r="F849" t="s">
        <v>27</v>
      </c>
      <c r="G849" t="s">
        <v>28</v>
      </c>
      <c r="H849" s="3">
        <v>58</v>
      </c>
      <c r="I849" s="8">
        <v>41810</v>
      </c>
      <c r="J849" s="4">
        <v>41728</v>
      </c>
      <c r="K849" s="1">
        <v>0</v>
      </c>
      <c r="L849" t="s">
        <v>29</v>
      </c>
      <c r="M849" t="s">
        <v>30</v>
      </c>
      <c r="O849" s="5">
        <f t="shared" si="13"/>
        <v>0</v>
      </c>
      <c r="P849" s="6">
        <f>Table1[[#This Row],[Annual Salary]]+Table1[[#This Row],[Bonus Amount]]</f>
        <v>41728</v>
      </c>
      <c r="Q849" t="str">
        <f>IF(Table1[[#This Row],[Exit Date]]="", "Active","Exited")</f>
        <v>Active</v>
      </c>
      <c r="R849" s="2">
        <f ca="1">IFERROR(DATEDIF(Table1[[#This Row],[Hire Date]],IF(Table1[[#This Row],[Exit Date]]="",TODAY(),Table1[[#This Row],[Exit Date]]),"Y"),"")</f>
        <v>11</v>
      </c>
      <c r="S849" t="str" cm="1">
        <f t="array" ref="S849">_xlfn.IFS(Table1[[#This Row],[Age]]&lt;30,"Under 30",Table1[[#This Row],[Age]]&lt;=40,"30-40",Table1[[#This Row],[Age]]&lt;50,"41-50",TRUE,"50+")</f>
        <v>50+</v>
      </c>
    </row>
    <row r="850" spans="1:19" x14ac:dyDescent="0.35">
      <c r="A850" t="s">
        <v>1453</v>
      </c>
      <c r="B850" t="s">
        <v>1706</v>
      </c>
      <c r="C850" t="s">
        <v>43</v>
      </c>
      <c r="D850" t="s">
        <v>59</v>
      </c>
      <c r="E850" t="s">
        <v>35</v>
      </c>
      <c r="F850" t="s">
        <v>27</v>
      </c>
      <c r="G850" t="s">
        <v>85</v>
      </c>
      <c r="H850" s="3">
        <v>62</v>
      </c>
      <c r="I850" s="8">
        <v>40591</v>
      </c>
      <c r="J850" s="4">
        <v>94422</v>
      </c>
      <c r="K850" s="1">
        <v>0</v>
      </c>
      <c r="L850" t="s">
        <v>21</v>
      </c>
      <c r="M850" t="s">
        <v>44</v>
      </c>
      <c r="O850" s="5">
        <f t="shared" si="13"/>
        <v>0</v>
      </c>
      <c r="P850" s="6">
        <f>Table1[[#This Row],[Annual Salary]]+Table1[[#This Row],[Bonus Amount]]</f>
        <v>94422</v>
      </c>
      <c r="Q850" t="str">
        <f>IF(Table1[[#This Row],[Exit Date]]="", "Active","Exited")</f>
        <v>Active</v>
      </c>
      <c r="R850" s="2">
        <f ca="1">IFERROR(DATEDIF(Table1[[#This Row],[Hire Date]],IF(Table1[[#This Row],[Exit Date]]="",TODAY(),Table1[[#This Row],[Exit Date]]),"Y"),"")</f>
        <v>15</v>
      </c>
      <c r="S850" t="str" cm="1">
        <f t="array" ref="S850">_xlfn.IFS(Table1[[#This Row],[Age]]&lt;30,"Under 30",Table1[[#This Row],[Age]]&lt;=40,"30-40",Table1[[#This Row],[Age]]&lt;50,"41-50",TRUE,"50+")</f>
        <v>50+</v>
      </c>
    </row>
    <row r="851" spans="1:19" x14ac:dyDescent="0.35">
      <c r="A851" t="s">
        <v>1707</v>
      </c>
      <c r="B851" t="s">
        <v>1708</v>
      </c>
      <c r="C851" t="s">
        <v>33</v>
      </c>
      <c r="D851" t="s">
        <v>48</v>
      </c>
      <c r="E851" t="s">
        <v>49</v>
      </c>
      <c r="F851" t="s">
        <v>27</v>
      </c>
      <c r="G851" t="s">
        <v>28</v>
      </c>
      <c r="H851" s="3">
        <v>31</v>
      </c>
      <c r="I851" s="8">
        <v>42184</v>
      </c>
      <c r="J851" s="4">
        <v>191026</v>
      </c>
      <c r="K851" s="1">
        <v>0.16</v>
      </c>
      <c r="L851" t="s">
        <v>21</v>
      </c>
      <c r="M851" t="s">
        <v>88</v>
      </c>
      <c r="O851" s="5">
        <f t="shared" si="13"/>
        <v>30564.16</v>
      </c>
      <c r="P851" s="6">
        <f>Table1[[#This Row],[Annual Salary]]+Table1[[#This Row],[Bonus Amount]]</f>
        <v>221590.16</v>
      </c>
      <c r="Q851" t="str">
        <f>IF(Table1[[#This Row],[Exit Date]]="", "Active","Exited")</f>
        <v>Active</v>
      </c>
      <c r="R851" s="2">
        <f ca="1">IFERROR(DATEDIF(Table1[[#This Row],[Hire Date]],IF(Table1[[#This Row],[Exit Date]]="",TODAY(),Table1[[#This Row],[Exit Date]]),"Y"),"")</f>
        <v>10</v>
      </c>
      <c r="S851" t="str" cm="1">
        <f t="array" ref="S851">_xlfn.IFS(Table1[[#This Row],[Age]]&lt;30,"Under 30",Table1[[#This Row],[Age]]&lt;=40,"30-40",Table1[[#This Row],[Age]]&lt;50,"41-50",TRUE,"50+")</f>
        <v>30-40</v>
      </c>
    </row>
    <row r="852" spans="1:19" x14ac:dyDescent="0.35">
      <c r="A852" t="s">
        <v>1709</v>
      </c>
      <c r="B852" t="s">
        <v>1710</v>
      </c>
      <c r="C852" t="s">
        <v>79</v>
      </c>
      <c r="D852" t="s">
        <v>17</v>
      </c>
      <c r="E852" t="s">
        <v>18</v>
      </c>
      <c r="F852" t="s">
        <v>27</v>
      </c>
      <c r="G852" t="s">
        <v>85</v>
      </c>
      <c r="H852" s="3">
        <v>42</v>
      </c>
      <c r="I852" s="8">
        <v>40511</v>
      </c>
      <c r="J852" s="4">
        <v>186725</v>
      </c>
      <c r="K852" s="1">
        <v>0.32</v>
      </c>
      <c r="L852" t="s">
        <v>93</v>
      </c>
      <c r="M852" t="s">
        <v>94</v>
      </c>
      <c r="O852" s="5">
        <f t="shared" si="13"/>
        <v>59752</v>
      </c>
      <c r="P852" s="6">
        <f>Table1[[#This Row],[Annual Salary]]+Table1[[#This Row],[Bonus Amount]]</f>
        <v>246477</v>
      </c>
      <c r="Q852" t="str">
        <f>IF(Table1[[#This Row],[Exit Date]]="", "Active","Exited")</f>
        <v>Active</v>
      </c>
      <c r="R852" s="2">
        <f ca="1">IFERROR(DATEDIF(Table1[[#This Row],[Hire Date]],IF(Table1[[#This Row],[Exit Date]]="",TODAY(),Table1[[#This Row],[Exit Date]]),"Y"),"")</f>
        <v>15</v>
      </c>
      <c r="S852" t="str" cm="1">
        <f t="array" ref="S852">_xlfn.IFS(Table1[[#This Row],[Age]]&lt;30,"Under 30",Table1[[#This Row],[Age]]&lt;=40,"30-40",Table1[[#This Row],[Age]]&lt;50,"41-50",TRUE,"50+")</f>
        <v>41-50</v>
      </c>
    </row>
    <row r="853" spans="1:19" x14ac:dyDescent="0.35">
      <c r="A853" t="s">
        <v>1711</v>
      </c>
      <c r="B853" t="s">
        <v>1712</v>
      </c>
      <c r="C853" t="s">
        <v>184</v>
      </c>
      <c r="D853" t="s">
        <v>65</v>
      </c>
      <c r="E853" t="s">
        <v>18</v>
      </c>
      <c r="F853" t="s">
        <v>19</v>
      </c>
      <c r="G853" t="s">
        <v>36</v>
      </c>
      <c r="H853" s="3">
        <v>56</v>
      </c>
      <c r="I853" s="8">
        <v>40045</v>
      </c>
      <c r="J853" s="4">
        <v>52800</v>
      </c>
      <c r="K853" s="1">
        <v>0</v>
      </c>
      <c r="L853" t="s">
        <v>21</v>
      </c>
      <c r="M853" t="s">
        <v>44</v>
      </c>
      <c r="O853" s="5">
        <f t="shared" si="13"/>
        <v>0</v>
      </c>
      <c r="P853" s="6">
        <f>Table1[[#This Row],[Annual Salary]]+Table1[[#This Row],[Bonus Amount]]</f>
        <v>52800</v>
      </c>
      <c r="Q853" t="str">
        <f>IF(Table1[[#This Row],[Exit Date]]="", "Active","Exited")</f>
        <v>Active</v>
      </c>
      <c r="R853" s="2">
        <f ca="1">IFERROR(DATEDIF(Table1[[#This Row],[Hire Date]],IF(Table1[[#This Row],[Exit Date]]="",TODAY(),Table1[[#This Row],[Exit Date]]),"Y"),"")</f>
        <v>16</v>
      </c>
      <c r="S853" t="str" cm="1">
        <f t="array" ref="S853">_xlfn.IFS(Table1[[#This Row],[Age]]&lt;30,"Under 30",Table1[[#This Row],[Age]]&lt;=40,"30-40",Table1[[#This Row],[Age]]&lt;50,"41-50",TRUE,"50+")</f>
        <v>50+</v>
      </c>
    </row>
    <row r="854" spans="1:19" x14ac:dyDescent="0.35">
      <c r="A854" t="s">
        <v>1713</v>
      </c>
      <c r="B854" t="s">
        <v>1714</v>
      </c>
      <c r="C854" t="s">
        <v>181</v>
      </c>
      <c r="D854" t="s">
        <v>69</v>
      </c>
      <c r="E854" t="s">
        <v>35</v>
      </c>
      <c r="F854" t="s">
        <v>27</v>
      </c>
      <c r="G854" t="s">
        <v>36</v>
      </c>
      <c r="H854" s="3">
        <v>54</v>
      </c>
      <c r="I854" s="8">
        <v>40517</v>
      </c>
      <c r="J854" s="4">
        <v>113982</v>
      </c>
      <c r="K854" s="1">
        <v>0</v>
      </c>
      <c r="L854" t="s">
        <v>21</v>
      </c>
      <c r="M854" t="s">
        <v>22</v>
      </c>
      <c r="O854" s="5">
        <f t="shared" si="13"/>
        <v>0</v>
      </c>
      <c r="P854" s="6">
        <f>Table1[[#This Row],[Annual Salary]]+Table1[[#This Row],[Bonus Amount]]</f>
        <v>113982</v>
      </c>
      <c r="Q854" t="str">
        <f>IF(Table1[[#This Row],[Exit Date]]="", "Active","Exited")</f>
        <v>Active</v>
      </c>
      <c r="R854" s="2">
        <f ca="1">IFERROR(DATEDIF(Table1[[#This Row],[Hire Date]],IF(Table1[[#This Row],[Exit Date]]="",TODAY(),Table1[[#This Row],[Exit Date]]),"Y"),"")</f>
        <v>15</v>
      </c>
      <c r="S854" t="str" cm="1">
        <f t="array" ref="S854">_xlfn.IFS(Table1[[#This Row],[Age]]&lt;30,"Under 30",Table1[[#This Row],[Age]]&lt;=40,"30-40",Table1[[#This Row],[Age]]&lt;50,"41-50",TRUE,"50+")</f>
        <v>50+</v>
      </c>
    </row>
    <row r="855" spans="1:19" x14ac:dyDescent="0.35">
      <c r="A855" t="s">
        <v>1715</v>
      </c>
      <c r="B855" t="s">
        <v>1716</v>
      </c>
      <c r="C855" t="s">
        <v>47</v>
      </c>
      <c r="D855" t="s">
        <v>48</v>
      </c>
      <c r="E855" t="s">
        <v>18</v>
      </c>
      <c r="F855" t="s">
        <v>19</v>
      </c>
      <c r="G855" t="s">
        <v>28</v>
      </c>
      <c r="H855" s="3">
        <v>54</v>
      </c>
      <c r="I855" s="8">
        <v>44271</v>
      </c>
      <c r="J855" s="4">
        <v>56239</v>
      </c>
      <c r="K855" s="1">
        <v>0</v>
      </c>
      <c r="L855" t="s">
        <v>29</v>
      </c>
      <c r="M855" t="s">
        <v>30</v>
      </c>
      <c r="O855" s="5">
        <f t="shared" si="13"/>
        <v>0</v>
      </c>
      <c r="P855" s="6">
        <f>Table1[[#This Row],[Annual Salary]]+Table1[[#This Row],[Bonus Amount]]</f>
        <v>56239</v>
      </c>
      <c r="Q855" t="str">
        <f>IF(Table1[[#This Row],[Exit Date]]="", "Active","Exited")</f>
        <v>Active</v>
      </c>
      <c r="R855" s="2">
        <f ca="1">IFERROR(DATEDIF(Table1[[#This Row],[Hire Date]],IF(Table1[[#This Row],[Exit Date]]="",TODAY(),Table1[[#This Row],[Exit Date]]),"Y"),"")</f>
        <v>5</v>
      </c>
      <c r="S855" t="str" cm="1">
        <f t="array" ref="S855">_xlfn.IFS(Table1[[#This Row],[Age]]&lt;30,"Under 30",Table1[[#This Row],[Age]]&lt;=40,"30-40",Table1[[#This Row],[Age]]&lt;50,"41-50",TRUE,"50+")</f>
        <v>50+</v>
      </c>
    </row>
    <row r="856" spans="1:19" x14ac:dyDescent="0.35">
      <c r="A856" t="s">
        <v>418</v>
      </c>
      <c r="B856" t="s">
        <v>1717</v>
      </c>
      <c r="C856" t="s">
        <v>55</v>
      </c>
      <c r="D856" t="s">
        <v>48</v>
      </c>
      <c r="E856" t="s">
        <v>26</v>
      </c>
      <c r="F856" t="s">
        <v>27</v>
      </c>
      <c r="G856" t="s">
        <v>85</v>
      </c>
      <c r="H856" s="3">
        <v>26</v>
      </c>
      <c r="I856" s="8">
        <v>44257</v>
      </c>
      <c r="J856" s="4">
        <v>44732</v>
      </c>
      <c r="K856" s="1">
        <v>0</v>
      </c>
      <c r="L856" t="s">
        <v>93</v>
      </c>
      <c r="M856" t="s">
        <v>99</v>
      </c>
      <c r="O856" s="5">
        <f t="shared" si="13"/>
        <v>0</v>
      </c>
      <c r="P856" s="6">
        <f>Table1[[#This Row],[Annual Salary]]+Table1[[#This Row],[Bonus Amount]]</f>
        <v>44732</v>
      </c>
      <c r="Q856" t="str">
        <f>IF(Table1[[#This Row],[Exit Date]]="", "Active","Exited")</f>
        <v>Active</v>
      </c>
      <c r="R856" s="2">
        <f ca="1">IFERROR(DATEDIF(Table1[[#This Row],[Hire Date]],IF(Table1[[#This Row],[Exit Date]]="",TODAY(),Table1[[#This Row],[Exit Date]]),"Y"),"")</f>
        <v>5</v>
      </c>
      <c r="S856" t="str" cm="1">
        <f t="array" ref="S856">_xlfn.IFS(Table1[[#This Row],[Age]]&lt;30,"Under 30",Table1[[#This Row],[Age]]&lt;=40,"30-40",Table1[[#This Row],[Age]]&lt;50,"41-50",TRUE,"50+")</f>
        <v>Under 30</v>
      </c>
    </row>
    <row r="857" spans="1:19" x14ac:dyDescent="0.35">
      <c r="A857" t="s">
        <v>1718</v>
      </c>
      <c r="B857" t="s">
        <v>1719</v>
      </c>
      <c r="C857" t="s">
        <v>33</v>
      </c>
      <c r="D857" t="s">
        <v>80</v>
      </c>
      <c r="E857" t="s">
        <v>49</v>
      </c>
      <c r="F857" t="s">
        <v>27</v>
      </c>
      <c r="G857" t="s">
        <v>28</v>
      </c>
      <c r="H857" s="3">
        <v>49</v>
      </c>
      <c r="I857" s="8">
        <v>41816</v>
      </c>
      <c r="J857" s="4">
        <v>153961</v>
      </c>
      <c r="K857" s="1">
        <v>0.25</v>
      </c>
      <c r="L857" t="s">
        <v>29</v>
      </c>
      <c r="M857" t="s">
        <v>74</v>
      </c>
      <c r="O857" s="5">
        <f t="shared" si="13"/>
        <v>38490.25</v>
      </c>
      <c r="P857" s="6">
        <f>Table1[[#This Row],[Annual Salary]]+Table1[[#This Row],[Bonus Amount]]</f>
        <v>192451.25</v>
      </c>
      <c r="Q857" t="str">
        <f>IF(Table1[[#This Row],[Exit Date]]="", "Active","Exited")</f>
        <v>Active</v>
      </c>
      <c r="R857" s="2">
        <f ca="1">IFERROR(DATEDIF(Table1[[#This Row],[Hire Date]],IF(Table1[[#This Row],[Exit Date]]="",TODAY(),Table1[[#This Row],[Exit Date]]),"Y"),"")</f>
        <v>11</v>
      </c>
      <c r="S857" t="str" cm="1">
        <f t="array" ref="S857">_xlfn.IFS(Table1[[#This Row],[Age]]&lt;30,"Under 30",Table1[[#This Row],[Age]]&lt;=40,"30-40",Table1[[#This Row],[Age]]&lt;50,"41-50",TRUE,"50+")</f>
        <v>41-50</v>
      </c>
    </row>
    <row r="858" spans="1:19" x14ac:dyDescent="0.35">
      <c r="A858" t="s">
        <v>1208</v>
      </c>
      <c r="B858" t="s">
        <v>1720</v>
      </c>
      <c r="C858" t="s">
        <v>248</v>
      </c>
      <c r="D858" t="s">
        <v>17</v>
      </c>
      <c r="E858" t="s">
        <v>35</v>
      </c>
      <c r="F858" t="s">
        <v>19</v>
      </c>
      <c r="G858" t="s">
        <v>28</v>
      </c>
      <c r="H858" s="3">
        <v>45</v>
      </c>
      <c r="I858" s="8">
        <v>39069</v>
      </c>
      <c r="J858" s="4">
        <v>68337</v>
      </c>
      <c r="K858" s="1">
        <v>0</v>
      </c>
      <c r="L858" t="s">
        <v>29</v>
      </c>
      <c r="M858" t="s">
        <v>30</v>
      </c>
      <c r="O858" s="5">
        <f t="shared" si="13"/>
        <v>0</v>
      </c>
      <c r="P858" s="6">
        <f>Table1[[#This Row],[Annual Salary]]+Table1[[#This Row],[Bonus Amount]]</f>
        <v>68337</v>
      </c>
      <c r="Q858" t="str">
        <f>IF(Table1[[#This Row],[Exit Date]]="", "Active","Exited")</f>
        <v>Active</v>
      </c>
      <c r="R858" s="2">
        <f ca="1">IFERROR(DATEDIF(Table1[[#This Row],[Hire Date]],IF(Table1[[#This Row],[Exit Date]]="",TODAY(),Table1[[#This Row],[Exit Date]]),"Y"),"")</f>
        <v>19</v>
      </c>
      <c r="S858" t="str" cm="1">
        <f t="array" ref="S858">_xlfn.IFS(Table1[[#This Row],[Age]]&lt;30,"Under 30",Table1[[#This Row],[Age]]&lt;=40,"30-40",Table1[[#This Row],[Age]]&lt;50,"41-50",TRUE,"50+")</f>
        <v>41-50</v>
      </c>
    </row>
    <row r="859" spans="1:19" x14ac:dyDescent="0.35">
      <c r="A859" t="s">
        <v>1721</v>
      </c>
      <c r="B859" t="s">
        <v>1722</v>
      </c>
      <c r="C859" t="s">
        <v>16</v>
      </c>
      <c r="D859" t="s">
        <v>65</v>
      </c>
      <c r="E859" t="s">
        <v>49</v>
      </c>
      <c r="F859" t="s">
        <v>27</v>
      </c>
      <c r="G859" t="s">
        <v>28</v>
      </c>
      <c r="H859" s="3">
        <v>45</v>
      </c>
      <c r="I859" s="8">
        <v>40305</v>
      </c>
      <c r="J859" s="4">
        <v>145093</v>
      </c>
      <c r="K859" s="1">
        <v>0.12</v>
      </c>
      <c r="L859" t="s">
        <v>21</v>
      </c>
      <c r="M859" t="s">
        <v>37</v>
      </c>
      <c r="O859" s="5">
        <f t="shared" si="13"/>
        <v>17411.16</v>
      </c>
      <c r="P859" s="6">
        <f>Table1[[#This Row],[Annual Salary]]+Table1[[#This Row],[Bonus Amount]]</f>
        <v>162504.16</v>
      </c>
      <c r="Q859" t="str">
        <f>IF(Table1[[#This Row],[Exit Date]]="", "Active","Exited")</f>
        <v>Active</v>
      </c>
      <c r="R859" s="2">
        <f ca="1">IFERROR(DATEDIF(Table1[[#This Row],[Hire Date]],IF(Table1[[#This Row],[Exit Date]]="",TODAY(),Table1[[#This Row],[Exit Date]]),"Y"),"")</f>
        <v>15</v>
      </c>
      <c r="S859" t="str" cm="1">
        <f t="array" ref="S859">_xlfn.IFS(Table1[[#This Row],[Age]]&lt;30,"Under 30",Table1[[#This Row],[Age]]&lt;=40,"30-40",Table1[[#This Row],[Age]]&lt;50,"41-50",TRUE,"50+")</f>
        <v>41-50</v>
      </c>
    </row>
    <row r="860" spans="1:19" x14ac:dyDescent="0.35">
      <c r="A860" t="s">
        <v>1723</v>
      </c>
      <c r="B860" t="s">
        <v>1724</v>
      </c>
      <c r="C860" t="s">
        <v>442</v>
      </c>
      <c r="D860" t="s">
        <v>17</v>
      </c>
      <c r="E860" t="s">
        <v>35</v>
      </c>
      <c r="F860" t="s">
        <v>19</v>
      </c>
      <c r="G860" t="s">
        <v>36</v>
      </c>
      <c r="H860" s="3">
        <v>26</v>
      </c>
      <c r="I860" s="8">
        <v>44266</v>
      </c>
      <c r="J860" s="4">
        <v>74170</v>
      </c>
      <c r="K860" s="1">
        <v>0</v>
      </c>
      <c r="L860" t="s">
        <v>21</v>
      </c>
      <c r="M860" t="s">
        <v>60</v>
      </c>
      <c r="O860" s="5">
        <f t="shared" si="13"/>
        <v>0</v>
      </c>
      <c r="P860" s="6">
        <f>Table1[[#This Row],[Annual Salary]]+Table1[[#This Row],[Bonus Amount]]</f>
        <v>74170</v>
      </c>
      <c r="Q860" t="str">
        <f>IF(Table1[[#This Row],[Exit Date]]="", "Active","Exited")</f>
        <v>Active</v>
      </c>
      <c r="R860" s="2">
        <f ca="1">IFERROR(DATEDIF(Table1[[#This Row],[Hire Date]],IF(Table1[[#This Row],[Exit Date]]="",TODAY(),Table1[[#This Row],[Exit Date]]),"Y"),"")</f>
        <v>5</v>
      </c>
      <c r="S860" t="str" cm="1">
        <f t="array" ref="S860">_xlfn.IFS(Table1[[#This Row],[Age]]&lt;30,"Under 30",Table1[[#This Row],[Age]]&lt;=40,"30-40",Table1[[#This Row],[Age]]&lt;50,"41-50",TRUE,"50+")</f>
        <v>Under 30</v>
      </c>
    </row>
    <row r="861" spans="1:19" x14ac:dyDescent="0.35">
      <c r="A861" t="s">
        <v>1725</v>
      </c>
      <c r="B861" t="s">
        <v>1726</v>
      </c>
      <c r="C861" t="s">
        <v>175</v>
      </c>
      <c r="D861" t="s">
        <v>69</v>
      </c>
      <c r="E861" t="s">
        <v>18</v>
      </c>
      <c r="F861" t="s">
        <v>27</v>
      </c>
      <c r="G861" t="s">
        <v>36</v>
      </c>
      <c r="H861" s="3">
        <v>59</v>
      </c>
      <c r="I861" s="8">
        <v>35153</v>
      </c>
      <c r="J861" s="4">
        <v>62605</v>
      </c>
      <c r="K861" s="1">
        <v>0</v>
      </c>
      <c r="L861" t="s">
        <v>21</v>
      </c>
      <c r="M861" t="s">
        <v>60</v>
      </c>
      <c r="O861" s="5">
        <f t="shared" si="13"/>
        <v>0</v>
      </c>
      <c r="P861" s="6">
        <f>Table1[[#This Row],[Annual Salary]]+Table1[[#This Row],[Bonus Amount]]</f>
        <v>62605</v>
      </c>
      <c r="Q861" t="str">
        <f>IF(Table1[[#This Row],[Exit Date]]="", "Active","Exited")</f>
        <v>Active</v>
      </c>
      <c r="R861" s="2">
        <f ca="1">IFERROR(DATEDIF(Table1[[#This Row],[Hire Date]],IF(Table1[[#This Row],[Exit Date]]="",TODAY(),Table1[[#This Row],[Exit Date]]),"Y"),"")</f>
        <v>29</v>
      </c>
      <c r="S861" t="str" cm="1">
        <f t="array" ref="S861">_xlfn.IFS(Table1[[#This Row],[Age]]&lt;30,"Under 30",Table1[[#This Row],[Age]]&lt;=40,"30-40",Table1[[#This Row],[Age]]&lt;50,"41-50",TRUE,"50+")</f>
        <v>50+</v>
      </c>
    </row>
    <row r="862" spans="1:19" x14ac:dyDescent="0.35">
      <c r="A862" t="s">
        <v>1727</v>
      </c>
      <c r="B862" t="s">
        <v>1728</v>
      </c>
      <c r="C862" t="s">
        <v>52</v>
      </c>
      <c r="D862" t="s">
        <v>17</v>
      </c>
      <c r="E862" t="s">
        <v>35</v>
      </c>
      <c r="F862" t="s">
        <v>19</v>
      </c>
      <c r="G862" t="s">
        <v>36</v>
      </c>
      <c r="H862" s="3">
        <v>51</v>
      </c>
      <c r="I862" s="8">
        <v>43903</v>
      </c>
      <c r="J862" s="4">
        <v>107195</v>
      </c>
      <c r="K862" s="1">
        <v>0.09</v>
      </c>
      <c r="L862" t="s">
        <v>21</v>
      </c>
      <c r="M862" t="s">
        <v>60</v>
      </c>
      <c r="O862" s="5">
        <f t="shared" si="13"/>
        <v>9647.5499999999993</v>
      </c>
      <c r="P862" s="6">
        <f>Table1[[#This Row],[Annual Salary]]+Table1[[#This Row],[Bonus Amount]]</f>
        <v>116842.55</v>
      </c>
      <c r="Q862" t="str">
        <f>IF(Table1[[#This Row],[Exit Date]]="", "Active","Exited")</f>
        <v>Active</v>
      </c>
      <c r="R862" s="2">
        <f ca="1">IFERROR(DATEDIF(Table1[[#This Row],[Hire Date]],IF(Table1[[#This Row],[Exit Date]]="",TODAY(),Table1[[#This Row],[Exit Date]]),"Y"),"")</f>
        <v>6</v>
      </c>
      <c r="S862" t="str" cm="1">
        <f t="array" ref="S862">_xlfn.IFS(Table1[[#This Row],[Age]]&lt;30,"Under 30",Table1[[#This Row],[Age]]&lt;=40,"30-40",Table1[[#This Row],[Age]]&lt;50,"41-50",TRUE,"50+")</f>
        <v>50+</v>
      </c>
    </row>
    <row r="863" spans="1:19" x14ac:dyDescent="0.35">
      <c r="A863" t="s">
        <v>1642</v>
      </c>
      <c r="B863" t="s">
        <v>1729</v>
      </c>
      <c r="C863" t="s">
        <v>16</v>
      </c>
      <c r="D863" t="s">
        <v>80</v>
      </c>
      <c r="E863" t="s">
        <v>35</v>
      </c>
      <c r="F863" t="s">
        <v>27</v>
      </c>
      <c r="G863" t="s">
        <v>36</v>
      </c>
      <c r="H863" s="3">
        <v>45</v>
      </c>
      <c r="I863" s="8">
        <v>43111</v>
      </c>
      <c r="J863" s="4">
        <v>127422</v>
      </c>
      <c r="K863" s="1">
        <v>0.15</v>
      </c>
      <c r="L863" t="s">
        <v>21</v>
      </c>
      <c r="M863" t="s">
        <v>88</v>
      </c>
      <c r="O863" s="5">
        <f t="shared" si="13"/>
        <v>19113.3</v>
      </c>
      <c r="P863" s="6">
        <f>Table1[[#This Row],[Annual Salary]]+Table1[[#This Row],[Bonus Amount]]</f>
        <v>146535.29999999999</v>
      </c>
      <c r="Q863" t="str">
        <f>IF(Table1[[#This Row],[Exit Date]]="", "Active","Exited")</f>
        <v>Active</v>
      </c>
      <c r="R863" s="2">
        <f ca="1">IFERROR(DATEDIF(Table1[[#This Row],[Hire Date]],IF(Table1[[#This Row],[Exit Date]]="",TODAY(),Table1[[#This Row],[Exit Date]]),"Y"),"")</f>
        <v>8</v>
      </c>
      <c r="S863" t="str" cm="1">
        <f t="array" ref="S863">_xlfn.IFS(Table1[[#This Row],[Age]]&lt;30,"Under 30",Table1[[#This Row],[Age]]&lt;=40,"30-40",Table1[[#This Row],[Age]]&lt;50,"41-50",TRUE,"50+")</f>
        <v>41-50</v>
      </c>
    </row>
    <row r="864" spans="1:19" x14ac:dyDescent="0.35">
      <c r="A864" t="s">
        <v>1730</v>
      </c>
      <c r="B864" t="s">
        <v>1731</v>
      </c>
      <c r="C864" t="s">
        <v>33</v>
      </c>
      <c r="D864" t="s">
        <v>59</v>
      </c>
      <c r="E864" t="s">
        <v>18</v>
      </c>
      <c r="F864" t="s">
        <v>19</v>
      </c>
      <c r="G864" t="s">
        <v>36</v>
      </c>
      <c r="H864" s="3">
        <v>35</v>
      </c>
      <c r="I864" s="8">
        <v>42912</v>
      </c>
      <c r="J864" s="4">
        <v>161269</v>
      </c>
      <c r="K864" s="1">
        <v>0.27</v>
      </c>
      <c r="L864" t="s">
        <v>21</v>
      </c>
      <c r="M864" t="s">
        <v>56</v>
      </c>
      <c r="O864" s="5">
        <f t="shared" si="13"/>
        <v>43542.630000000005</v>
      </c>
      <c r="P864" s="6">
        <f>Table1[[#This Row],[Annual Salary]]+Table1[[#This Row],[Bonus Amount]]</f>
        <v>204811.63</v>
      </c>
      <c r="Q864" t="str">
        <f>IF(Table1[[#This Row],[Exit Date]]="", "Active","Exited")</f>
        <v>Active</v>
      </c>
      <c r="R864" s="2">
        <f ca="1">IFERROR(DATEDIF(Table1[[#This Row],[Hire Date]],IF(Table1[[#This Row],[Exit Date]]="",TODAY(),Table1[[#This Row],[Exit Date]]),"Y"),"")</f>
        <v>8</v>
      </c>
      <c r="S864" t="str" cm="1">
        <f t="array" ref="S864">_xlfn.IFS(Table1[[#This Row],[Age]]&lt;30,"Under 30",Table1[[#This Row],[Age]]&lt;=40,"30-40",Table1[[#This Row],[Age]]&lt;50,"41-50",TRUE,"50+")</f>
        <v>30-40</v>
      </c>
    </row>
    <row r="865" spans="1:19" x14ac:dyDescent="0.35">
      <c r="A865" t="s">
        <v>1732</v>
      </c>
      <c r="B865" t="s">
        <v>1733</v>
      </c>
      <c r="C865" t="s">
        <v>79</v>
      </c>
      <c r="D865" t="s">
        <v>80</v>
      </c>
      <c r="E865" t="s">
        <v>49</v>
      </c>
      <c r="F865" t="s">
        <v>19</v>
      </c>
      <c r="G865" t="s">
        <v>85</v>
      </c>
      <c r="H865" s="3">
        <v>32</v>
      </c>
      <c r="I865" s="8">
        <v>41675</v>
      </c>
      <c r="J865" s="4">
        <v>203445</v>
      </c>
      <c r="K865" s="1">
        <v>0.34</v>
      </c>
      <c r="L865" t="s">
        <v>93</v>
      </c>
      <c r="M865" t="s">
        <v>94</v>
      </c>
      <c r="O865" s="5">
        <f t="shared" si="13"/>
        <v>69171.3</v>
      </c>
      <c r="P865" s="6">
        <f>Table1[[#This Row],[Annual Salary]]+Table1[[#This Row],[Bonus Amount]]</f>
        <v>272616.3</v>
      </c>
      <c r="Q865" t="str">
        <f>IF(Table1[[#This Row],[Exit Date]]="", "Active","Exited")</f>
        <v>Active</v>
      </c>
      <c r="R865" s="2">
        <f ca="1">IFERROR(DATEDIF(Table1[[#This Row],[Hire Date]],IF(Table1[[#This Row],[Exit Date]]="",TODAY(),Table1[[#This Row],[Exit Date]]),"Y"),"")</f>
        <v>12</v>
      </c>
      <c r="S865" t="str" cm="1">
        <f t="array" ref="S865">_xlfn.IFS(Table1[[#This Row],[Age]]&lt;30,"Under 30",Table1[[#This Row],[Age]]&lt;=40,"30-40",Table1[[#This Row],[Age]]&lt;50,"41-50",TRUE,"50+")</f>
        <v>30-40</v>
      </c>
    </row>
    <row r="866" spans="1:19" x14ac:dyDescent="0.35">
      <c r="A866" t="s">
        <v>1734</v>
      </c>
      <c r="B866" t="s">
        <v>1735</v>
      </c>
      <c r="C866" t="s">
        <v>16</v>
      </c>
      <c r="D866" t="s">
        <v>65</v>
      </c>
      <c r="E866" t="s">
        <v>18</v>
      </c>
      <c r="F866" t="s">
        <v>19</v>
      </c>
      <c r="G866" t="s">
        <v>28</v>
      </c>
      <c r="H866" s="3">
        <v>37</v>
      </c>
      <c r="I866" s="8">
        <v>40560</v>
      </c>
      <c r="J866" s="4">
        <v>131353</v>
      </c>
      <c r="K866" s="1">
        <v>0.11</v>
      </c>
      <c r="L866" t="s">
        <v>29</v>
      </c>
      <c r="M866" t="s">
        <v>74</v>
      </c>
      <c r="O866" s="5">
        <f t="shared" si="13"/>
        <v>14448.83</v>
      </c>
      <c r="P866" s="6">
        <f>Table1[[#This Row],[Annual Salary]]+Table1[[#This Row],[Bonus Amount]]</f>
        <v>145801.82999999999</v>
      </c>
      <c r="Q866" t="str">
        <f>IF(Table1[[#This Row],[Exit Date]]="", "Active","Exited")</f>
        <v>Active</v>
      </c>
      <c r="R866" s="2">
        <f ca="1">IFERROR(DATEDIF(Table1[[#This Row],[Hire Date]],IF(Table1[[#This Row],[Exit Date]]="",TODAY(),Table1[[#This Row],[Exit Date]]),"Y"),"")</f>
        <v>15</v>
      </c>
      <c r="S866" t="str" cm="1">
        <f t="array" ref="S866">_xlfn.IFS(Table1[[#This Row],[Age]]&lt;30,"Under 30",Table1[[#This Row],[Age]]&lt;=40,"30-40",Table1[[#This Row],[Age]]&lt;50,"41-50",TRUE,"50+")</f>
        <v>30-40</v>
      </c>
    </row>
    <row r="867" spans="1:19" x14ac:dyDescent="0.35">
      <c r="A867" t="s">
        <v>1736</v>
      </c>
      <c r="B867" t="s">
        <v>1737</v>
      </c>
      <c r="C867" t="s">
        <v>462</v>
      </c>
      <c r="D867" t="s">
        <v>17</v>
      </c>
      <c r="E867" t="s">
        <v>26</v>
      </c>
      <c r="F867" t="s">
        <v>27</v>
      </c>
      <c r="G867" t="s">
        <v>28</v>
      </c>
      <c r="H867" s="3">
        <v>45</v>
      </c>
      <c r="I867" s="8">
        <v>40253</v>
      </c>
      <c r="J867" s="4">
        <v>88182</v>
      </c>
      <c r="K867" s="1">
        <v>0</v>
      </c>
      <c r="L867" t="s">
        <v>29</v>
      </c>
      <c r="M867" t="s">
        <v>134</v>
      </c>
      <c r="O867" s="5">
        <f t="shared" si="13"/>
        <v>0</v>
      </c>
      <c r="P867" s="6">
        <f>Table1[[#This Row],[Annual Salary]]+Table1[[#This Row],[Bonus Amount]]</f>
        <v>88182</v>
      </c>
      <c r="Q867" t="str">
        <f>IF(Table1[[#This Row],[Exit Date]]="", "Active","Exited")</f>
        <v>Active</v>
      </c>
      <c r="R867" s="2">
        <f ca="1">IFERROR(DATEDIF(Table1[[#This Row],[Hire Date]],IF(Table1[[#This Row],[Exit Date]]="",TODAY(),Table1[[#This Row],[Exit Date]]),"Y"),"")</f>
        <v>16</v>
      </c>
      <c r="S867" t="str" cm="1">
        <f t="array" ref="S867">_xlfn.IFS(Table1[[#This Row],[Age]]&lt;30,"Under 30",Table1[[#This Row],[Age]]&lt;=40,"30-40",Table1[[#This Row],[Age]]&lt;50,"41-50",TRUE,"50+")</f>
        <v>41-50</v>
      </c>
    </row>
    <row r="868" spans="1:19" x14ac:dyDescent="0.35">
      <c r="A868" t="s">
        <v>1738</v>
      </c>
      <c r="B868" t="s">
        <v>1739</v>
      </c>
      <c r="C868" t="s">
        <v>131</v>
      </c>
      <c r="D868" t="s">
        <v>17</v>
      </c>
      <c r="E868" t="s">
        <v>35</v>
      </c>
      <c r="F868" t="s">
        <v>27</v>
      </c>
      <c r="G868" t="s">
        <v>36</v>
      </c>
      <c r="H868" s="3">
        <v>61</v>
      </c>
      <c r="I868" s="8">
        <v>43703</v>
      </c>
      <c r="J868" s="4">
        <v>75780</v>
      </c>
      <c r="K868" s="1">
        <v>0</v>
      </c>
      <c r="L868" t="s">
        <v>21</v>
      </c>
      <c r="M868" t="s">
        <v>22</v>
      </c>
      <c r="O868" s="5">
        <f t="shared" si="13"/>
        <v>0</v>
      </c>
      <c r="P868" s="6">
        <f>Table1[[#This Row],[Annual Salary]]+Table1[[#This Row],[Bonus Amount]]</f>
        <v>75780</v>
      </c>
      <c r="Q868" t="str">
        <f>IF(Table1[[#This Row],[Exit Date]]="", "Active","Exited")</f>
        <v>Active</v>
      </c>
      <c r="R868" s="2">
        <f ca="1">IFERROR(DATEDIF(Table1[[#This Row],[Hire Date]],IF(Table1[[#This Row],[Exit Date]]="",TODAY(),Table1[[#This Row],[Exit Date]]),"Y"),"")</f>
        <v>6</v>
      </c>
      <c r="S868" t="str" cm="1">
        <f t="array" ref="S868">_xlfn.IFS(Table1[[#This Row],[Age]]&lt;30,"Under 30",Table1[[#This Row],[Age]]&lt;=40,"30-40",Table1[[#This Row],[Age]]&lt;50,"41-50",TRUE,"50+")</f>
        <v>50+</v>
      </c>
    </row>
    <row r="869" spans="1:19" x14ac:dyDescent="0.35">
      <c r="A869" t="s">
        <v>1740</v>
      </c>
      <c r="B869" t="s">
        <v>1741</v>
      </c>
      <c r="C869" t="s">
        <v>124</v>
      </c>
      <c r="D869" t="s">
        <v>48</v>
      </c>
      <c r="E869" t="s">
        <v>18</v>
      </c>
      <c r="F869" t="s">
        <v>19</v>
      </c>
      <c r="G869" t="s">
        <v>28</v>
      </c>
      <c r="H869" s="3">
        <v>45</v>
      </c>
      <c r="I869" s="8">
        <v>43557</v>
      </c>
      <c r="J869" s="4">
        <v>52621</v>
      </c>
      <c r="K869" s="1">
        <v>0</v>
      </c>
      <c r="L869" t="s">
        <v>29</v>
      </c>
      <c r="M869" t="s">
        <v>114</v>
      </c>
      <c r="O869" s="5">
        <f t="shared" si="13"/>
        <v>0</v>
      </c>
      <c r="P869" s="6">
        <f>Table1[[#This Row],[Annual Salary]]+Table1[[#This Row],[Bonus Amount]]</f>
        <v>52621</v>
      </c>
      <c r="Q869" t="str">
        <f>IF(Table1[[#This Row],[Exit Date]]="", "Active","Exited")</f>
        <v>Active</v>
      </c>
      <c r="R869" s="2">
        <f ca="1">IFERROR(DATEDIF(Table1[[#This Row],[Hire Date]],IF(Table1[[#This Row],[Exit Date]]="",TODAY(),Table1[[#This Row],[Exit Date]]),"Y"),"")</f>
        <v>6</v>
      </c>
      <c r="S869" t="str" cm="1">
        <f t="array" ref="S869">_xlfn.IFS(Table1[[#This Row],[Age]]&lt;30,"Under 30",Table1[[#This Row],[Age]]&lt;=40,"30-40",Table1[[#This Row],[Age]]&lt;50,"41-50",TRUE,"50+")</f>
        <v>41-50</v>
      </c>
    </row>
    <row r="870" spans="1:19" x14ac:dyDescent="0.35">
      <c r="A870" t="s">
        <v>1742</v>
      </c>
      <c r="B870" t="s">
        <v>1743</v>
      </c>
      <c r="C870" t="s">
        <v>113</v>
      </c>
      <c r="D870" t="s">
        <v>69</v>
      </c>
      <c r="E870" t="s">
        <v>18</v>
      </c>
      <c r="F870" t="s">
        <v>27</v>
      </c>
      <c r="G870" t="s">
        <v>28</v>
      </c>
      <c r="H870" s="3">
        <v>60</v>
      </c>
      <c r="I870" s="8">
        <v>43146</v>
      </c>
      <c r="J870" s="4">
        <v>106079</v>
      </c>
      <c r="K870" s="1">
        <v>0.14000000000000001</v>
      </c>
      <c r="L870" t="s">
        <v>21</v>
      </c>
      <c r="M870" t="s">
        <v>60</v>
      </c>
      <c r="N870" s="7">
        <v>44295</v>
      </c>
      <c r="O870" s="5">
        <f t="shared" si="13"/>
        <v>14851.060000000001</v>
      </c>
      <c r="P870" s="6">
        <f>Table1[[#This Row],[Annual Salary]]+Table1[[#This Row],[Bonus Amount]]</f>
        <v>120930.06</v>
      </c>
      <c r="Q870" t="str">
        <f>IF(Table1[[#This Row],[Exit Date]]="", "Active","Exited")</f>
        <v>Exited</v>
      </c>
      <c r="R870" s="2">
        <f ca="1">IFERROR(DATEDIF(Table1[[#This Row],[Hire Date]],IF(Table1[[#This Row],[Exit Date]]="",TODAY(),Table1[[#This Row],[Exit Date]]),"Y"),"")</f>
        <v>3</v>
      </c>
      <c r="S870" t="str" cm="1">
        <f t="array" ref="S870">_xlfn.IFS(Table1[[#This Row],[Age]]&lt;30,"Under 30",Table1[[#This Row],[Age]]&lt;=40,"30-40",Table1[[#This Row],[Age]]&lt;50,"41-50",TRUE,"50+")</f>
        <v>50+</v>
      </c>
    </row>
    <row r="871" spans="1:19" x14ac:dyDescent="0.35">
      <c r="A871" t="s">
        <v>1744</v>
      </c>
      <c r="B871" t="s">
        <v>1745</v>
      </c>
      <c r="C871" t="s">
        <v>207</v>
      </c>
      <c r="D871" t="s">
        <v>17</v>
      </c>
      <c r="E871" t="s">
        <v>49</v>
      </c>
      <c r="F871" t="s">
        <v>27</v>
      </c>
      <c r="G871" t="s">
        <v>85</v>
      </c>
      <c r="H871" s="3">
        <v>30</v>
      </c>
      <c r="I871" s="8">
        <v>42777</v>
      </c>
      <c r="J871" s="4">
        <v>92058</v>
      </c>
      <c r="K871" s="1">
        <v>0</v>
      </c>
      <c r="L871" t="s">
        <v>21</v>
      </c>
      <c r="M871" t="s">
        <v>60</v>
      </c>
      <c r="O871" s="5">
        <f t="shared" si="13"/>
        <v>0</v>
      </c>
      <c r="P871" s="6">
        <f>Table1[[#This Row],[Annual Salary]]+Table1[[#This Row],[Bonus Amount]]</f>
        <v>92058</v>
      </c>
      <c r="Q871" t="str">
        <f>IF(Table1[[#This Row],[Exit Date]]="", "Active","Exited")</f>
        <v>Active</v>
      </c>
      <c r="R871" s="2">
        <f ca="1">IFERROR(DATEDIF(Table1[[#This Row],[Hire Date]],IF(Table1[[#This Row],[Exit Date]]="",TODAY(),Table1[[#This Row],[Exit Date]]),"Y"),"")</f>
        <v>9</v>
      </c>
      <c r="S871" t="str" cm="1">
        <f t="array" ref="S871">_xlfn.IFS(Table1[[#This Row],[Age]]&lt;30,"Under 30",Table1[[#This Row],[Age]]&lt;=40,"30-40",Table1[[#This Row],[Age]]&lt;50,"41-50",TRUE,"50+")</f>
        <v>30-40</v>
      </c>
    </row>
    <row r="872" spans="1:19" x14ac:dyDescent="0.35">
      <c r="A872" t="s">
        <v>1746</v>
      </c>
      <c r="B872" t="s">
        <v>1747</v>
      </c>
      <c r="C872" t="s">
        <v>175</v>
      </c>
      <c r="D872" t="s">
        <v>69</v>
      </c>
      <c r="E872" t="s">
        <v>26</v>
      </c>
      <c r="F872" t="s">
        <v>27</v>
      </c>
      <c r="G872" t="s">
        <v>28</v>
      </c>
      <c r="H872" s="3">
        <v>64</v>
      </c>
      <c r="I872" s="8">
        <v>43527</v>
      </c>
      <c r="J872" s="4">
        <v>67114</v>
      </c>
      <c r="K872" s="1">
        <v>0</v>
      </c>
      <c r="L872" t="s">
        <v>21</v>
      </c>
      <c r="M872" t="s">
        <v>44</v>
      </c>
      <c r="O872" s="5">
        <f t="shared" si="13"/>
        <v>0</v>
      </c>
      <c r="P872" s="6">
        <f>Table1[[#This Row],[Annual Salary]]+Table1[[#This Row],[Bonus Amount]]</f>
        <v>67114</v>
      </c>
      <c r="Q872" t="str">
        <f>IF(Table1[[#This Row],[Exit Date]]="", "Active","Exited")</f>
        <v>Active</v>
      </c>
      <c r="R872" s="2">
        <f ca="1">IFERROR(DATEDIF(Table1[[#This Row],[Hire Date]],IF(Table1[[#This Row],[Exit Date]]="",TODAY(),Table1[[#This Row],[Exit Date]]),"Y"),"")</f>
        <v>7</v>
      </c>
      <c r="S872" t="str" cm="1">
        <f t="array" ref="S872">_xlfn.IFS(Table1[[#This Row],[Age]]&lt;30,"Under 30",Table1[[#This Row],[Age]]&lt;=40,"30-40",Table1[[#This Row],[Age]]&lt;50,"41-50",TRUE,"50+")</f>
        <v>50+</v>
      </c>
    </row>
    <row r="873" spans="1:19" x14ac:dyDescent="0.35">
      <c r="A873" t="s">
        <v>1748</v>
      </c>
      <c r="B873" t="s">
        <v>1749</v>
      </c>
      <c r="C873" t="s">
        <v>124</v>
      </c>
      <c r="D873" t="s">
        <v>34</v>
      </c>
      <c r="E873" t="s">
        <v>18</v>
      </c>
      <c r="F873" t="s">
        <v>19</v>
      </c>
      <c r="G873" t="s">
        <v>85</v>
      </c>
      <c r="H873" s="3">
        <v>25</v>
      </c>
      <c r="I873" s="8">
        <v>44024</v>
      </c>
      <c r="J873" s="4">
        <v>56565</v>
      </c>
      <c r="K873" s="1">
        <v>0</v>
      </c>
      <c r="L873" t="s">
        <v>93</v>
      </c>
      <c r="M873" t="s">
        <v>218</v>
      </c>
      <c r="O873" s="5">
        <f t="shared" si="13"/>
        <v>0</v>
      </c>
      <c r="P873" s="6">
        <f>Table1[[#This Row],[Annual Salary]]+Table1[[#This Row],[Bonus Amount]]</f>
        <v>56565</v>
      </c>
      <c r="Q873" t="str">
        <f>IF(Table1[[#This Row],[Exit Date]]="", "Active","Exited")</f>
        <v>Active</v>
      </c>
      <c r="R873" s="2">
        <f ca="1">IFERROR(DATEDIF(Table1[[#This Row],[Hire Date]],IF(Table1[[#This Row],[Exit Date]]="",TODAY(),Table1[[#This Row],[Exit Date]]),"Y"),"")</f>
        <v>5</v>
      </c>
      <c r="S873" t="str" cm="1">
        <f t="array" ref="S873">_xlfn.IFS(Table1[[#This Row],[Age]]&lt;30,"Under 30",Table1[[#This Row],[Age]]&lt;=40,"30-40",Table1[[#This Row],[Age]]&lt;50,"41-50",TRUE,"50+")</f>
        <v>Under 30</v>
      </c>
    </row>
    <row r="874" spans="1:19" x14ac:dyDescent="0.35">
      <c r="A874" t="s">
        <v>1750</v>
      </c>
      <c r="B874" t="s">
        <v>1751</v>
      </c>
      <c r="C874" t="s">
        <v>164</v>
      </c>
      <c r="D874" t="s">
        <v>65</v>
      </c>
      <c r="E874" t="s">
        <v>26</v>
      </c>
      <c r="F874" t="s">
        <v>19</v>
      </c>
      <c r="G874" t="s">
        <v>36</v>
      </c>
      <c r="H874" s="3">
        <v>61</v>
      </c>
      <c r="I874" s="8">
        <v>40683</v>
      </c>
      <c r="J874" s="4">
        <v>64937</v>
      </c>
      <c r="K874" s="1">
        <v>0</v>
      </c>
      <c r="L874" t="s">
        <v>21</v>
      </c>
      <c r="M874" t="s">
        <v>44</v>
      </c>
      <c r="O874" s="5">
        <f t="shared" si="13"/>
        <v>0</v>
      </c>
      <c r="P874" s="6">
        <f>Table1[[#This Row],[Annual Salary]]+Table1[[#This Row],[Bonus Amount]]</f>
        <v>64937</v>
      </c>
      <c r="Q874" t="str">
        <f>IF(Table1[[#This Row],[Exit Date]]="", "Active","Exited")</f>
        <v>Active</v>
      </c>
      <c r="R874" s="2">
        <f ca="1">IFERROR(DATEDIF(Table1[[#This Row],[Hire Date]],IF(Table1[[#This Row],[Exit Date]]="",TODAY(),Table1[[#This Row],[Exit Date]]),"Y"),"")</f>
        <v>14</v>
      </c>
      <c r="S874" t="str" cm="1">
        <f t="array" ref="S874">_xlfn.IFS(Table1[[#This Row],[Age]]&lt;30,"Under 30",Table1[[#This Row],[Age]]&lt;=40,"30-40",Table1[[#This Row],[Age]]&lt;50,"41-50",TRUE,"50+")</f>
        <v>50+</v>
      </c>
    </row>
    <row r="875" spans="1:19" x14ac:dyDescent="0.35">
      <c r="A875" t="s">
        <v>1752</v>
      </c>
      <c r="B875" t="s">
        <v>1753</v>
      </c>
      <c r="C875" t="s">
        <v>52</v>
      </c>
      <c r="D875" t="s">
        <v>80</v>
      </c>
      <c r="E875" t="s">
        <v>26</v>
      </c>
      <c r="F875" t="s">
        <v>19</v>
      </c>
      <c r="G875" t="s">
        <v>85</v>
      </c>
      <c r="H875" s="3">
        <v>65</v>
      </c>
      <c r="I875" s="8">
        <v>38967</v>
      </c>
      <c r="J875" s="4">
        <v>127626</v>
      </c>
      <c r="K875" s="1">
        <v>0.1</v>
      </c>
      <c r="L875" t="s">
        <v>21</v>
      </c>
      <c r="M875" t="s">
        <v>56</v>
      </c>
      <c r="O875" s="5">
        <f t="shared" si="13"/>
        <v>12762.6</v>
      </c>
      <c r="P875" s="6">
        <f>Table1[[#This Row],[Annual Salary]]+Table1[[#This Row],[Bonus Amount]]</f>
        <v>140388.6</v>
      </c>
      <c r="Q875" t="str">
        <f>IF(Table1[[#This Row],[Exit Date]]="", "Active","Exited")</f>
        <v>Active</v>
      </c>
      <c r="R875" s="2">
        <f ca="1">IFERROR(DATEDIF(Table1[[#This Row],[Hire Date]],IF(Table1[[#This Row],[Exit Date]]="",TODAY(),Table1[[#This Row],[Exit Date]]),"Y"),"")</f>
        <v>19</v>
      </c>
      <c r="S875" t="str" cm="1">
        <f t="array" ref="S875">_xlfn.IFS(Table1[[#This Row],[Age]]&lt;30,"Under 30",Table1[[#This Row],[Age]]&lt;=40,"30-40",Table1[[#This Row],[Age]]&lt;50,"41-50",TRUE,"50+")</f>
        <v>50+</v>
      </c>
    </row>
    <row r="876" spans="1:19" x14ac:dyDescent="0.35">
      <c r="A876" t="s">
        <v>1754</v>
      </c>
      <c r="B876" t="s">
        <v>1755</v>
      </c>
      <c r="C876" t="s">
        <v>248</v>
      </c>
      <c r="D876" t="s">
        <v>17</v>
      </c>
      <c r="E876" t="s">
        <v>49</v>
      </c>
      <c r="F876" t="s">
        <v>27</v>
      </c>
      <c r="G876" t="s">
        <v>20</v>
      </c>
      <c r="H876" s="3">
        <v>61</v>
      </c>
      <c r="I876" s="8">
        <v>38013</v>
      </c>
      <c r="J876" s="4">
        <v>88478</v>
      </c>
      <c r="K876" s="1">
        <v>0</v>
      </c>
      <c r="L876" t="s">
        <v>21</v>
      </c>
      <c r="M876" t="s">
        <v>60</v>
      </c>
      <c r="O876" s="5">
        <f t="shared" si="13"/>
        <v>0</v>
      </c>
      <c r="P876" s="6">
        <f>Table1[[#This Row],[Annual Salary]]+Table1[[#This Row],[Bonus Amount]]</f>
        <v>88478</v>
      </c>
      <c r="Q876" t="str">
        <f>IF(Table1[[#This Row],[Exit Date]]="", "Active","Exited")</f>
        <v>Active</v>
      </c>
      <c r="R876" s="2">
        <f ca="1">IFERROR(DATEDIF(Table1[[#This Row],[Hire Date]],IF(Table1[[#This Row],[Exit Date]]="",TODAY(),Table1[[#This Row],[Exit Date]]),"Y"),"")</f>
        <v>22</v>
      </c>
      <c r="S876" t="str" cm="1">
        <f t="array" ref="S876">_xlfn.IFS(Table1[[#This Row],[Age]]&lt;30,"Under 30",Table1[[#This Row],[Age]]&lt;=40,"30-40",Table1[[#This Row],[Age]]&lt;50,"41-50",TRUE,"50+")</f>
        <v>50+</v>
      </c>
    </row>
    <row r="877" spans="1:19" x14ac:dyDescent="0.35">
      <c r="A877" t="s">
        <v>1756</v>
      </c>
      <c r="B877" t="s">
        <v>1757</v>
      </c>
      <c r="C877" t="s">
        <v>40</v>
      </c>
      <c r="D877" t="s">
        <v>17</v>
      </c>
      <c r="E877" t="s">
        <v>35</v>
      </c>
      <c r="F877" t="s">
        <v>19</v>
      </c>
      <c r="G877" t="s">
        <v>28</v>
      </c>
      <c r="H877" s="3">
        <v>48</v>
      </c>
      <c r="I877" s="8">
        <v>41749</v>
      </c>
      <c r="J877" s="4">
        <v>91679</v>
      </c>
      <c r="K877" s="1">
        <v>7.0000000000000007E-2</v>
      </c>
      <c r="L877" t="s">
        <v>29</v>
      </c>
      <c r="M877" t="s">
        <v>30</v>
      </c>
      <c r="O877" s="5">
        <f t="shared" si="13"/>
        <v>6417.5300000000007</v>
      </c>
      <c r="P877" s="6">
        <f>Table1[[#This Row],[Annual Salary]]+Table1[[#This Row],[Bonus Amount]]</f>
        <v>98096.53</v>
      </c>
      <c r="Q877" t="str">
        <f>IF(Table1[[#This Row],[Exit Date]]="", "Active","Exited")</f>
        <v>Active</v>
      </c>
      <c r="R877" s="2">
        <f ca="1">IFERROR(DATEDIF(Table1[[#This Row],[Hire Date]],IF(Table1[[#This Row],[Exit Date]]="",TODAY(),Table1[[#This Row],[Exit Date]]),"Y"),"")</f>
        <v>11</v>
      </c>
      <c r="S877" t="str" cm="1">
        <f t="array" ref="S877">_xlfn.IFS(Table1[[#This Row],[Age]]&lt;30,"Under 30",Table1[[#This Row],[Age]]&lt;=40,"30-40",Table1[[#This Row],[Age]]&lt;50,"41-50",TRUE,"50+")</f>
        <v>41-50</v>
      </c>
    </row>
    <row r="878" spans="1:19" x14ac:dyDescent="0.35">
      <c r="A878" t="s">
        <v>1758</v>
      </c>
      <c r="B878" t="s">
        <v>1759</v>
      </c>
      <c r="C878" t="s">
        <v>33</v>
      </c>
      <c r="D878" t="s">
        <v>48</v>
      </c>
      <c r="E878" t="s">
        <v>49</v>
      </c>
      <c r="F878" t="s">
        <v>27</v>
      </c>
      <c r="G878" t="s">
        <v>28</v>
      </c>
      <c r="H878" s="3">
        <v>58</v>
      </c>
      <c r="I878" s="8">
        <v>33682</v>
      </c>
      <c r="J878" s="4">
        <v>199848</v>
      </c>
      <c r="K878" s="1">
        <v>0.16</v>
      </c>
      <c r="L878" t="s">
        <v>29</v>
      </c>
      <c r="M878" t="s">
        <v>30</v>
      </c>
      <c r="O878" s="5">
        <f t="shared" si="13"/>
        <v>31975.68</v>
      </c>
      <c r="P878" s="6">
        <f>Table1[[#This Row],[Annual Salary]]+Table1[[#This Row],[Bonus Amount]]</f>
        <v>231823.68</v>
      </c>
      <c r="Q878" t="str">
        <f>IF(Table1[[#This Row],[Exit Date]]="", "Active","Exited")</f>
        <v>Active</v>
      </c>
      <c r="R878" s="2">
        <f ca="1">IFERROR(DATEDIF(Table1[[#This Row],[Hire Date]],IF(Table1[[#This Row],[Exit Date]]="",TODAY(),Table1[[#This Row],[Exit Date]]),"Y"),"")</f>
        <v>34</v>
      </c>
      <c r="S878" t="str" cm="1">
        <f t="array" ref="S878">_xlfn.IFS(Table1[[#This Row],[Age]]&lt;30,"Under 30",Table1[[#This Row],[Age]]&lt;=40,"30-40",Table1[[#This Row],[Age]]&lt;50,"41-50",TRUE,"50+")</f>
        <v>50+</v>
      </c>
    </row>
    <row r="879" spans="1:19" x14ac:dyDescent="0.35">
      <c r="A879" t="s">
        <v>1760</v>
      </c>
      <c r="B879" t="s">
        <v>1761</v>
      </c>
      <c r="C879" t="s">
        <v>251</v>
      </c>
      <c r="D879" t="s">
        <v>17</v>
      </c>
      <c r="E879" t="s">
        <v>26</v>
      </c>
      <c r="F879" t="s">
        <v>27</v>
      </c>
      <c r="G879" t="s">
        <v>28</v>
      </c>
      <c r="H879" s="3">
        <v>34</v>
      </c>
      <c r="I879" s="8">
        <v>43414</v>
      </c>
      <c r="J879" s="4">
        <v>61944</v>
      </c>
      <c r="K879" s="1">
        <v>0</v>
      </c>
      <c r="L879" t="s">
        <v>29</v>
      </c>
      <c r="M879" t="s">
        <v>74</v>
      </c>
      <c r="O879" s="5">
        <f t="shared" si="13"/>
        <v>0</v>
      </c>
      <c r="P879" s="6">
        <f>Table1[[#This Row],[Annual Salary]]+Table1[[#This Row],[Bonus Amount]]</f>
        <v>61944</v>
      </c>
      <c r="Q879" t="str">
        <f>IF(Table1[[#This Row],[Exit Date]]="", "Active","Exited")</f>
        <v>Active</v>
      </c>
      <c r="R879" s="2">
        <f ca="1">IFERROR(DATEDIF(Table1[[#This Row],[Hire Date]],IF(Table1[[#This Row],[Exit Date]]="",TODAY(),Table1[[#This Row],[Exit Date]]),"Y"),"")</f>
        <v>7</v>
      </c>
      <c r="S879" t="str" cm="1">
        <f t="array" ref="S879">_xlfn.IFS(Table1[[#This Row],[Age]]&lt;30,"Under 30",Table1[[#This Row],[Age]]&lt;=40,"30-40",Table1[[#This Row],[Age]]&lt;50,"41-50",TRUE,"50+")</f>
        <v>30-40</v>
      </c>
    </row>
    <row r="880" spans="1:19" x14ac:dyDescent="0.35">
      <c r="A880" t="s">
        <v>1762</v>
      </c>
      <c r="B880" t="s">
        <v>1763</v>
      </c>
      <c r="C880" t="s">
        <v>16</v>
      </c>
      <c r="D880" t="s">
        <v>48</v>
      </c>
      <c r="E880" t="s">
        <v>35</v>
      </c>
      <c r="F880" t="s">
        <v>19</v>
      </c>
      <c r="G880" t="s">
        <v>20</v>
      </c>
      <c r="H880" s="3">
        <v>30</v>
      </c>
      <c r="I880" s="8">
        <v>42960</v>
      </c>
      <c r="J880" s="4">
        <v>154624</v>
      </c>
      <c r="K880" s="1">
        <v>0.15</v>
      </c>
      <c r="L880" t="s">
        <v>21</v>
      </c>
      <c r="M880" t="s">
        <v>60</v>
      </c>
      <c r="O880" s="5">
        <f t="shared" si="13"/>
        <v>23193.599999999999</v>
      </c>
      <c r="P880" s="6">
        <f>Table1[[#This Row],[Annual Salary]]+Table1[[#This Row],[Bonus Amount]]</f>
        <v>177817.60000000001</v>
      </c>
      <c r="Q880" t="str">
        <f>IF(Table1[[#This Row],[Exit Date]]="", "Active","Exited")</f>
        <v>Active</v>
      </c>
      <c r="R880" s="2">
        <f ca="1">IFERROR(DATEDIF(Table1[[#This Row],[Hire Date]],IF(Table1[[#This Row],[Exit Date]]="",TODAY(),Table1[[#This Row],[Exit Date]]),"Y"),"")</f>
        <v>8</v>
      </c>
      <c r="S880" t="str" cm="1">
        <f t="array" ref="S880">_xlfn.IFS(Table1[[#This Row],[Age]]&lt;30,"Under 30",Table1[[#This Row],[Age]]&lt;=40,"30-40",Table1[[#This Row],[Age]]&lt;50,"41-50",TRUE,"50+")</f>
        <v>30-40</v>
      </c>
    </row>
    <row r="881" spans="1:19" x14ac:dyDescent="0.35">
      <c r="A881" t="s">
        <v>1764</v>
      </c>
      <c r="B881" t="s">
        <v>1765</v>
      </c>
      <c r="C881" t="s">
        <v>43</v>
      </c>
      <c r="D881" t="s">
        <v>59</v>
      </c>
      <c r="E881" t="s">
        <v>18</v>
      </c>
      <c r="F881" t="s">
        <v>27</v>
      </c>
      <c r="G881" t="s">
        <v>28</v>
      </c>
      <c r="H881" s="3">
        <v>50</v>
      </c>
      <c r="I881" s="8">
        <v>40109</v>
      </c>
      <c r="J881" s="4">
        <v>79447</v>
      </c>
      <c r="K881" s="1">
        <v>0</v>
      </c>
      <c r="L881" t="s">
        <v>29</v>
      </c>
      <c r="M881" t="s">
        <v>74</v>
      </c>
      <c r="O881" s="5">
        <f t="shared" si="13"/>
        <v>0</v>
      </c>
      <c r="P881" s="6">
        <f>Table1[[#This Row],[Annual Salary]]+Table1[[#This Row],[Bonus Amount]]</f>
        <v>79447</v>
      </c>
      <c r="Q881" t="str">
        <f>IF(Table1[[#This Row],[Exit Date]]="", "Active","Exited")</f>
        <v>Active</v>
      </c>
      <c r="R881" s="2">
        <f ca="1">IFERROR(DATEDIF(Table1[[#This Row],[Hire Date]],IF(Table1[[#This Row],[Exit Date]]="",TODAY(),Table1[[#This Row],[Exit Date]]),"Y"),"")</f>
        <v>16</v>
      </c>
      <c r="S881" t="str" cm="1">
        <f t="array" ref="S881">_xlfn.IFS(Table1[[#This Row],[Age]]&lt;30,"Under 30",Table1[[#This Row],[Age]]&lt;=40,"30-40",Table1[[#This Row],[Age]]&lt;50,"41-50",TRUE,"50+")</f>
        <v>50+</v>
      </c>
    </row>
    <row r="882" spans="1:19" x14ac:dyDescent="0.35">
      <c r="A882" t="s">
        <v>1766</v>
      </c>
      <c r="B882" t="s">
        <v>1767</v>
      </c>
      <c r="C882" t="s">
        <v>43</v>
      </c>
      <c r="D882" t="s">
        <v>48</v>
      </c>
      <c r="E882" t="s">
        <v>26</v>
      </c>
      <c r="F882" t="s">
        <v>27</v>
      </c>
      <c r="G882" t="s">
        <v>85</v>
      </c>
      <c r="H882" s="3">
        <v>51</v>
      </c>
      <c r="I882" s="8">
        <v>35852</v>
      </c>
      <c r="J882" s="4">
        <v>71111</v>
      </c>
      <c r="K882" s="1">
        <v>0</v>
      </c>
      <c r="L882" t="s">
        <v>93</v>
      </c>
      <c r="M882" t="s">
        <v>99</v>
      </c>
      <c r="O882" s="5">
        <f t="shared" si="13"/>
        <v>0</v>
      </c>
      <c r="P882" s="6">
        <f>Table1[[#This Row],[Annual Salary]]+Table1[[#This Row],[Bonus Amount]]</f>
        <v>71111</v>
      </c>
      <c r="Q882" t="str">
        <f>IF(Table1[[#This Row],[Exit Date]]="", "Active","Exited")</f>
        <v>Active</v>
      </c>
      <c r="R882" s="2">
        <f ca="1">IFERROR(DATEDIF(Table1[[#This Row],[Hire Date]],IF(Table1[[#This Row],[Exit Date]]="",TODAY(),Table1[[#This Row],[Exit Date]]),"Y"),"")</f>
        <v>28</v>
      </c>
      <c r="S882" t="str" cm="1">
        <f t="array" ref="S882">_xlfn.IFS(Table1[[#This Row],[Age]]&lt;30,"Under 30",Table1[[#This Row],[Age]]&lt;=40,"30-40",Table1[[#This Row],[Age]]&lt;50,"41-50",TRUE,"50+")</f>
        <v>50+</v>
      </c>
    </row>
    <row r="883" spans="1:19" x14ac:dyDescent="0.35">
      <c r="A883" t="s">
        <v>1768</v>
      </c>
      <c r="B883" t="s">
        <v>1769</v>
      </c>
      <c r="C883" t="s">
        <v>16</v>
      </c>
      <c r="D883" t="s">
        <v>48</v>
      </c>
      <c r="E883" t="s">
        <v>18</v>
      </c>
      <c r="F883" t="s">
        <v>27</v>
      </c>
      <c r="G883" t="s">
        <v>36</v>
      </c>
      <c r="H883" s="3">
        <v>53</v>
      </c>
      <c r="I883" s="8">
        <v>41931</v>
      </c>
      <c r="J883" s="4">
        <v>159538</v>
      </c>
      <c r="K883" s="1">
        <v>0.11</v>
      </c>
      <c r="L883" t="s">
        <v>21</v>
      </c>
      <c r="M883" t="s">
        <v>56</v>
      </c>
      <c r="O883" s="5">
        <f t="shared" si="13"/>
        <v>17549.18</v>
      </c>
      <c r="P883" s="6">
        <f>Table1[[#This Row],[Annual Salary]]+Table1[[#This Row],[Bonus Amount]]</f>
        <v>177087.18</v>
      </c>
      <c r="Q883" t="str">
        <f>IF(Table1[[#This Row],[Exit Date]]="", "Active","Exited")</f>
        <v>Active</v>
      </c>
      <c r="R883" s="2">
        <f ca="1">IFERROR(DATEDIF(Table1[[#This Row],[Hire Date]],IF(Table1[[#This Row],[Exit Date]]="",TODAY(),Table1[[#This Row],[Exit Date]]),"Y"),"")</f>
        <v>11</v>
      </c>
      <c r="S883" t="str" cm="1">
        <f t="array" ref="S883">_xlfn.IFS(Table1[[#This Row],[Age]]&lt;30,"Under 30",Table1[[#This Row],[Age]]&lt;=40,"30-40",Table1[[#This Row],[Age]]&lt;50,"41-50",TRUE,"50+")</f>
        <v>50+</v>
      </c>
    </row>
    <row r="884" spans="1:19" x14ac:dyDescent="0.35">
      <c r="A884" t="s">
        <v>1380</v>
      </c>
      <c r="B884" t="s">
        <v>1770</v>
      </c>
      <c r="C884" t="s">
        <v>68</v>
      </c>
      <c r="D884" t="s">
        <v>69</v>
      </c>
      <c r="E884" t="s">
        <v>49</v>
      </c>
      <c r="F884" t="s">
        <v>19</v>
      </c>
      <c r="G884" t="s">
        <v>85</v>
      </c>
      <c r="H884" s="3">
        <v>47</v>
      </c>
      <c r="I884" s="8">
        <v>43375</v>
      </c>
      <c r="J884" s="4">
        <v>111404</v>
      </c>
      <c r="K884" s="1">
        <v>0</v>
      </c>
      <c r="L884" t="s">
        <v>93</v>
      </c>
      <c r="M884" t="s">
        <v>99</v>
      </c>
      <c r="O884" s="5">
        <f t="shared" si="13"/>
        <v>0</v>
      </c>
      <c r="P884" s="6">
        <f>Table1[[#This Row],[Annual Salary]]+Table1[[#This Row],[Bonus Amount]]</f>
        <v>111404</v>
      </c>
      <c r="Q884" t="str">
        <f>IF(Table1[[#This Row],[Exit Date]]="", "Active","Exited")</f>
        <v>Active</v>
      </c>
      <c r="R884" s="2">
        <f ca="1">IFERROR(DATEDIF(Table1[[#This Row],[Hire Date]],IF(Table1[[#This Row],[Exit Date]]="",TODAY(),Table1[[#This Row],[Exit Date]]),"Y"),"")</f>
        <v>7</v>
      </c>
      <c r="S884" t="str" cm="1">
        <f t="array" ref="S884">_xlfn.IFS(Table1[[#This Row],[Age]]&lt;30,"Under 30",Table1[[#This Row],[Age]]&lt;=40,"30-40",Table1[[#This Row],[Age]]&lt;50,"41-50",TRUE,"50+")</f>
        <v>41-50</v>
      </c>
    </row>
    <row r="885" spans="1:19" x14ac:dyDescent="0.35">
      <c r="A885" t="s">
        <v>1771</v>
      </c>
      <c r="B885" t="s">
        <v>1772</v>
      </c>
      <c r="C885" t="s">
        <v>33</v>
      </c>
      <c r="D885" t="s">
        <v>80</v>
      </c>
      <c r="E885" t="s">
        <v>35</v>
      </c>
      <c r="F885" t="s">
        <v>27</v>
      </c>
      <c r="G885" t="s">
        <v>36</v>
      </c>
      <c r="H885" s="3">
        <v>25</v>
      </c>
      <c r="I885" s="8">
        <v>44058</v>
      </c>
      <c r="J885" s="4">
        <v>172007</v>
      </c>
      <c r="K885" s="1">
        <v>0.26</v>
      </c>
      <c r="L885" t="s">
        <v>21</v>
      </c>
      <c r="M885" t="s">
        <v>56</v>
      </c>
      <c r="O885" s="5">
        <f t="shared" si="13"/>
        <v>44721.82</v>
      </c>
      <c r="P885" s="6">
        <f>Table1[[#This Row],[Annual Salary]]+Table1[[#This Row],[Bonus Amount]]</f>
        <v>216728.82</v>
      </c>
      <c r="Q885" t="str">
        <f>IF(Table1[[#This Row],[Exit Date]]="", "Active","Exited")</f>
        <v>Active</v>
      </c>
      <c r="R885" s="2">
        <f ca="1">IFERROR(DATEDIF(Table1[[#This Row],[Hire Date]],IF(Table1[[#This Row],[Exit Date]]="",TODAY(),Table1[[#This Row],[Exit Date]]),"Y"),"")</f>
        <v>5</v>
      </c>
      <c r="S885" t="str" cm="1">
        <f t="array" ref="S885">_xlfn.IFS(Table1[[#This Row],[Age]]&lt;30,"Under 30",Table1[[#This Row],[Age]]&lt;=40,"30-40",Table1[[#This Row],[Age]]&lt;50,"41-50",TRUE,"50+")</f>
        <v>Under 30</v>
      </c>
    </row>
    <row r="886" spans="1:19" x14ac:dyDescent="0.35">
      <c r="A886" t="s">
        <v>1773</v>
      </c>
      <c r="B886" t="s">
        <v>1774</v>
      </c>
      <c r="C886" t="s">
        <v>79</v>
      </c>
      <c r="D886" t="s">
        <v>80</v>
      </c>
      <c r="E886" t="s">
        <v>26</v>
      </c>
      <c r="F886" t="s">
        <v>19</v>
      </c>
      <c r="G886" t="s">
        <v>85</v>
      </c>
      <c r="H886" s="3">
        <v>37</v>
      </c>
      <c r="I886" s="8">
        <v>40745</v>
      </c>
      <c r="J886" s="4">
        <v>219474</v>
      </c>
      <c r="K886" s="1">
        <v>0.36</v>
      </c>
      <c r="L886" t="s">
        <v>93</v>
      </c>
      <c r="M886" t="s">
        <v>94</v>
      </c>
      <c r="O886" s="5">
        <f t="shared" si="13"/>
        <v>79010.64</v>
      </c>
      <c r="P886" s="6">
        <f>Table1[[#This Row],[Annual Salary]]+Table1[[#This Row],[Bonus Amount]]</f>
        <v>298484.64</v>
      </c>
      <c r="Q886" t="str">
        <f>IF(Table1[[#This Row],[Exit Date]]="", "Active","Exited")</f>
        <v>Active</v>
      </c>
      <c r="R886" s="2">
        <f ca="1">IFERROR(DATEDIF(Table1[[#This Row],[Hire Date]],IF(Table1[[#This Row],[Exit Date]]="",TODAY(),Table1[[#This Row],[Exit Date]]),"Y"),"")</f>
        <v>14</v>
      </c>
      <c r="S886" t="str" cm="1">
        <f t="array" ref="S886">_xlfn.IFS(Table1[[#This Row],[Age]]&lt;30,"Under 30",Table1[[#This Row],[Age]]&lt;=40,"30-40",Table1[[#This Row],[Age]]&lt;50,"41-50",TRUE,"50+")</f>
        <v>30-40</v>
      </c>
    </row>
    <row r="887" spans="1:19" x14ac:dyDescent="0.35">
      <c r="A887" t="s">
        <v>1775</v>
      </c>
      <c r="B887" t="s">
        <v>1776</v>
      </c>
      <c r="C887" t="s">
        <v>33</v>
      </c>
      <c r="D887" t="s">
        <v>34</v>
      </c>
      <c r="E887" t="s">
        <v>49</v>
      </c>
      <c r="F887" t="s">
        <v>27</v>
      </c>
      <c r="G887" t="s">
        <v>36</v>
      </c>
      <c r="H887" s="3">
        <v>41</v>
      </c>
      <c r="I887" s="8">
        <v>43600</v>
      </c>
      <c r="J887" s="4">
        <v>174415</v>
      </c>
      <c r="K887" s="1">
        <v>0.23</v>
      </c>
      <c r="L887" t="s">
        <v>21</v>
      </c>
      <c r="M887" t="s">
        <v>56</v>
      </c>
      <c r="O887" s="5">
        <f t="shared" si="13"/>
        <v>40115.450000000004</v>
      </c>
      <c r="P887" s="6">
        <f>Table1[[#This Row],[Annual Salary]]+Table1[[#This Row],[Bonus Amount]]</f>
        <v>214530.45</v>
      </c>
      <c r="Q887" t="str">
        <f>IF(Table1[[#This Row],[Exit Date]]="", "Active","Exited")</f>
        <v>Active</v>
      </c>
      <c r="R887" s="2">
        <f ca="1">IFERROR(DATEDIF(Table1[[#This Row],[Hire Date]],IF(Table1[[#This Row],[Exit Date]]="",TODAY(),Table1[[#This Row],[Exit Date]]),"Y"),"")</f>
        <v>6</v>
      </c>
      <c r="S887" t="str" cm="1">
        <f t="array" ref="S887">_xlfn.IFS(Table1[[#This Row],[Age]]&lt;30,"Under 30",Table1[[#This Row],[Age]]&lt;=40,"30-40",Table1[[#This Row],[Age]]&lt;50,"41-50",TRUE,"50+")</f>
        <v>41-50</v>
      </c>
    </row>
    <row r="888" spans="1:19" x14ac:dyDescent="0.35">
      <c r="A888" t="s">
        <v>1777</v>
      </c>
      <c r="B888" t="s">
        <v>1778</v>
      </c>
      <c r="C888" t="s">
        <v>248</v>
      </c>
      <c r="D888" t="s">
        <v>17</v>
      </c>
      <c r="E888" t="s">
        <v>35</v>
      </c>
      <c r="F888" t="s">
        <v>19</v>
      </c>
      <c r="G888" t="s">
        <v>85</v>
      </c>
      <c r="H888" s="3">
        <v>36</v>
      </c>
      <c r="I888" s="8">
        <v>44217</v>
      </c>
      <c r="J888" s="4">
        <v>90333</v>
      </c>
      <c r="K888" s="1">
        <v>0</v>
      </c>
      <c r="L888" t="s">
        <v>93</v>
      </c>
      <c r="M888" t="s">
        <v>99</v>
      </c>
      <c r="O888" s="5">
        <f t="shared" si="13"/>
        <v>0</v>
      </c>
      <c r="P888" s="6">
        <f>Table1[[#This Row],[Annual Salary]]+Table1[[#This Row],[Bonus Amount]]</f>
        <v>90333</v>
      </c>
      <c r="Q888" t="str">
        <f>IF(Table1[[#This Row],[Exit Date]]="", "Active","Exited")</f>
        <v>Active</v>
      </c>
      <c r="R888" s="2">
        <f ca="1">IFERROR(DATEDIF(Table1[[#This Row],[Hire Date]],IF(Table1[[#This Row],[Exit Date]]="",TODAY(),Table1[[#This Row],[Exit Date]]),"Y"),"")</f>
        <v>5</v>
      </c>
      <c r="S888" t="str" cm="1">
        <f t="array" ref="S888">_xlfn.IFS(Table1[[#This Row],[Age]]&lt;30,"Under 30",Table1[[#This Row],[Age]]&lt;=40,"30-40",Table1[[#This Row],[Age]]&lt;50,"41-50",TRUE,"50+")</f>
        <v>30-40</v>
      </c>
    </row>
    <row r="889" spans="1:19" x14ac:dyDescent="0.35">
      <c r="A889" t="s">
        <v>1779</v>
      </c>
      <c r="B889" t="s">
        <v>1780</v>
      </c>
      <c r="C889" t="s">
        <v>164</v>
      </c>
      <c r="D889" t="s">
        <v>65</v>
      </c>
      <c r="E889" t="s">
        <v>35</v>
      </c>
      <c r="F889" t="s">
        <v>27</v>
      </c>
      <c r="G889" t="s">
        <v>28</v>
      </c>
      <c r="H889" s="3">
        <v>25</v>
      </c>
      <c r="I889" s="8">
        <v>44217</v>
      </c>
      <c r="J889" s="4">
        <v>67299</v>
      </c>
      <c r="K889" s="1">
        <v>0</v>
      </c>
      <c r="L889" t="s">
        <v>21</v>
      </c>
      <c r="M889" t="s">
        <v>44</v>
      </c>
      <c r="O889" s="5">
        <f t="shared" si="13"/>
        <v>0</v>
      </c>
      <c r="P889" s="6">
        <f>Table1[[#This Row],[Annual Salary]]+Table1[[#This Row],[Bonus Amount]]</f>
        <v>67299</v>
      </c>
      <c r="Q889" t="str">
        <f>IF(Table1[[#This Row],[Exit Date]]="", "Active","Exited")</f>
        <v>Active</v>
      </c>
      <c r="R889" s="2">
        <f ca="1">IFERROR(DATEDIF(Table1[[#This Row],[Hire Date]],IF(Table1[[#This Row],[Exit Date]]="",TODAY(),Table1[[#This Row],[Exit Date]]),"Y"),"")</f>
        <v>5</v>
      </c>
      <c r="S889" t="str" cm="1">
        <f t="array" ref="S889">_xlfn.IFS(Table1[[#This Row],[Age]]&lt;30,"Under 30",Table1[[#This Row],[Age]]&lt;=40,"30-40",Table1[[#This Row],[Age]]&lt;50,"41-50",TRUE,"50+")</f>
        <v>Under 30</v>
      </c>
    </row>
    <row r="890" spans="1:19" x14ac:dyDescent="0.35">
      <c r="A890" t="s">
        <v>1781</v>
      </c>
      <c r="B890" t="s">
        <v>1782</v>
      </c>
      <c r="C890" t="s">
        <v>330</v>
      </c>
      <c r="D890" t="s">
        <v>17</v>
      </c>
      <c r="E890" t="s">
        <v>18</v>
      </c>
      <c r="F890" t="s">
        <v>19</v>
      </c>
      <c r="G890" t="s">
        <v>36</v>
      </c>
      <c r="H890" s="3">
        <v>52</v>
      </c>
      <c r="I890" s="8">
        <v>38406</v>
      </c>
      <c r="J890" s="4">
        <v>45286</v>
      </c>
      <c r="K890" s="1">
        <v>0</v>
      </c>
      <c r="L890" t="s">
        <v>21</v>
      </c>
      <c r="M890" t="s">
        <v>37</v>
      </c>
      <c r="O890" s="5">
        <f t="shared" si="13"/>
        <v>0</v>
      </c>
      <c r="P890" s="6">
        <f>Table1[[#This Row],[Annual Salary]]+Table1[[#This Row],[Bonus Amount]]</f>
        <v>45286</v>
      </c>
      <c r="Q890" t="str">
        <f>IF(Table1[[#This Row],[Exit Date]]="", "Active","Exited")</f>
        <v>Active</v>
      </c>
      <c r="R890" s="2">
        <f ca="1">IFERROR(DATEDIF(Table1[[#This Row],[Hire Date]],IF(Table1[[#This Row],[Exit Date]]="",TODAY(),Table1[[#This Row],[Exit Date]]),"Y"),"")</f>
        <v>21</v>
      </c>
      <c r="S890" t="str" cm="1">
        <f t="array" ref="S890">_xlfn.IFS(Table1[[#This Row],[Age]]&lt;30,"Under 30",Table1[[#This Row],[Age]]&lt;=40,"30-40",Table1[[#This Row],[Age]]&lt;50,"41-50",TRUE,"50+")</f>
        <v>50+</v>
      </c>
    </row>
    <row r="891" spans="1:19" x14ac:dyDescent="0.35">
      <c r="A891" t="s">
        <v>1159</v>
      </c>
      <c r="B891" t="s">
        <v>1783</v>
      </c>
      <c r="C891" t="s">
        <v>33</v>
      </c>
      <c r="D891" t="s">
        <v>80</v>
      </c>
      <c r="E891" t="s">
        <v>18</v>
      </c>
      <c r="F891" t="s">
        <v>27</v>
      </c>
      <c r="G891" t="s">
        <v>36</v>
      </c>
      <c r="H891" s="3">
        <v>48</v>
      </c>
      <c r="I891" s="8">
        <v>39302</v>
      </c>
      <c r="J891" s="4">
        <v>194723</v>
      </c>
      <c r="K891" s="1">
        <v>0.25</v>
      </c>
      <c r="L891" t="s">
        <v>21</v>
      </c>
      <c r="M891" t="s">
        <v>44</v>
      </c>
      <c r="O891" s="5">
        <f t="shared" si="13"/>
        <v>48680.75</v>
      </c>
      <c r="P891" s="6">
        <f>Table1[[#This Row],[Annual Salary]]+Table1[[#This Row],[Bonus Amount]]</f>
        <v>243403.75</v>
      </c>
      <c r="Q891" t="str">
        <f>IF(Table1[[#This Row],[Exit Date]]="", "Active","Exited")</f>
        <v>Active</v>
      </c>
      <c r="R891" s="2">
        <f ca="1">IFERROR(DATEDIF(Table1[[#This Row],[Hire Date]],IF(Table1[[#This Row],[Exit Date]]="",TODAY(),Table1[[#This Row],[Exit Date]]),"Y"),"")</f>
        <v>18</v>
      </c>
      <c r="S891" t="str" cm="1">
        <f t="array" ref="S891">_xlfn.IFS(Table1[[#This Row],[Age]]&lt;30,"Under 30",Table1[[#This Row],[Age]]&lt;=40,"30-40",Table1[[#This Row],[Age]]&lt;50,"41-50",TRUE,"50+")</f>
        <v>41-50</v>
      </c>
    </row>
    <row r="892" spans="1:19" x14ac:dyDescent="0.35">
      <c r="A892" t="s">
        <v>1784</v>
      </c>
      <c r="B892" t="s">
        <v>1785</v>
      </c>
      <c r="C892" t="s">
        <v>52</v>
      </c>
      <c r="D892" t="s">
        <v>48</v>
      </c>
      <c r="E892" t="s">
        <v>18</v>
      </c>
      <c r="F892" t="s">
        <v>27</v>
      </c>
      <c r="G892" t="s">
        <v>28</v>
      </c>
      <c r="H892" s="3">
        <v>49</v>
      </c>
      <c r="I892" s="8">
        <v>41131</v>
      </c>
      <c r="J892" s="4">
        <v>109850</v>
      </c>
      <c r="K892" s="1">
        <v>7.0000000000000007E-2</v>
      </c>
      <c r="L892" t="s">
        <v>29</v>
      </c>
      <c r="M892" t="s">
        <v>114</v>
      </c>
      <c r="N892" s="7">
        <v>43865</v>
      </c>
      <c r="O892" s="5">
        <f t="shared" si="13"/>
        <v>7689.5000000000009</v>
      </c>
      <c r="P892" s="6">
        <f>Table1[[#This Row],[Annual Salary]]+Table1[[#This Row],[Bonus Amount]]</f>
        <v>117539.5</v>
      </c>
      <c r="Q892" t="str">
        <f>IF(Table1[[#This Row],[Exit Date]]="", "Active","Exited")</f>
        <v>Exited</v>
      </c>
      <c r="R892" s="2">
        <f ca="1">IFERROR(DATEDIF(Table1[[#This Row],[Hire Date]],IF(Table1[[#This Row],[Exit Date]]="",TODAY(),Table1[[#This Row],[Exit Date]]),"Y"),"")</f>
        <v>7</v>
      </c>
      <c r="S892" t="str" cm="1">
        <f t="array" ref="S892">_xlfn.IFS(Table1[[#This Row],[Age]]&lt;30,"Under 30",Table1[[#This Row],[Age]]&lt;=40,"30-40",Table1[[#This Row],[Age]]&lt;50,"41-50",TRUE,"50+")</f>
        <v>41-50</v>
      </c>
    </row>
    <row r="893" spans="1:19" x14ac:dyDescent="0.35">
      <c r="A893" t="s">
        <v>1786</v>
      </c>
      <c r="B893" t="s">
        <v>1787</v>
      </c>
      <c r="C893" t="s">
        <v>184</v>
      </c>
      <c r="D893" t="s">
        <v>65</v>
      </c>
      <c r="E893" t="s">
        <v>18</v>
      </c>
      <c r="F893" t="s">
        <v>19</v>
      </c>
      <c r="G893" t="s">
        <v>85</v>
      </c>
      <c r="H893" s="3">
        <v>62</v>
      </c>
      <c r="I893" s="8">
        <v>41748</v>
      </c>
      <c r="J893" s="4">
        <v>45295</v>
      </c>
      <c r="K893" s="1">
        <v>0</v>
      </c>
      <c r="L893" t="s">
        <v>93</v>
      </c>
      <c r="M893" t="s">
        <v>218</v>
      </c>
      <c r="O893" s="5">
        <f t="shared" si="13"/>
        <v>0</v>
      </c>
      <c r="P893" s="6">
        <f>Table1[[#This Row],[Annual Salary]]+Table1[[#This Row],[Bonus Amount]]</f>
        <v>45295</v>
      </c>
      <c r="Q893" t="str">
        <f>IF(Table1[[#This Row],[Exit Date]]="", "Active","Exited")</f>
        <v>Active</v>
      </c>
      <c r="R893" s="2">
        <f ca="1">IFERROR(DATEDIF(Table1[[#This Row],[Hire Date]],IF(Table1[[#This Row],[Exit Date]]="",TODAY(),Table1[[#This Row],[Exit Date]]),"Y"),"")</f>
        <v>11</v>
      </c>
      <c r="S893" t="str" cm="1">
        <f t="array" ref="S893">_xlfn.IFS(Table1[[#This Row],[Age]]&lt;30,"Under 30",Table1[[#This Row],[Age]]&lt;=40,"30-40",Table1[[#This Row],[Age]]&lt;50,"41-50",TRUE,"50+")</f>
        <v>50+</v>
      </c>
    </row>
    <row r="894" spans="1:19" x14ac:dyDescent="0.35">
      <c r="A894" t="s">
        <v>1788</v>
      </c>
      <c r="B894" t="s">
        <v>1789</v>
      </c>
      <c r="C894" t="s">
        <v>485</v>
      </c>
      <c r="D894" t="s">
        <v>17</v>
      </c>
      <c r="E894" t="s">
        <v>26</v>
      </c>
      <c r="F894" t="s">
        <v>19</v>
      </c>
      <c r="G894" t="s">
        <v>36</v>
      </c>
      <c r="H894" s="3">
        <v>36</v>
      </c>
      <c r="I894" s="8">
        <v>40413</v>
      </c>
      <c r="J894" s="4">
        <v>61310</v>
      </c>
      <c r="K894" s="1">
        <v>0</v>
      </c>
      <c r="L894" t="s">
        <v>21</v>
      </c>
      <c r="M894" t="s">
        <v>44</v>
      </c>
      <c r="O894" s="5">
        <f t="shared" si="13"/>
        <v>0</v>
      </c>
      <c r="P894" s="6">
        <f>Table1[[#This Row],[Annual Salary]]+Table1[[#This Row],[Bonus Amount]]</f>
        <v>61310</v>
      </c>
      <c r="Q894" t="str">
        <f>IF(Table1[[#This Row],[Exit Date]]="", "Active","Exited")</f>
        <v>Active</v>
      </c>
      <c r="R894" s="2">
        <f ca="1">IFERROR(DATEDIF(Table1[[#This Row],[Hire Date]],IF(Table1[[#This Row],[Exit Date]]="",TODAY(),Table1[[#This Row],[Exit Date]]),"Y"),"")</f>
        <v>15</v>
      </c>
      <c r="S894" t="str" cm="1">
        <f t="array" ref="S894">_xlfn.IFS(Table1[[#This Row],[Age]]&lt;30,"Under 30",Table1[[#This Row],[Age]]&lt;=40,"30-40",Table1[[#This Row],[Age]]&lt;50,"41-50",TRUE,"50+")</f>
        <v>30-40</v>
      </c>
    </row>
    <row r="895" spans="1:19" x14ac:dyDescent="0.35">
      <c r="A895" t="s">
        <v>407</v>
      </c>
      <c r="B895" t="s">
        <v>1563</v>
      </c>
      <c r="C895" t="s">
        <v>299</v>
      </c>
      <c r="D895" t="s">
        <v>17</v>
      </c>
      <c r="E895" t="s">
        <v>18</v>
      </c>
      <c r="F895" t="s">
        <v>27</v>
      </c>
      <c r="G895" t="s">
        <v>28</v>
      </c>
      <c r="H895" s="3">
        <v>55</v>
      </c>
      <c r="I895" s="8">
        <v>42683</v>
      </c>
      <c r="J895" s="4">
        <v>87851</v>
      </c>
      <c r="K895" s="1">
        <v>0</v>
      </c>
      <c r="L895" t="s">
        <v>29</v>
      </c>
      <c r="M895" t="s">
        <v>30</v>
      </c>
      <c r="O895" s="5">
        <f t="shared" si="13"/>
        <v>0</v>
      </c>
      <c r="P895" s="6">
        <f>Table1[[#This Row],[Annual Salary]]+Table1[[#This Row],[Bonus Amount]]</f>
        <v>87851</v>
      </c>
      <c r="Q895" t="str">
        <f>IF(Table1[[#This Row],[Exit Date]]="", "Active","Exited")</f>
        <v>Active</v>
      </c>
      <c r="R895" s="2">
        <f ca="1">IFERROR(DATEDIF(Table1[[#This Row],[Hire Date]],IF(Table1[[#This Row],[Exit Date]]="",TODAY(),Table1[[#This Row],[Exit Date]]),"Y"),"")</f>
        <v>9</v>
      </c>
      <c r="S895" t="str" cm="1">
        <f t="array" ref="S895">_xlfn.IFS(Table1[[#This Row],[Age]]&lt;30,"Under 30",Table1[[#This Row],[Age]]&lt;=40,"30-40",Table1[[#This Row],[Age]]&lt;50,"41-50",TRUE,"50+")</f>
        <v>50+</v>
      </c>
    </row>
    <row r="896" spans="1:19" x14ac:dyDescent="0.35">
      <c r="A896" t="s">
        <v>1790</v>
      </c>
      <c r="B896" t="s">
        <v>1791</v>
      </c>
      <c r="C896" t="s">
        <v>184</v>
      </c>
      <c r="D896" t="s">
        <v>65</v>
      </c>
      <c r="E896" t="s">
        <v>35</v>
      </c>
      <c r="F896" t="s">
        <v>19</v>
      </c>
      <c r="G896" t="s">
        <v>28</v>
      </c>
      <c r="H896" s="3">
        <v>31</v>
      </c>
      <c r="I896" s="8">
        <v>43171</v>
      </c>
      <c r="J896" s="4">
        <v>47913</v>
      </c>
      <c r="K896" s="1">
        <v>0</v>
      </c>
      <c r="L896" t="s">
        <v>21</v>
      </c>
      <c r="M896" t="s">
        <v>22</v>
      </c>
      <c r="O896" s="5">
        <f t="shared" si="13"/>
        <v>0</v>
      </c>
      <c r="P896" s="6">
        <f>Table1[[#This Row],[Annual Salary]]+Table1[[#This Row],[Bonus Amount]]</f>
        <v>47913</v>
      </c>
      <c r="Q896" t="str">
        <f>IF(Table1[[#This Row],[Exit Date]]="", "Active","Exited")</f>
        <v>Active</v>
      </c>
      <c r="R896" s="2">
        <f ca="1">IFERROR(DATEDIF(Table1[[#This Row],[Hire Date]],IF(Table1[[#This Row],[Exit Date]]="",TODAY(),Table1[[#This Row],[Exit Date]]),"Y"),"")</f>
        <v>8</v>
      </c>
      <c r="S896" t="str" cm="1">
        <f t="array" ref="S896">_xlfn.IFS(Table1[[#This Row],[Age]]&lt;30,"Under 30",Table1[[#This Row],[Age]]&lt;=40,"30-40",Table1[[#This Row],[Age]]&lt;50,"41-50",TRUE,"50+")</f>
        <v>30-40</v>
      </c>
    </row>
    <row r="897" spans="1:19" x14ac:dyDescent="0.35">
      <c r="A897" t="s">
        <v>1792</v>
      </c>
      <c r="B897" t="s">
        <v>1793</v>
      </c>
      <c r="C897" t="s">
        <v>184</v>
      </c>
      <c r="D897" t="s">
        <v>65</v>
      </c>
      <c r="E897" t="s">
        <v>35</v>
      </c>
      <c r="F897" t="s">
        <v>19</v>
      </c>
      <c r="G897" t="s">
        <v>28</v>
      </c>
      <c r="H897" s="3">
        <v>53</v>
      </c>
      <c r="I897" s="8">
        <v>42985</v>
      </c>
      <c r="J897" s="4">
        <v>46727</v>
      </c>
      <c r="K897" s="1">
        <v>0</v>
      </c>
      <c r="L897" t="s">
        <v>21</v>
      </c>
      <c r="M897" t="s">
        <v>88</v>
      </c>
      <c r="N897" s="7">
        <v>43251</v>
      </c>
      <c r="O897" s="5">
        <f t="shared" si="13"/>
        <v>0</v>
      </c>
      <c r="P897" s="6">
        <f>Table1[[#This Row],[Annual Salary]]+Table1[[#This Row],[Bonus Amount]]</f>
        <v>46727</v>
      </c>
      <c r="Q897" t="str">
        <f>IF(Table1[[#This Row],[Exit Date]]="", "Active","Exited")</f>
        <v>Exited</v>
      </c>
      <c r="R897" s="2">
        <f ca="1">IFERROR(DATEDIF(Table1[[#This Row],[Hire Date]],IF(Table1[[#This Row],[Exit Date]]="",TODAY(),Table1[[#This Row],[Exit Date]]),"Y"),"")</f>
        <v>0</v>
      </c>
      <c r="S897" t="str" cm="1">
        <f t="array" ref="S897">_xlfn.IFS(Table1[[#This Row],[Age]]&lt;30,"Under 30",Table1[[#This Row],[Age]]&lt;=40,"30-40",Table1[[#This Row],[Age]]&lt;50,"41-50",TRUE,"50+")</f>
        <v>50+</v>
      </c>
    </row>
    <row r="898" spans="1:19" x14ac:dyDescent="0.35">
      <c r="A898" t="s">
        <v>1794</v>
      </c>
      <c r="B898" t="s">
        <v>1795</v>
      </c>
      <c r="C898" t="s">
        <v>16</v>
      </c>
      <c r="D898" t="s">
        <v>65</v>
      </c>
      <c r="E898" t="s">
        <v>35</v>
      </c>
      <c r="F898" t="s">
        <v>27</v>
      </c>
      <c r="G898" t="s">
        <v>28</v>
      </c>
      <c r="H898" s="3">
        <v>27</v>
      </c>
      <c r="I898" s="8">
        <v>44302</v>
      </c>
      <c r="J898" s="4">
        <v>133400</v>
      </c>
      <c r="K898" s="1">
        <v>0.11</v>
      </c>
      <c r="L898" t="s">
        <v>21</v>
      </c>
      <c r="M898" t="s">
        <v>44</v>
      </c>
      <c r="O898" s="5">
        <f t="shared" si="13"/>
        <v>14674</v>
      </c>
      <c r="P898" s="6">
        <f>Table1[[#This Row],[Annual Salary]]+Table1[[#This Row],[Bonus Amount]]</f>
        <v>148074</v>
      </c>
      <c r="Q898" t="str">
        <f>IF(Table1[[#This Row],[Exit Date]]="", "Active","Exited")</f>
        <v>Active</v>
      </c>
      <c r="R898" s="2">
        <f ca="1">IFERROR(DATEDIF(Table1[[#This Row],[Hire Date]],IF(Table1[[#This Row],[Exit Date]]="",TODAY(),Table1[[#This Row],[Exit Date]]),"Y"),"")</f>
        <v>4</v>
      </c>
      <c r="S898" t="str" cm="1">
        <f t="array" ref="S898">_xlfn.IFS(Table1[[#This Row],[Age]]&lt;30,"Under 30",Table1[[#This Row],[Age]]&lt;=40,"30-40",Table1[[#This Row],[Age]]&lt;50,"41-50",TRUE,"50+")</f>
        <v>Under 30</v>
      </c>
    </row>
    <row r="899" spans="1:19" x14ac:dyDescent="0.35">
      <c r="A899" t="s">
        <v>1796</v>
      </c>
      <c r="B899" t="s">
        <v>1797</v>
      </c>
      <c r="C899" t="s">
        <v>372</v>
      </c>
      <c r="D899" t="s">
        <v>17</v>
      </c>
      <c r="E899" t="s">
        <v>35</v>
      </c>
      <c r="F899" t="s">
        <v>19</v>
      </c>
      <c r="G899" t="s">
        <v>28</v>
      </c>
      <c r="H899" s="3">
        <v>39</v>
      </c>
      <c r="I899" s="8">
        <v>43943</v>
      </c>
      <c r="J899" s="4">
        <v>90535</v>
      </c>
      <c r="K899" s="1">
        <v>0</v>
      </c>
      <c r="L899" t="s">
        <v>21</v>
      </c>
      <c r="M899" t="s">
        <v>56</v>
      </c>
      <c r="O899" s="5">
        <f t="shared" ref="O899:O962" si="14">J899*K899</f>
        <v>0</v>
      </c>
      <c r="P899" s="6">
        <f>Table1[[#This Row],[Annual Salary]]+Table1[[#This Row],[Bonus Amount]]</f>
        <v>90535</v>
      </c>
      <c r="Q899" t="str">
        <f>IF(Table1[[#This Row],[Exit Date]]="", "Active","Exited")</f>
        <v>Active</v>
      </c>
      <c r="R899" s="2">
        <f ca="1">IFERROR(DATEDIF(Table1[[#This Row],[Hire Date]],IF(Table1[[#This Row],[Exit Date]]="",TODAY(),Table1[[#This Row],[Exit Date]]),"Y"),"")</f>
        <v>5</v>
      </c>
      <c r="S899" t="str" cm="1">
        <f t="array" ref="S899">_xlfn.IFS(Table1[[#This Row],[Age]]&lt;30,"Under 30",Table1[[#This Row],[Age]]&lt;=40,"30-40",Table1[[#This Row],[Age]]&lt;50,"41-50",TRUE,"50+")</f>
        <v>30-40</v>
      </c>
    </row>
    <row r="900" spans="1:19" x14ac:dyDescent="0.35">
      <c r="A900" t="s">
        <v>1798</v>
      </c>
      <c r="B900" t="s">
        <v>1799</v>
      </c>
      <c r="C900" t="s">
        <v>43</v>
      </c>
      <c r="D900" t="s">
        <v>80</v>
      </c>
      <c r="E900" t="s">
        <v>35</v>
      </c>
      <c r="F900" t="s">
        <v>27</v>
      </c>
      <c r="G900" t="s">
        <v>28</v>
      </c>
      <c r="H900" s="3">
        <v>55</v>
      </c>
      <c r="I900" s="8">
        <v>38909</v>
      </c>
      <c r="J900" s="4">
        <v>93343</v>
      </c>
      <c r="K900" s="1">
        <v>0</v>
      </c>
      <c r="L900" t="s">
        <v>29</v>
      </c>
      <c r="M900" t="s">
        <v>30</v>
      </c>
      <c r="O900" s="5">
        <f t="shared" si="14"/>
        <v>0</v>
      </c>
      <c r="P900" s="6">
        <f>Table1[[#This Row],[Annual Salary]]+Table1[[#This Row],[Bonus Amount]]</f>
        <v>93343</v>
      </c>
      <c r="Q900" t="str">
        <f>IF(Table1[[#This Row],[Exit Date]]="", "Active","Exited")</f>
        <v>Active</v>
      </c>
      <c r="R900" s="2">
        <f ca="1">IFERROR(DATEDIF(Table1[[#This Row],[Hire Date]],IF(Table1[[#This Row],[Exit Date]]="",TODAY(),Table1[[#This Row],[Exit Date]]),"Y"),"")</f>
        <v>19</v>
      </c>
      <c r="S900" t="str" cm="1">
        <f t="array" ref="S900">_xlfn.IFS(Table1[[#This Row],[Age]]&lt;30,"Under 30",Table1[[#This Row],[Age]]&lt;=40,"30-40",Table1[[#This Row],[Age]]&lt;50,"41-50",TRUE,"50+")</f>
        <v>50+</v>
      </c>
    </row>
    <row r="901" spans="1:19" x14ac:dyDescent="0.35">
      <c r="A901" t="s">
        <v>1794</v>
      </c>
      <c r="B901" t="s">
        <v>1800</v>
      </c>
      <c r="C901" t="s">
        <v>164</v>
      </c>
      <c r="D901" t="s">
        <v>65</v>
      </c>
      <c r="E901" t="s">
        <v>49</v>
      </c>
      <c r="F901" t="s">
        <v>19</v>
      </c>
      <c r="G901" t="s">
        <v>28</v>
      </c>
      <c r="H901" s="3">
        <v>44</v>
      </c>
      <c r="I901" s="8">
        <v>38771</v>
      </c>
      <c r="J901" s="4">
        <v>63705</v>
      </c>
      <c r="K901" s="1">
        <v>0</v>
      </c>
      <c r="L901" t="s">
        <v>21</v>
      </c>
      <c r="M901" t="s">
        <v>56</v>
      </c>
      <c r="O901" s="5">
        <f t="shared" si="14"/>
        <v>0</v>
      </c>
      <c r="P901" s="6">
        <f>Table1[[#This Row],[Annual Salary]]+Table1[[#This Row],[Bonus Amount]]</f>
        <v>63705</v>
      </c>
      <c r="Q901" t="str">
        <f>IF(Table1[[#This Row],[Exit Date]]="", "Active","Exited")</f>
        <v>Active</v>
      </c>
      <c r="R901" s="2">
        <f ca="1">IFERROR(DATEDIF(Table1[[#This Row],[Hire Date]],IF(Table1[[#This Row],[Exit Date]]="",TODAY(),Table1[[#This Row],[Exit Date]]),"Y"),"")</f>
        <v>20</v>
      </c>
      <c r="S901" t="str" cm="1">
        <f t="array" ref="S901">_xlfn.IFS(Table1[[#This Row],[Age]]&lt;30,"Under 30",Table1[[#This Row],[Age]]&lt;=40,"30-40",Table1[[#This Row],[Age]]&lt;50,"41-50",TRUE,"50+")</f>
        <v>41-50</v>
      </c>
    </row>
    <row r="902" spans="1:19" x14ac:dyDescent="0.35">
      <c r="A902" t="s">
        <v>1801</v>
      </c>
      <c r="B902" t="s">
        <v>1802</v>
      </c>
      <c r="C902" t="s">
        <v>79</v>
      </c>
      <c r="D902" t="s">
        <v>48</v>
      </c>
      <c r="E902" t="s">
        <v>49</v>
      </c>
      <c r="F902" t="s">
        <v>27</v>
      </c>
      <c r="G902" t="s">
        <v>85</v>
      </c>
      <c r="H902" s="3">
        <v>48</v>
      </c>
      <c r="I902" s="8">
        <v>36584</v>
      </c>
      <c r="J902" s="4">
        <v>258081</v>
      </c>
      <c r="K902" s="1">
        <v>0.3</v>
      </c>
      <c r="L902" t="s">
        <v>21</v>
      </c>
      <c r="M902" t="s">
        <v>37</v>
      </c>
      <c r="O902" s="5">
        <f t="shared" si="14"/>
        <v>77424.3</v>
      </c>
      <c r="P902" s="6">
        <f>Table1[[#This Row],[Annual Salary]]+Table1[[#This Row],[Bonus Amount]]</f>
        <v>335505.3</v>
      </c>
      <c r="Q902" t="str">
        <f>IF(Table1[[#This Row],[Exit Date]]="", "Active","Exited")</f>
        <v>Active</v>
      </c>
      <c r="R902" s="2">
        <f ca="1">IFERROR(DATEDIF(Table1[[#This Row],[Hire Date]],IF(Table1[[#This Row],[Exit Date]]="",TODAY(),Table1[[#This Row],[Exit Date]]),"Y"),"")</f>
        <v>26</v>
      </c>
      <c r="S902" t="str" cm="1">
        <f t="array" ref="S902">_xlfn.IFS(Table1[[#This Row],[Age]]&lt;30,"Under 30",Table1[[#This Row],[Age]]&lt;=40,"30-40",Table1[[#This Row],[Age]]&lt;50,"41-50",TRUE,"50+")</f>
        <v>41-50</v>
      </c>
    </row>
    <row r="903" spans="1:19" x14ac:dyDescent="0.35">
      <c r="A903" t="s">
        <v>1803</v>
      </c>
      <c r="B903" t="s">
        <v>1804</v>
      </c>
      <c r="C903" t="s">
        <v>184</v>
      </c>
      <c r="D903" t="s">
        <v>65</v>
      </c>
      <c r="E903" t="s">
        <v>18</v>
      </c>
      <c r="F903" t="s">
        <v>27</v>
      </c>
      <c r="G903" t="s">
        <v>20</v>
      </c>
      <c r="H903" s="3">
        <v>48</v>
      </c>
      <c r="I903" s="8">
        <v>44095</v>
      </c>
      <c r="J903" s="4">
        <v>54654</v>
      </c>
      <c r="K903" s="1">
        <v>0</v>
      </c>
      <c r="L903" t="s">
        <v>21</v>
      </c>
      <c r="M903" t="s">
        <v>44</v>
      </c>
      <c r="O903" s="5">
        <f t="shared" si="14"/>
        <v>0</v>
      </c>
      <c r="P903" s="6">
        <f>Table1[[#This Row],[Annual Salary]]+Table1[[#This Row],[Bonus Amount]]</f>
        <v>54654</v>
      </c>
      <c r="Q903" t="str">
        <f>IF(Table1[[#This Row],[Exit Date]]="", "Active","Exited")</f>
        <v>Active</v>
      </c>
      <c r="R903" s="2">
        <f ca="1">IFERROR(DATEDIF(Table1[[#This Row],[Hire Date]],IF(Table1[[#This Row],[Exit Date]]="",TODAY(),Table1[[#This Row],[Exit Date]]),"Y"),"")</f>
        <v>5</v>
      </c>
      <c r="S903" t="str" cm="1">
        <f t="array" ref="S903">_xlfn.IFS(Table1[[#This Row],[Age]]&lt;30,"Under 30",Table1[[#This Row],[Age]]&lt;=40,"30-40",Table1[[#This Row],[Age]]&lt;50,"41-50",TRUE,"50+")</f>
        <v>41-50</v>
      </c>
    </row>
    <row r="904" spans="1:19" x14ac:dyDescent="0.35">
      <c r="A904" t="s">
        <v>1805</v>
      </c>
      <c r="B904" t="s">
        <v>1806</v>
      </c>
      <c r="C904" t="s">
        <v>55</v>
      </c>
      <c r="D904" t="s">
        <v>48</v>
      </c>
      <c r="E904" t="s">
        <v>26</v>
      </c>
      <c r="F904" t="s">
        <v>27</v>
      </c>
      <c r="G904" t="s">
        <v>36</v>
      </c>
      <c r="H904" s="3">
        <v>54</v>
      </c>
      <c r="I904" s="8">
        <v>36062</v>
      </c>
      <c r="J904" s="4">
        <v>58006</v>
      </c>
      <c r="K904" s="1">
        <v>0</v>
      </c>
      <c r="L904" t="s">
        <v>21</v>
      </c>
      <c r="M904" t="s">
        <v>22</v>
      </c>
      <c r="O904" s="5">
        <f t="shared" si="14"/>
        <v>0</v>
      </c>
      <c r="P904" s="6">
        <f>Table1[[#This Row],[Annual Salary]]+Table1[[#This Row],[Bonus Amount]]</f>
        <v>58006</v>
      </c>
      <c r="Q904" t="str">
        <f>IF(Table1[[#This Row],[Exit Date]]="", "Active","Exited")</f>
        <v>Active</v>
      </c>
      <c r="R904" s="2">
        <f ca="1">IFERROR(DATEDIF(Table1[[#This Row],[Hire Date]],IF(Table1[[#This Row],[Exit Date]]="",TODAY(),Table1[[#This Row],[Exit Date]]),"Y"),"")</f>
        <v>27</v>
      </c>
      <c r="S904" t="str" cm="1">
        <f t="array" ref="S904">_xlfn.IFS(Table1[[#This Row],[Age]]&lt;30,"Under 30",Table1[[#This Row],[Age]]&lt;=40,"30-40",Table1[[#This Row],[Age]]&lt;50,"41-50",TRUE,"50+")</f>
        <v>50+</v>
      </c>
    </row>
    <row r="905" spans="1:19" x14ac:dyDescent="0.35">
      <c r="A905" t="s">
        <v>546</v>
      </c>
      <c r="B905" t="s">
        <v>789</v>
      </c>
      <c r="C905" t="s">
        <v>16</v>
      </c>
      <c r="D905" t="s">
        <v>34</v>
      </c>
      <c r="E905" t="s">
        <v>26</v>
      </c>
      <c r="F905" t="s">
        <v>19</v>
      </c>
      <c r="G905" t="s">
        <v>28</v>
      </c>
      <c r="H905" s="3">
        <v>42</v>
      </c>
      <c r="I905" s="8">
        <v>40620</v>
      </c>
      <c r="J905" s="4">
        <v>150034</v>
      </c>
      <c r="K905" s="1">
        <v>0.12</v>
      </c>
      <c r="L905" t="s">
        <v>29</v>
      </c>
      <c r="M905" t="s">
        <v>114</v>
      </c>
      <c r="O905" s="5">
        <f t="shared" si="14"/>
        <v>18004.079999999998</v>
      </c>
      <c r="P905" s="6">
        <f>Table1[[#This Row],[Annual Salary]]+Table1[[#This Row],[Bonus Amount]]</f>
        <v>168038.08</v>
      </c>
      <c r="Q905" t="str">
        <f>IF(Table1[[#This Row],[Exit Date]]="", "Active","Exited")</f>
        <v>Active</v>
      </c>
      <c r="R905" s="2">
        <f ca="1">IFERROR(DATEDIF(Table1[[#This Row],[Hire Date]],IF(Table1[[#This Row],[Exit Date]]="",TODAY(),Table1[[#This Row],[Exit Date]]),"Y"),"")</f>
        <v>15</v>
      </c>
      <c r="S905" t="str" cm="1">
        <f t="array" ref="S905">_xlfn.IFS(Table1[[#This Row],[Age]]&lt;30,"Under 30",Table1[[#This Row],[Age]]&lt;=40,"30-40",Table1[[#This Row],[Age]]&lt;50,"41-50",TRUE,"50+")</f>
        <v>41-50</v>
      </c>
    </row>
    <row r="906" spans="1:19" x14ac:dyDescent="0.35">
      <c r="A906" t="s">
        <v>1725</v>
      </c>
      <c r="B906" t="s">
        <v>1807</v>
      </c>
      <c r="C906" t="s">
        <v>33</v>
      </c>
      <c r="D906" t="s">
        <v>65</v>
      </c>
      <c r="E906" t="s">
        <v>35</v>
      </c>
      <c r="F906" t="s">
        <v>19</v>
      </c>
      <c r="G906" t="s">
        <v>28</v>
      </c>
      <c r="H906" s="3">
        <v>38</v>
      </c>
      <c r="I906" s="8">
        <v>39232</v>
      </c>
      <c r="J906" s="4">
        <v>198562</v>
      </c>
      <c r="K906" s="1">
        <v>0.22</v>
      </c>
      <c r="L906" t="s">
        <v>21</v>
      </c>
      <c r="M906" t="s">
        <v>22</v>
      </c>
      <c r="O906" s="5">
        <f t="shared" si="14"/>
        <v>43683.64</v>
      </c>
      <c r="P906" s="6">
        <f>Table1[[#This Row],[Annual Salary]]+Table1[[#This Row],[Bonus Amount]]</f>
        <v>242245.64</v>
      </c>
      <c r="Q906" t="str">
        <f>IF(Table1[[#This Row],[Exit Date]]="", "Active","Exited")</f>
        <v>Active</v>
      </c>
      <c r="R906" s="2">
        <f ca="1">IFERROR(DATEDIF(Table1[[#This Row],[Hire Date]],IF(Table1[[#This Row],[Exit Date]]="",TODAY(),Table1[[#This Row],[Exit Date]]),"Y"),"")</f>
        <v>18</v>
      </c>
      <c r="S906" t="str" cm="1">
        <f t="array" ref="S906">_xlfn.IFS(Table1[[#This Row],[Age]]&lt;30,"Under 30",Table1[[#This Row],[Age]]&lt;=40,"30-40",Table1[[#This Row],[Age]]&lt;50,"41-50",TRUE,"50+")</f>
        <v>30-40</v>
      </c>
    </row>
    <row r="907" spans="1:19" x14ac:dyDescent="0.35">
      <c r="A907" t="s">
        <v>1808</v>
      </c>
      <c r="B907" t="s">
        <v>1809</v>
      </c>
      <c r="C907" t="s">
        <v>47</v>
      </c>
      <c r="D907" t="s">
        <v>48</v>
      </c>
      <c r="E907" t="s">
        <v>18</v>
      </c>
      <c r="F907" t="s">
        <v>19</v>
      </c>
      <c r="G907" t="s">
        <v>20</v>
      </c>
      <c r="H907" s="3">
        <v>40</v>
      </c>
      <c r="I907" s="8">
        <v>39960</v>
      </c>
      <c r="J907" s="4">
        <v>62411</v>
      </c>
      <c r="K907" s="1">
        <v>0</v>
      </c>
      <c r="L907" t="s">
        <v>21</v>
      </c>
      <c r="M907" t="s">
        <v>56</v>
      </c>
      <c r="N907" s="7">
        <v>44422</v>
      </c>
      <c r="O907" s="5">
        <f t="shared" si="14"/>
        <v>0</v>
      </c>
      <c r="P907" s="6">
        <f>Table1[[#This Row],[Annual Salary]]+Table1[[#This Row],[Bonus Amount]]</f>
        <v>62411</v>
      </c>
      <c r="Q907" t="str">
        <f>IF(Table1[[#This Row],[Exit Date]]="", "Active","Exited")</f>
        <v>Exited</v>
      </c>
      <c r="R907" s="2">
        <f ca="1">IFERROR(DATEDIF(Table1[[#This Row],[Hire Date]],IF(Table1[[#This Row],[Exit Date]]="",TODAY(),Table1[[#This Row],[Exit Date]]),"Y"),"")</f>
        <v>12</v>
      </c>
      <c r="S907" t="str" cm="1">
        <f t="array" ref="S907">_xlfn.IFS(Table1[[#This Row],[Age]]&lt;30,"Under 30",Table1[[#This Row],[Age]]&lt;=40,"30-40",Table1[[#This Row],[Age]]&lt;50,"41-50",TRUE,"50+")</f>
        <v>30-40</v>
      </c>
    </row>
    <row r="908" spans="1:19" x14ac:dyDescent="0.35">
      <c r="A908" t="s">
        <v>1810</v>
      </c>
      <c r="B908" t="s">
        <v>1811</v>
      </c>
      <c r="C908" t="s">
        <v>113</v>
      </c>
      <c r="D908" t="s">
        <v>69</v>
      </c>
      <c r="E908" t="s">
        <v>18</v>
      </c>
      <c r="F908" t="s">
        <v>27</v>
      </c>
      <c r="G908" t="s">
        <v>28</v>
      </c>
      <c r="H908" s="3">
        <v>57</v>
      </c>
      <c r="I908" s="8">
        <v>33612</v>
      </c>
      <c r="J908" s="4">
        <v>111299</v>
      </c>
      <c r="K908" s="1">
        <v>0.12</v>
      </c>
      <c r="L908" t="s">
        <v>21</v>
      </c>
      <c r="M908" t="s">
        <v>56</v>
      </c>
      <c r="O908" s="5">
        <f t="shared" si="14"/>
        <v>13355.88</v>
      </c>
      <c r="P908" s="6">
        <f>Table1[[#This Row],[Annual Salary]]+Table1[[#This Row],[Bonus Amount]]</f>
        <v>124654.88</v>
      </c>
      <c r="Q908" t="str">
        <f>IF(Table1[[#This Row],[Exit Date]]="", "Active","Exited")</f>
        <v>Active</v>
      </c>
      <c r="R908" s="2">
        <f ca="1">IFERROR(DATEDIF(Table1[[#This Row],[Hire Date]],IF(Table1[[#This Row],[Exit Date]]="",TODAY(),Table1[[#This Row],[Exit Date]]),"Y"),"")</f>
        <v>34</v>
      </c>
      <c r="S908" t="str" cm="1">
        <f t="array" ref="S908">_xlfn.IFS(Table1[[#This Row],[Age]]&lt;30,"Under 30",Table1[[#This Row],[Age]]&lt;=40,"30-40",Table1[[#This Row],[Age]]&lt;50,"41-50",TRUE,"50+")</f>
        <v>50+</v>
      </c>
    </row>
    <row r="909" spans="1:19" x14ac:dyDescent="0.35">
      <c r="A909" t="s">
        <v>1576</v>
      </c>
      <c r="B909" t="s">
        <v>1812</v>
      </c>
      <c r="C909" t="s">
        <v>55</v>
      </c>
      <c r="D909" t="s">
        <v>80</v>
      </c>
      <c r="E909" t="s">
        <v>18</v>
      </c>
      <c r="F909" t="s">
        <v>19</v>
      </c>
      <c r="G909" t="s">
        <v>36</v>
      </c>
      <c r="H909" s="3">
        <v>43</v>
      </c>
      <c r="I909" s="8">
        <v>43659</v>
      </c>
      <c r="J909" s="4">
        <v>41545</v>
      </c>
      <c r="K909" s="1">
        <v>0</v>
      </c>
      <c r="L909" t="s">
        <v>21</v>
      </c>
      <c r="M909" t="s">
        <v>56</v>
      </c>
      <c r="O909" s="5">
        <f t="shared" si="14"/>
        <v>0</v>
      </c>
      <c r="P909" s="6">
        <f>Table1[[#This Row],[Annual Salary]]+Table1[[#This Row],[Bonus Amount]]</f>
        <v>41545</v>
      </c>
      <c r="Q909" t="str">
        <f>IF(Table1[[#This Row],[Exit Date]]="", "Active","Exited")</f>
        <v>Active</v>
      </c>
      <c r="R909" s="2">
        <f ca="1">IFERROR(DATEDIF(Table1[[#This Row],[Hire Date]],IF(Table1[[#This Row],[Exit Date]]="",TODAY(),Table1[[#This Row],[Exit Date]]),"Y"),"")</f>
        <v>6</v>
      </c>
      <c r="S909" t="str" cm="1">
        <f t="array" ref="S909">_xlfn.IFS(Table1[[#This Row],[Age]]&lt;30,"Under 30",Table1[[#This Row],[Age]]&lt;=40,"30-40",Table1[[#This Row],[Age]]&lt;50,"41-50",TRUE,"50+")</f>
        <v>41-50</v>
      </c>
    </row>
    <row r="910" spans="1:19" x14ac:dyDescent="0.35">
      <c r="A910" t="s">
        <v>1813</v>
      </c>
      <c r="B910" t="s">
        <v>1814</v>
      </c>
      <c r="C910" t="s">
        <v>251</v>
      </c>
      <c r="D910" t="s">
        <v>17</v>
      </c>
      <c r="E910" t="s">
        <v>26</v>
      </c>
      <c r="F910" t="s">
        <v>27</v>
      </c>
      <c r="G910" t="s">
        <v>85</v>
      </c>
      <c r="H910" s="3">
        <v>26</v>
      </c>
      <c r="I910" s="8">
        <v>43569</v>
      </c>
      <c r="J910" s="4">
        <v>74467</v>
      </c>
      <c r="K910" s="1">
        <v>0</v>
      </c>
      <c r="L910" t="s">
        <v>21</v>
      </c>
      <c r="M910" t="s">
        <v>88</v>
      </c>
      <c r="N910" s="7">
        <v>44211</v>
      </c>
      <c r="O910" s="5">
        <f t="shared" si="14"/>
        <v>0</v>
      </c>
      <c r="P910" s="6">
        <f>Table1[[#This Row],[Annual Salary]]+Table1[[#This Row],[Bonus Amount]]</f>
        <v>74467</v>
      </c>
      <c r="Q910" t="str">
        <f>IF(Table1[[#This Row],[Exit Date]]="", "Active","Exited")</f>
        <v>Exited</v>
      </c>
      <c r="R910" s="2">
        <f ca="1">IFERROR(DATEDIF(Table1[[#This Row],[Hire Date]],IF(Table1[[#This Row],[Exit Date]]="",TODAY(),Table1[[#This Row],[Exit Date]]),"Y"),"")</f>
        <v>1</v>
      </c>
      <c r="S910" t="str" cm="1">
        <f t="array" ref="S910">_xlfn.IFS(Table1[[#This Row],[Age]]&lt;30,"Under 30",Table1[[#This Row],[Age]]&lt;=40,"30-40",Table1[[#This Row],[Age]]&lt;50,"41-50",TRUE,"50+")</f>
        <v>Under 30</v>
      </c>
    </row>
    <row r="911" spans="1:19" x14ac:dyDescent="0.35">
      <c r="A911" t="s">
        <v>1718</v>
      </c>
      <c r="B911" t="s">
        <v>1815</v>
      </c>
      <c r="C911" t="s">
        <v>52</v>
      </c>
      <c r="D911" t="s">
        <v>59</v>
      </c>
      <c r="E911" t="s">
        <v>18</v>
      </c>
      <c r="F911" t="s">
        <v>27</v>
      </c>
      <c r="G911" t="s">
        <v>36</v>
      </c>
      <c r="H911" s="3">
        <v>44</v>
      </c>
      <c r="I911" s="8">
        <v>37296</v>
      </c>
      <c r="J911" s="4">
        <v>117545</v>
      </c>
      <c r="K911" s="1">
        <v>0.06</v>
      </c>
      <c r="L911" t="s">
        <v>21</v>
      </c>
      <c r="M911" t="s">
        <v>44</v>
      </c>
      <c r="O911" s="5">
        <f t="shared" si="14"/>
        <v>7052.7</v>
      </c>
      <c r="P911" s="6">
        <f>Table1[[#This Row],[Annual Salary]]+Table1[[#This Row],[Bonus Amount]]</f>
        <v>124597.7</v>
      </c>
      <c r="Q911" t="str">
        <f>IF(Table1[[#This Row],[Exit Date]]="", "Active","Exited")</f>
        <v>Active</v>
      </c>
      <c r="R911" s="2">
        <f ca="1">IFERROR(DATEDIF(Table1[[#This Row],[Hire Date]],IF(Table1[[#This Row],[Exit Date]]="",TODAY(),Table1[[#This Row],[Exit Date]]),"Y"),"")</f>
        <v>24</v>
      </c>
      <c r="S911" t="str" cm="1">
        <f t="array" ref="S911">_xlfn.IFS(Table1[[#This Row],[Age]]&lt;30,"Under 30",Table1[[#This Row],[Age]]&lt;=40,"30-40",Table1[[#This Row],[Age]]&lt;50,"41-50",TRUE,"50+")</f>
        <v>41-50</v>
      </c>
    </row>
    <row r="912" spans="1:19" x14ac:dyDescent="0.35">
      <c r="A912" t="s">
        <v>1816</v>
      </c>
      <c r="B912" t="s">
        <v>1817</v>
      </c>
      <c r="C912" t="s">
        <v>52</v>
      </c>
      <c r="D912" t="s">
        <v>65</v>
      </c>
      <c r="E912" t="s">
        <v>35</v>
      </c>
      <c r="F912" t="s">
        <v>27</v>
      </c>
      <c r="G912" t="s">
        <v>28</v>
      </c>
      <c r="H912" s="3">
        <v>50</v>
      </c>
      <c r="I912" s="8">
        <v>40983</v>
      </c>
      <c r="J912" s="4">
        <v>117226</v>
      </c>
      <c r="K912" s="1">
        <v>0.08</v>
      </c>
      <c r="L912" t="s">
        <v>21</v>
      </c>
      <c r="M912" t="s">
        <v>44</v>
      </c>
      <c r="O912" s="5">
        <f t="shared" si="14"/>
        <v>9378.08</v>
      </c>
      <c r="P912" s="6">
        <f>Table1[[#This Row],[Annual Salary]]+Table1[[#This Row],[Bonus Amount]]</f>
        <v>126604.08</v>
      </c>
      <c r="Q912" t="str">
        <f>IF(Table1[[#This Row],[Exit Date]]="", "Active","Exited")</f>
        <v>Active</v>
      </c>
      <c r="R912" s="2">
        <f ca="1">IFERROR(DATEDIF(Table1[[#This Row],[Hire Date]],IF(Table1[[#This Row],[Exit Date]]="",TODAY(),Table1[[#This Row],[Exit Date]]),"Y"),"")</f>
        <v>14</v>
      </c>
      <c r="S912" t="str" cm="1">
        <f t="array" ref="S912">_xlfn.IFS(Table1[[#This Row],[Age]]&lt;30,"Under 30",Table1[[#This Row],[Age]]&lt;=40,"30-40",Table1[[#This Row],[Age]]&lt;50,"41-50",TRUE,"50+")</f>
        <v>50+</v>
      </c>
    </row>
    <row r="913" spans="1:19" x14ac:dyDescent="0.35">
      <c r="A913" t="s">
        <v>1818</v>
      </c>
      <c r="B913" t="s">
        <v>1819</v>
      </c>
      <c r="C913" t="s">
        <v>55</v>
      </c>
      <c r="D913" t="s">
        <v>59</v>
      </c>
      <c r="E913" t="s">
        <v>49</v>
      </c>
      <c r="F913" t="s">
        <v>19</v>
      </c>
      <c r="G913" t="s">
        <v>85</v>
      </c>
      <c r="H913" s="3">
        <v>26</v>
      </c>
      <c r="I913" s="8">
        <v>43489</v>
      </c>
      <c r="J913" s="4">
        <v>55767</v>
      </c>
      <c r="K913" s="1">
        <v>0</v>
      </c>
      <c r="L913" t="s">
        <v>21</v>
      </c>
      <c r="M913" t="s">
        <v>44</v>
      </c>
      <c r="O913" s="5">
        <f t="shared" si="14"/>
        <v>0</v>
      </c>
      <c r="P913" s="6">
        <f>Table1[[#This Row],[Annual Salary]]+Table1[[#This Row],[Bonus Amount]]</f>
        <v>55767</v>
      </c>
      <c r="Q913" t="str">
        <f>IF(Table1[[#This Row],[Exit Date]]="", "Active","Exited")</f>
        <v>Active</v>
      </c>
      <c r="R913" s="2">
        <f ca="1">IFERROR(DATEDIF(Table1[[#This Row],[Hire Date]],IF(Table1[[#This Row],[Exit Date]]="",TODAY(),Table1[[#This Row],[Exit Date]]),"Y"),"")</f>
        <v>7</v>
      </c>
      <c r="S913" t="str" cm="1">
        <f t="array" ref="S913">_xlfn.IFS(Table1[[#This Row],[Age]]&lt;30,"Under 30",Table1[[#This Row],[Age]]&lt;=40,"30-40",Table1[[#This Row],[Age]]&lt;50,"41-50",TRUE,"50+")</f>
        <v>Under 30</v>
      </c>
    </row>
    <row r="914" spans="1:19" x14ac:dyDescent="0.35">
      <c r="A914" t="s">
        <v>1820</v>
      </c>
      <c r="B914" t="s">
        <v>1821</v>
      </c>
      <c r="C914" t="s">
        <v>124</v>
      </c>
      <c r="D914" t="s">
        <v>48</v>
      </c>
      <c r="E914" t="s">
        <v>26</v>
      </c>
      <c r="F914" t="s">
        <v>19</v>
      </c>
      <c r="G914" t="s">
        <v>36</v>
      </c>
      <c r="H914" s="3">
        <v>29</v>
      </c>
      <c r="I914" s="8">
        <v>42691</v>
      </c>
      <c r="J914" s="4">
        <v>60930</v>
      </c>
      <c r="K914" s="1">
        <v>0</v>
      </c>
      <c r="L914" t="s">
        <v>21</v>
      </c>
      <c r="M914" t="s">
        <v>60</v>
      </c>
      <c r="O914" s="5">
        <f t="shared" si="14"/>
        <v>0</v>
      </c>
      <c r="P914" s="6">
        <f>Table1[[#This Row],[Annual Salary]]+Table1[[#This Row],[Bonus Amount]]</f>
        <v>60930</v>
      </c>
      <c r="Q914" t="str">
        <f>IF(Table1[[#This Row],[Exit Date]]="", "Active","Exited")</f>
        <v>Active</v>
      </c>
      <c r="R914" s="2">
        <f ca="1">IFERROR(DATEDIF(Table1[[#This Row],[Hire Date]],IF(Table1[[#This Row],[Exit Date]]="",TODAY(),Table1[[#This Row],[Exit Date]]),"Y"),"")</f>
        <v>9</v>
      </c>
      <c r="S914" t="str" cm="1">
        <f t="array" ref="S914">_xlfn.IFS(Table1[[#This Row],[Age]]&lt;30,"Under 30",Table1[[#This Row],[Age]]&lt;=40,"30-40",Table1[[#This Row],[Age]]&lt;50,"41-50",TRUE,"50+")</f>
        <v>Under 30</v>
      </c>
    </row>
    <row r="915" spans="1:19" x14ac:dyDescent="0.35">
      <c r="A915" t="s">
        <v>1822</v>
      </c>
      <c r="B915" t="s">
        <v>1823</v>
      </c>
      <c r="C915" t="s">
        <v>33</v>
      </c>
      <c r="D915" t="s">
        <v>48</v>
      </c>
      <c r="E915" t="s">
        <v>35</v>
      </c>
      <c r="F915" t="s">
        <v>19</v>
      </c>
      <c r="G915" t="s">
        <v>85</v>
      </c>
      <c r="H915" s="3">
        <v>27</v>
      </c>
      <c r="I915" s="8">
        <v>43397</v>
      </c>
      <c r="J915" s="4">
        <v>154973</v>
      </c>
      <c r="K915" s="1">
        <v>0.28999999999999998</v>
      </c>
      <c r="L915" t="s">
        <v>93</v>
      </c>
      <c r="M915" t="s">
        <v>218</v>
      </c>
      <c r="O915" s="5">
        <f t="shared" si="14"/>
        <v>44942.17</v>
      </c>
      <c r="P915" s="6">
        <f>Table1[[#This Row],[Annual Salary]]+Table1[[#This Row],[Bonus Amount]]</f>
        <v>199915.16999999998</v>
      </c>
      <c r="Q915" t="str">
        <f>IF(Table1[[#This Row],[Exit Date]]="", "Active","Exited")</f>
        <v>Active</v>
      </c>
      <c r="R915" s="2">
        <f ca="1">IFERROR(DATEDIF(Table1[[#This Row],[Hire Date]],IF(Table1[[#This Row],[Exit Date]]="",TODAY(),Table1[[#This Row],[Exit Date]]),"Y"),"")</f>
        <v>7</v>
      </c>
      <c r="S915" t="str" cm="1">
        <f t="array" ref="S915">_xlfn.IFS(Table1[[#This Row],[Age]]&lt;30,"Under 30",Table1[[#This Row],[Age]]&lt;=40,"30-40",Table1[[#This Row],[Age]]&lt;50,"41-50",TRUE,"50+")</f>
        <v>Under 30</v>
      </c>
    </row>
    <row r="916" spans="1:19" x14ac:dyDescent="0.35">
      <c r="A916" t="s">
        <v>1824</v>
      </c>
      <c r="B916" t="s">
        <v>1825</v>
      </c>
      <c r="C916" t="s">
        <v>207</v>
      </c>
      <c r="D916" t="s">
        <v>17</v>
      </c>
      <c r="E916" t="s">
        <v>26</v>
      </c>
      <c r="F916" t="s">
        <v>19</v>
      </c>
      <c r="G916" t="s">
        <v>28</v>
      </c>
      <c r="H916" s="3">
        <v>33</v>
      </c>
      <c r="I916" s="8">
        <v>43029</v>
      </c>
      <c r="J916" s="4">
        <v>69332</v>
      </c>
      <c r="K916" s="1">
        <v>0</v>
      </c>
      <c r="L916" t="s">
        <v>21</v>
      </c>
      <c r="M916" t="s">
        <v>88</v>
      </c>
      <c r="O916" s="5">
        <f t="shared" si="14"/>
        <v>0</v>
      </c>
      <c r="P916" s="6">
        <f>Table1[[#This Row],[Annual Salary]]+Table1[[#This Row],[Bonus Amount]]</f>
        <v>69332</v>
      </c>
      <c r="Q916" t="str">
        <f>IF(Table1[[#This Row],[Exit Date]]="", "Active","Exited")</f>
        <v>Active</v>
      </c>
      <c r="R916" s="2">
        <f ca="1">IFERROR(DATEDIF(Table1[[#This Row],[Hire Date]],IF(Table1[[#This Row],[Exit Date]]="",TODAY(),Table1[[#This Row],[Exit Date]]),"Y"),"")</f>
        <v>8</v>
      </c>
      <c r="S916" t="str" cm="1">
        <f t="array" ref="S916">_xlfn.IFS(Table1[[#This Row],[Age]]&lt;30,"Under 30",Table1[[#This Row],[Age]]&lt;=40,"30-40",Table1[[#This Row],[Age]]&lt;50,"41-50",TRUE,"50+")</f>
        <v>30-40</v>
      </c>
    </row>
    <row r="917" spans="1:19" x14ac:dyDescent="0.35">
      <c r="A917" t="s">
        <v>1826</v>
      </c>
      <c r="B917" t="s">
        <v>1827</v>
      </c>
      <c r="C917" t="s">
        <v>68</v>
      </c>
      <c r="D917" t="s">
        <v>69</v>
      </c>
      <c r="E917" t="s">
        <v>18</v>
      </c>
      <c r="F917" t="s">
        <v>19</v>
      </c>
      <c r="G917" t="s">
        <v>28</v>
      </c>
      <c r="H917" s="3">
        <v>59</v>
      </c>
      <c r="I917" s="8">
        <v>36990</v>
      </c>
      <c r="J917" s="4">
        <v>119699</v>
      </c>
      <c r="K917" s="1">
        <v>0</v>
      </c>
      <c r="L917" t="s">
        <v>29</v>
      </c>
      <c r="M917" t="s">
        <v>74</v>
      </c>
      <c r="O917" s="5">
        <f t="shared" si="14"/>
        <v>0</v>
      </c>
      <c r="P917" s="6">
        <f>Table1[[#This Row],[Annual Salary]]+Table1[[#This Row],[Bonus Amount]]</f>
        <v>119699</v>
      </c>
      <c r="Q917" t="str">
        <f>IF(Table1[[#This Row],[Exit Date]]="", "Active","Exited")</f>
        <v>Active</v>
      </c>
      <c r="R917" s="2">
        <f ca="1">IFERROR(DATEDIF(Table1[[#This Row],[Hire Date]],IF(Table1[[#This Row],[Exit Date]]="",TODAY(),Table1[[#This Row],[Exit Date]]),"Y"),"")</f>
        <v>24</v>
      </c>
      <c r="S917" t="str" cm="1">
        <f t="array" ref="S917">_xlfn.IFS(Table1[[#This Row],[Age]]&lt;30,"Under 30",Table1[[#This Row],[Age]]&lt;=40,"30-40",Table1[[#This Row],[Age]]&lt;50,"41-50",TRUE,"50+")</f>
        <v>50+</v>
      </c>
    </row>
    <row r="918" spans="1:19" x14ac:dyDescent="0.35">
      <c r="A918" t="s">
        <v>1828</v>
      </c>
      <c r="B918" t="s">
        <v>1829</v>
      </c>
      <c r="C918" t="s">
        <v>33</v>
      </c>
      <c r="D918" t="s">
        <v>65</v>
      </c>
      <c r="E918" t="s">
        <v>35</v>
      </c>
      <c r="F918" t="s">
        <v>19</v>
      </c>
      <c r="G918" t="s">
        <v>85</v>
      </c>
      <c r="H918" s="3">
        <v>40</v>
      </c>
      <c r="I918" s="8">
        <v>44094</v>
      </c>
      <c r="J918" s="4">
        <v>198176</v>
      </c>
      <c r="K918" s="1">
        <v>0.17</v>
      </c>
      <c r="L918" t="s">
        <v>93</v>
      </c>
      <c r="M918" t="s">
        <v>94</v>
      </c>
      <c r="O918" s="5">
        <f t="shared" si="14"/>
        <v>33689.920000000006</v>
      </c>
      <c r="P918" s="6">
        <f>Table1[[#This Row],[Annual Salary]]+Table1[[#This Row],[Bonus Amount]]</f>
        <v>231865.92</v>
      </c>
      <c r="Q918" t="str">
        <f>IF(Table1[[#This Row],[Exit Date]]="", "Active","Exited")</f>
        <v>Active</v>
      </c>
      <c r="R918" s="2">
        <f ca="1">IFERROR(DATEDIF(Table1[[#This Row],[Hire Date]],IF(Table1[[#This Row],[Exit Date]]="",TODAY(),Table1[[#This Row],[Exit Date]]),"Y"),"")</f>
        <v>5</v>
      </c>
      <c r="S918" t="str" cm="1">
        <f t="array" ref="S918">_xlfn.IFS(Table1[[#This Row],[Age]]&lt;30,"Under 30",Table1[[#This Row],[Age]]&lt;=40,"30-40",Table1[[#This Row],[Age]]&lt;50,"41-50",TRUE,"50+")</f>
        <v>30-40</v>
      </c>
    </row>
    <row r="919" spans="1:19" x14ac:dyDescent="0.35">
      <c r="A919" t="s">
        <v>1830</v>
      </c>
      <c r="B919" t="s">
        <v>1831</v>
      </c>
      <c r="C919" t="s">
        <v>124</v>
      </c>
      <c r="D919" t="s">
        <v>34</v>
      </c>
      <c r="E919" t="s">
        <v>18</v>
      </c>
      <c r="F919" t="s">
        <v>19</v>
      </c>
      <c r="G919" t="s">
        <v>85</v>
      </c>
      <c r="H919" s="3">
        <v>45</v>
      </c>
      <c r="I919" s="8">
        <v>41127</v>
      </c>
      <c r="J919" s="4">
        <v>58586</v>
      </c>
      <c r="K919" s="1">
        <v>0</v>
      </c>
      <c r="L919" t="s">
        <v>93</v>
      </c>
      <c r="M919" t="s">
        <v>218</v>
      </c>
      <c r="O919" s="5">
        <f t="shared" si="14"/>
        <v>0</v>
      </c>
      <c r="P919" s="6">
        <f>Table1[[#This Row],[Annual Salary]]+Table1[[#This Row],[Bonus Amount]]</f>
        <v>58586</v>
      </c>
      <c r="Q919" t="str">
        <f>IF(Table1[[#This Row],[Exit Date]]="", "Active","Exited")</f>
        <v>Active</v>
      </c>
      <c r="R919" s="2">
        <f ca="1">IFERROR(DATEDIF(Table1[[#This Row],[Hire Date]],IF(Table1[[#This Row],[Exit Date]]="",TODAY(),Table1[[#This Row],[Exit Date]]),"Y"),"")</f>
        <v>13</v>
      </c>
      <c r="S919" t="str" cm="1">
        <f t="array" ref="S919">_xlfn.IFS(Table1[[#This Row],[Age]]&lt;30,"Under 30",Table1[[#This Row],[Age]]&lt;=40,"30-40",Table1[[#This Row],[Age]]&lt;50,"41-50",TRUE,"50+")</f>
        <v>41-50</v>
      </c>
    </row>
    <row r="920" spans="1:19" x14ac:dyDescent="0.35">
      <c r="A920" t="s">
        <v>1832</v>
      </c>
      <c r="B920" t="s">
        <v>1833</v>
      </c>
      <c r="C920" t="s">
        <v>294</v>
      </c>
      <c r="D920" t="s">
        <v>48</v>
      </c>
      <c r="E920" t="s">
        <v>49</v>
      </c>
      <c r="F920" t="s">
        <v>27</v>
      </c>
      <c r="G920" t="s">
        <v>28</v>
      </c>
      <c r="H920" s="3">
        <v>38</v>
      </c>
      <c r="I920" s="8">
        <v>40875</v>
      </c>
      <c r="J920" s="4">
        <v>74010</v>
      </c>
      <c r="K920" s="1">
        <v>0</v>
      </c>
      <c r="L920" t="s">
        <v>21</v>
      </c>
      <c r="M920" t="s">
        <v>37</v>
      </c>
      <c r="O920" s="5">
        <f t="shared" si="14"/>
        <v>0</v>
      </c>
      <c r="P920" s="6">
        <f>Table1[[#This Row],[Annual Salary]]+Table1[[#This Row],[Bonus Amount]]</f>
        <v>74010</v>
      </c>
      <c r="Q920" t="str">
        <f>IF(Table1[[#This Row],[Exit Date]]="", "Active","Exited")</f>
        <v>Active</v>
      </c>
      <c r="R920" s="2">
        <f ca="1">IFERROR(DATEDIF(Table1[[#This Row],[Hire Date]],IF(Table1[[#This Row],[Exit Date]]="",TODAY(),Table1[[#This Row],[Exit Date]]),"Y"),"")</f>
        <v>14</v>
      </c>
      <c r="S920" t="str" cm="1">
        <f t="array" ref="S920">_xlfn.IFS(Table1[[#This Row],[Age]]&lt;30,"Under 30",Table1[[#This Row],[Age]]&lt;=40,"30-40",Table1[[#This Row],[Age]]&lt;50,"41-50",TRUE,"50+")</f>
        <v>30-40</v>
      </c>
    </row>
    <row r="921" spans="1:19" x14ac:dyDescent="0.35">
      <c r="A921" t="s">
        <v>1834</v>
      </c>
      <c r="B921" t="s">
        <v>1835</v>
      </c>
      <c r="C921" t="s">
        <v>294</v>
      </c>
      <c r="D921" t="s">
        <v>48</v>
      </c>
      <c r="E921" t="s">
        <v>35</v>
      </c>
      <c r="F921" t="s">
        <v>27</v>
      </c>
      <c r="G921" t="s">
        <v>36</v>
      </c>
      <c r="H921" s="3">
        <v>32</v>
      </c>
      <c r="I921" s="8">
        <v>43864</v>
      </c>
      <c r="J921" s="4">
        <v>96598</v>
      </c>
      <c r="K921" s="1">
        <v>0</v>
      </c>
      <c r="L921" t="s">
        <v>21</v>
      </c>
      <c r="M921" t="s">
        <v>44</v>
      </c>
      <c r="O921" s="5">
        <f t="shared" si="14"/>
        <v>0</v>
      </c>
      <c r="P921" s="6">
        <f>Table1[[#This Row],[Annual Salary]]+Table1[[#This Row],[Bonus Amount]]</f>
        <v>96598</v>
      </c>
      <c r="Q921" t="str">
        <f>IF(Table1[[#This Row],[Exit Date]]="", "Active","Exited")</f>
        <v>Active</v>
      </c>
      <c r="R921" s="2">
        <f ca="1">IFERROR(DATEDIF(Table1[[#This Row],[Hire Date]],IF(Table1[[#This Row],[Exit Date]]="",TODAY(),Table1[[#This Row],[Exit Date]]),"Y"),"")</f>
        <v>6</v>
      </c>
      <c r="S921" t="str" cm="1">
        <f t="array" ref="S921">_xlfn.IFS(Table1[[#This Row],[Age]]&lt;30,"Under 30",Table1[[#This Row],[Age]]&lt;=40,"30-40",Table1[[#This Row],[Age]]&lt;50,"41-50",TRUE,"50+")</f>
        <v>30-40</v>
      </c>
    </row>
    <row r="922" spans="1:19" x14ac:dyDescent="0.35">
      <c r="A922" t="s">
        <v>1453</v>
      </c>
      <c r="B922" t="s">
        <v>1836</v>
      </c>
      <c r="C922" t="s">
        <v>52</v>
      </c>
      <c r="D922" t="s">
        <v>48</v>
      </c>
      <c r="E922" t="s">
        <v>35</v>
      </c>
      <c r="F922" t="s">
        <v>19</v>
      </c>
      <c r="G922" t="s">
        <v>28</v>
      </c>
      <c r="H922" s="3">
        <v>64</v>
      </c>
      <c r="I922" s="8">
        <v>37762</v>
      </c>
      <c r="J922" s="4">
        <v>106444</v>
      </c>
      <c r="K922" s="1">
        <v>0.05</v>
      </c>
      <c r="L922" t="s">
        <v>21</v>
      </c>
      <c r="M922" t="s">
        <v>44</v>
      </c>
      <c r="O922" s="5">
        <f t="shared" si="14"/>
        <v>5322.2000000000007</v>
      </c>
      <c r="P922" s="6">
        <f>Table1[[#This Row],[Annual Salary]]+Table1[[#This Row],[Bonus Amount]]</f>
        <v>111766.2</v>
      </c>
      <c r="Q922" t="str">
        <f>IF(Table1[[#This Row],[Exit Date]]="", "Active","Exited")</f>
        <v>Active</v>
      </c>
      <c r="R922" s="2">
        <f ca="1">IFERROR(DATEDIF(Table1[[#This Row],[Hire Date]],IF(Table1[[#This Row],[Exit Date]]="",TODAY(),Table1[[#This Row],[Exit Date]]),"Y"),"")</f>
        <v>22</v>
      </c>
      <c r="S922" t="str" cm="1">
        <f t="array" ref="S922">_xlfn.IFS(Table1[[#This Row],[Age]]&lt;30,"Under 30",Table1[[#This Row],[Age]]&lt;=40,"30-40",Table1[[#This Row],[Age]]&lt;50,"41-50",TRUE,"50+")</f>
        <v>50+</v>
      </c>
    </row>
    <row r="923" spans="1:19" x14ac:dyDescent="0.35">
      <c r="A923" t="s">
        <v>1837</v>
      </c>
      <c r="B923" t="s">
        <v>1838</v>
      </c>
      <c r="C923" t="s">
        <v>33</v>
      </c>
      <c r="D923" t="s">
        <v>34</v>
      </c>
      <c r="E923" t="s">
        <v>49</v>
      </c>
      <c r="F923" t="s">
        <v>27</v>
      </c>
      <c r="G923" t="s">
        <v>85</v>
      </c>
      <c r="H923" s="3">
        <v>31</v>
      </c>
      <c r="I923" s="8">
        <v>42957</v>
      </c>
      <c r="J923" s="4">
        <v>156931</v>
      </c>
      <c r="K923" s="1">
        <v>0.28000000000000003</v>
      </c>
      <c r="L923" t="s">
        <v>21</v>
      </c>
      <c r="M923" t="s">
        <v>22</v>
      </c>
      <c r="O923" s="5">
        <f t="shared" si="14"/>
        <v>43940.680000000008</v>
      </c>
      <c r="P923" s="6">
        <f>Table1[[#This Row],[Annual Salary]]+Table1[[#This Row],[Bonus Amount]]</f>
        <v>200871.67999999999</v>
      </c>
      <c r="Q923" t="str">
        <f>IF(Table1[[#This Row],[Exit Date]]="", "Active","Exited")</f>
        <v>Active</v>
      </c>
      <c r="R923" s="2">
        <f ca="1">IFERROR(DATEDIF(Table1[[#This Row],[Hire Date]],IF(Table1[[#This Row],[Exit Date]]="",TODAY(),Table1[[#This Row],[Exit Date]]),"Y"),"")</f>
        <v>8</v>
      </c>
      <c r="S923" t="str" cm="1">
        <f t="array" ref="S923">_xlfn.IFS(Table1[[#This Row],[Age]]&lt;30,"Under 30",Table1[[#This Row],[Age]]&lt;=40,"30-40",Table1[[#This Row],[Age]]&lt;50,"41-50",TRUE,"50+")</f>
        <v>30-40</v>
      </c>
    </row>
    <row r="924" spans="1:19" x14ac:dyDescent="0.35">
      <c r="A924" t="s">
        <v>1839</v>
      </c>
      <c r="B924" t="s">
        <v>1840</v>
      </c>
      <c r="C924" t="s">
        <v>33</v>
      </c>
      <c r="D924" t="s">
        <v>80</v>
      </c>
      <c r="E924" t="s">
        <v>18</v>
      </c>
      <c r="F924" t="s">
        <v>19</v>
      </c>
      <c r="G924" t="s">
        <v>85</v>
      </c>
      <c r="H924" s="3">
        <v>43</v>
      </c>
      <c r="I924" s="8">
        <v>41928</v>
      </c>
      <c r="J924" s="4">
        <v>171360</v>
      </c>
      <c r="K924" s="1">
        <v>0.23</v>
      </c>
      <c r="L924" t="s">
        <v>93</v>
      </c>
      <c r="M924" t="s">
        <v>94</v>
      </c>
      <c r="O924" s="5">
        <f t="shared" si="14"/>
        <v>39412.800000000003</v>
      </c>
      <c r="P924" s="6">
        <f>Table1[[#This Row],[Annual Salary]]+Table1[[#This Row],[Bonus Amount]]</f>
        <v>210772.8</v>
      </c>
      <c r="Q924" t="str">
        <f>IF(Table1[[#This Row],[Exit Date]]="", "Active","Exited")</f>
        <v>Active</v>
      </c>
      <c r="R924" s="2">
        <f ca="1">IFERROR(DATEDIF(Table1[[#This Row],[Hire Date]],IF(Table1[[#This Row],[Exit Date]]="",TODAY(),Table1[[#This Row],[Exit Date]]),"Y"),"")</f>
        <v>11</v>
      </c>
      <c r="S924" t="str" cm="1">
        <f t="array" ref="S924">_xlfn.IFS(Table1[[#This Row],[Age]]&lt;30,"Under 30",Table1[[#This Row],[Age]]&lt;=40,"30-40",Table1[[#This Row],[Age]]&lt;50,"41-50",TRUE,"50+")</f>
        <v>41-50</v>
      </c>
    </row>
    <row r="925" spans="1:19" x14ac:dyDescent="0.35">
      <c r="A925" t="s">
        <v>1841</v>
      </c>
      <c r="B925" t="s">
        <v>1842</v>
      </c>
      <c r="C925" t="s">
        <v>131</v>
      </c>
      <c r="D925" t="s">
        <v>17</v>
      </c>
      <c r="E925" t="s">
        <v>18</v>
      </c>
      <c r="F925" t="s">
        <v>19</v>
      </c>
      <c r="G925" t="s">
        <v>36</v>
      </c>
      <c r="H925" s="3">
        <v>45</v>
      </c>
      <c r="I925" s="8">
        <v>39908</v>
      </c>
      <c r="J925" s="4">
        <v>64505</v>
      </c>
      <c r="K925" s="1">
        <v>0</v>
      </c>
      <c r="L925" t="s">
        <v>21</v>
      </c>
      <c r="M925" t="s">
        <v>56</v>
      </c>
      <c r="O925" s="5">
        <f t="shared" si="14"/>
        <v>0</v>
      </c>
      <c r="P925" s="6">
        <f>Table1[[#This Row],[Annual Salary]]+Table1[[#This Row],[Bonus Amount]]</f>
        <v>64505</v>
      </c>
      <c r="Q925" t="str">
        <f>IF(Table1[[#This Row],[Exit Date]]="", "Active","Exited")</f>
        <v>Active</v>
      </c>
      <c r="R925" s="2">
        <f ca="1">IFERROR(DATEDIF(Table1[[#This Row],[Hire Date]],IF(Table1[[#This Row],[Exit Date]]="",TODAY(),Table1[[#This Row],[Exit Date]]),"Y"),"")</f>
        <v>16</v>
      </c>
      <c r="S925" t="str" cm="1">
        <f t="array" ref="S925">_xlfn.IFS(Table1[[#This Row],[Age]]&lt;30,"Under 30",Table1[[#This Row],[Age]]&lt;=40,"30-40",Table1[[#This Row],[Age]]&lt;50,"41-50",TRUE,"50+")</f>
        <v>41-50</v>
      </c>
    </row>
    <row r="926" spans="1:19" x14ac:dyDescent="0.35">
      <c r="A926" t="s">
        <v>1843</v>
      </c>
      <c r="B926" t="s">
        <v>1844</v>
      </c>
      <c r="C926" t="s">
        <v>113</v>
      </c>
      <c r="D926" t="s">
        <v>69</v>
      </c>
      <c r="E926" t="s">
        <v>35</v>
      </c>
      <c r="F926" t="s">
        <v>27</v>
      </c>
      <c r="G926" t="s">
        <v>85</v>
      </c>
      <c r="H926" s="3">
        <v>32</v>
      </c>
      <c r="I926" s="8">
        <v>44478</v>
      </c>
      <c r="J926" s="4">
        <v>102298</v>
      </c>
      <c r="K926" s="1">
        <v>0.13</v>
      </c>
      <c r="L926" t="s">
        <v>93</v>
      </c>
      <c r="M926" t="s">
        <v>99</v>
      </c>
      <c r="O926" s="5">
        <f t="shared" si="14"/>
        <v>13298.74</v>
      </c>
      <c r="P926" s="6">
        <f>Table1[[#This Row],[Annual Salary]]+Table1[[#This Row],[Bonus Amount]]</f>
        <v>115596.74</v>
      </c>
      <c r="Q926" t="str">
        <f>IF(Table1[[#This Row],[Exit Date]]="", "Active","Exited")</f>
        <v>Active</v>
      </c>
      <c r="R926" s="2">
        <f ca="1">IFERROR(DATEDIF(Table1[[#This Row],[Hire Date]],IF(Table1[[#This Row],[Exit Date]]="",TODAY(),Table1[[#This Row],[Exit Date]]),"Y"),"")</f>
        <v>4</v>
      </c>
      <c r="S926" t="str" cm="1">
        <f t="array" ref="S926">_xlfn.IFS(Table1[[#This Row],[Age]]&lt;30,"Under 30",Table1[[#This Row],[Age]]&lt;=40,"30-40",Table1[[#This Row],[Age]]&lt;50,"41-50",TRUE,"50+")</f>
        <v>30-40</v>
      </c>
    </row>
    <row r="927" spans="1:19" x14ac:dyDescent="0.35">
      <c r="A927" t="s">
        <v>1845</v>
      </c>
      <c r="B927" t="s">
        <v>1846</v>
      </c>
      <c r="C927" t="s">
        <v>16</v>
      </c>
      <c r="D927" t="s">
        <v>48</v>
      </c>
      <c r="E927" t="s">
        <v>49</v>
      </c>
      <c r="F927" t="s">
        <v>19</v>
      </c>
      <c r="G927" t="s">
        <v>85</v>
      </c>
      <c r="H927" s="3">
        <v>27</v>
      </c>
      <c r="I927" s="8">
        <v>43721</v>
      </c>
      <c r="J927" s="4">
        <v>133297</v>
      </c>
      <c r="K927" s="1">
        <v>0.13</v>
      </c>
      <c r="L927" t="s">
        <v>93</v>
      </c>
      <c r="M927" t="s">
        <v>99</v>
      </c>
      <c r="O927" s="5">
        <f t="shared" si="14"/>
        <v>17328.61</v>
      </c>
      <c r="P927" s="6">
        <f>Table1[[#This Row],[Annual Salary]]+Table1[[#This Row],[Bonus Amount]]</f>
        <v>150625.60999999999</v>
      </c>
      <c r="Q927" t="str">
        <f>IF(Table1[[#This Row],[Exit Date]]="", "Active","Exited")</f>
        <v>Active</v>
      </c>
      <c r="R927" s="2">
        <f ca="1">IFERROR(DATEDIF(Table1[[#This Row],[Hire Date]],IF(Table1[[#This Row],[Exit Date]]="",TODAY(),Table1[[#This Row],[Exit Date]]),"Y"),"")</f>
        <v>6</v>
      </c>
      <c r="S927" t="str" cm="1">
        <f t="array" ref="S927">_xlfn.IFS(Table1[[#This Row],[Age]]&lt;30,"Under 30",Table1[[#This Row],[Age]]&lt;=40,"30-40",Table1[[#This Row],[Age]]&lt;50,"41-50",TRUE,"50+")</f>
        <v>Under 30</v>
      </c>
    </row>
    <row r="928" spans="1:19" x14ac:dyDescent="0.35">
      <c r="A928" t="s">
        <v>1847</v>
      </c>
      <c r="B928" t="s">
        <v>1848</v>
      </c>
      <c r="C928" t="s">
        <v>16</v>
      </c>
      <c r="D928" t="s">
        <v>65</v>
      </c>
      <c r="E928" t="s">
        <v>35</v>
      </c>
      <c r="F928" t="s">
        <v>19</v>
      </c>
      <c r="G928" t="s">
        <v>20</v>
      </c>
      <c r="H928" s="3">
        <v>25</v>
      </c>
      <c r="I928" s="8">
        <v>44272</v>
      </c>
      <c r="J928" s="4">
        <v>155080</v>
      </c>
      <c r="K928" s="1">
        <v>0.1</v>
      </c>
      <c r="L928" t="s">
        <v>21</v>
      </c>
      <c r="M928" t="s">
        <v>60</v>
      </c>
      <c r="O928" s="5">
        <f t="shared" si="14"/>
        <v>15508</v>
      </c>
      <c r="P928" s="6">
        <f>Table1[[#This Row],[Annual Salary]]+Table1[[#This Row],[Bonus Amount]]</f>
        <v>170588</v>
      </c>
      <c r="Q928" t="str">
        <f>IF(Table1[[#This Row],[Exit Date]]="", "Active","Exited")</f>
        <v>Active</v>
      </c>
      <c r="R928" s="2">
        <f ca="1">IFERROR(DATEDIF(Table1[[#This Row],[Hire Date]],IF(Table1[[#This Row],[Exit Date]]="",TODAY(),Table1[[#This Row],[Exit Date]]),"Y"),"")</f>
        <v>5</v>
      </c>
      <c r="S928" t="str" cm="1">
        <f t="array" ref="S928">_xlfn.IFS(Table1[[#This Row],[Age]]&lt;30,"Under 30",Table1[[#This Row],[Age]]&lt;=40,"30-40",Table1[[#This Row],[Age]]&lt;50,"41-50",TRUE,"50+")</f>
        <v>Under 30</v>
      </c>
    </row>
    <row r="929" spans="1:19" x14ac:dyDescent="0.35">
      <c r="A929" t="s">
        <v>1849</v>
      </c>
      <c r="B929" t="s">
        <v>1850</v>
      </c>
      <c r="C929" t="s">
        <v>43</v>
      </c>
      <c r="D929" t="s">
        <v>48</v>
      </c>
      <c r="E929" t="s">
        <v>35</v>
      </c>
      <c r="F929" t="s">
        <v>27</v>
      </c>
      <c r="G929" t="s">
        <v>36</v>
      </c>
      <c r="H929" s="3">
        <v>31</v>
      </c>
      <c r="I929" s="8">
        <v>43325</v>
      </c>
      <c r="J929" s="4">
        <v>81828</v>
      </c>
      <c r="K929" s="1">
        <v>0</v>
      </c>
      <c r="L929" t="s">
        <v>21</v>
      </c>
      <c r="M929" t="s">
        <v>56</v>
      </c>
      <c r="O929" s="5">
        <f t="shared" si="14"/>
        <v>0</v>
      </c>
      <c r="P929" s="6">
        <f>Table1[[#This Row],[Annual Salary]]+Table1[[#This Row],[Bonus Amount]]</f>
        <v>81828</v>
      </c>
      <c r="Q929" t="str">
        <f>IF(Table1[[#This Row],[Exit Date]]="", "Active","Exited")</f>
        <v>Active</v>
      </c>
      <c r="R929" s="2">
        <f ca="1">IFERROR(DATEDIF(Table1[[#This Row],[Hire Date]],IF(Table1[[#This Row],[Exit Date]]="",TODAY(),Table1[[#This Row],[Exit Date]]),"Y"),"")</f>
        <v>7</v>
      </c>
      <c r="S929" t="str" cm="1">
        <f t="array" ref="S929">_xlfn.IFS(Table1[[#This Row],[Age]]&lt;30,"Under 30",Table1[[#This Row],[Age]]&lt;=40,"30-40",Table1[[#This Row],[Age]]&lt;50,"41-50",TRUE,"50+")</f>
        <v>30-40</v>
      </c>
    </row>
    <row r="930" spans="1:19" x14ac:dyDescent="0.35">
      <c r="A930" t="s">
        <v>1851</v>
      </c>
      <c r="B930" t="s">
        <v>1852</v>
      </c>
      <c r="C930" t="s">
        <v>16</v>
      </c>
      <c r="D930" t="s">
        <v>80</v>
      </c>
      <c r="E930" t="s">
        <v>49</v>
      </c>
      <c r="F930" t="s">
        <v>19</v>
      </c>
      <c r="G930" t="s">
        <v>28</v>
      </c>
      <c r="H930" s="3">
        <v>65</v>
      </c>
      <c r="I930" s="8">
        <v>36823</v>
      </c>
      <c r="J930" s="4">
        <v>149417</v>
      </c>
      <c r="K930" s="1">
        <v>0.13</v>
      </c>
      <c r="L930" t="s">
        <v>29</v>
      </c>
      <c r="M930" t="s">
        <v>134</v>
      </c>
      <c r="O930" s="5">
        <f t="shared" si="14"/>
        <v>19424.21</v>
      </c>
      <c r="P930" s="6">
        <f>Table1[[#This Row],[Annual Salary]]+Table1[[#This Row],[Bonus Amount]]</f>
        <v>168841.21</v>
      </c>
      <c r="Q930" t="str">
        <f>IF(Table1[[#This Row],[Exit Date]]="", "Active","Exited")</f>
        <v>Active</v>
      </c>
      <c r="R930" s="2">
        <f ca="1">IFERROR(DATEDIF(Table1[[#This Row],[Hire Date]],IF(Table1[[#This Row],[Exit Date]]="",TODAY(),Table1[[#This Row],[Exit Date]]),"Y"),"")</f>
        <v>25</v>
      </c>
      <c r="S930" t="str" cm="1">
        <f t="array" ref="S930">_xlfn.IFS(Table1[[#This Row],[Age]]&lt;30,"Under 30",Table1[[#This Row],[Age]]&lt;=40,"30-40",Table1[[#This Row],[Age]]&lt;50,"41-50",TRUE,"50+")</f>
        <v>50+</v>
      </c>
    </row>
    <row r="931" spans="1:19" x14ac:dyDescent="0.35">
      <c r="A931" t="s">
        <v>1853</v>
      </c>
      <c r="B931" t="s">
        <v>1854</v>
      </c>
      <c r="C931" t="s">
        <v>52</v>
      </c>
      <c r="D931" t="s">
        <v>48</v>
      </c>
      <c r="E931" t="s">
        <v>49</v>
      </c>
      <c r="F931" t="s">
        <v>27</v>
      </c>
      <c r="G931" t="s">
        <v>85</v>
      </c>
      <c r="H931" s="3">
        <v>50</v>
      </c>
      <c r="I931" s="8">
        <v>41024</v>
      </c>
      <c r="J931" s="4">
        <v>113269</v>
      </c>
      <c r="K931" s="1">
        <v>0.09</v>
      </c>
      <c r="L931" t="s">
        <v>93</v>
      </c>
      <c r="M931" t="s">
        <v>218</v>
      </c>
      <c r="O931" s="5">
        <f t="shared" si="14"/>
        <v>10194.209999999999</v>
      </c>
      <c r="P931" s="6">
        <f>Table1[[#This Row],[Annual Salary]]+Table1[[#This Row],[Bonus Amount]]</f>
        <v>123463.20999999999</v>
      </c>
      <c r="Q931" t="str">
        <f>IF(Table1[[#This Row],[Exit Date]]="", "Active","Exited")</f>
        <v>Active</v>
      </c>
      <c r="R931" s="2">
        <f ca="1">IFERROR(DATEDIF(Table1[[#This Row],[Hire Date]],IF(Table1[[#This Row],[Exit Date]]="",TODAY(),Table1[[#This Row],[Exit Date]]),"Y"),"")</f>
        <v>13</v>
      </c>
      <c r="S931" t="str" cm="1">
        <f t="array" ref="S931">_xlfn.IFS(Table1[[#This Row],[Age]]&lt;30,"Under 30",Table1[[#This Row],[Age]]&lt;=40,"30-40",Table1[[#This Row],[Age]]&lt;50,"41-50",TRUE,"50+")</f>
        <v>50+</v>
      </c>
    </row>
    <row r="932" spans="1:19" x14ac:dyDescent="0.35">
      <c r="A932" t="s">
        <v>1855</v>
      </c>
      <c r="B932" t="s">
        <v>1856</v>
      </c>
      <c r="C932" t="s">
        <v>16</v>
      </c>
      <c r="D932" t="s">
        <v>17</v>
      </c>
      <c r="E932" t="s">
        <v>26</v>
      </c>
      <c r="F932" t="s">
        <v>27</v>
      </c>
      <c r="G932" t="s">
        <v>28</v>
      </c>
      <c r="H932" s="3">
        <v>46</v>
      </c>
      <c r="I932" s="8">
        <v>43085</v>
      </c>
      <c r="J932" s="4">
        <v>136716</v>
      </c>
      <c r="K932" s="1">
        <v>0.12</v>
      </c>
      <c r="L932" t="s">
        <v>21</v>
      </c>
      <c r="M932" t="s">
        <v>60</v>
      </c>
      <c r="O932" s="5">
        <f t="shared" si="14"/>
        <v>16405.919999999998</v>
      </c>
      <c r="P932" s="6">
        <f>Table1[[#This Row],[Annual Salary]]+Table1[[#This Row],[Bonus Amount]]</f>
        <v>153121.91999999998</v>
      </c>
      <c r="Q932" t="str">
        <f>IF(Table1[[#This Row],[Exit Date]]="", "Active","Exited")</f>
        <v>Active</v>
      </c>
      <c r="R932" s="2">
        <f ca="1">IFERROR(DATEDIF(Table1[[#This Row],[Hire Date]],IF(Table1[[#This Row],[Exit Date]]="",TODAY(),Table1[[#This Row],[Exit Date]]),"Y"),"")</f>
        <v>8</v>
      </c>
      <c r="S932" t="str" cm="1">
        <f t="array" ref="S932">_xlfn.IFS(Table1[[#This Row],[Age]]&lt;30,"Under 30",Table1[[#This Row],[Age]]&lt;=40,"30-40",Table1[[#This Row],[Age]]&lt;50,"41-50",TRUE,"50+")</f>
        <v>41-50</v>
      </c>
    </row>
    <row r="933" spans="1:19" x14ac:dyDescent="0.35">
      <c r="A933" t="s">
        <v>1857</v>
      </c>
      <c r="B933" t="s">
        <v>1858</v>
      </c>
      <c r="C933" t="s">
        <v>16</v>
      </c>
      <c r="D933" t="s">
        <v>48</v>
      </c>
      <c r="E933" t="s">
        <v>35</v>
      </c>
      <c r="F933" t="s">
        <v>27</v>
      </c>
      <c r="G933" t="s">
        <v>85</v>
      </c>
      <c r="H933" s="3">
        <v>54</v>
      </c>
      <c r="I933" s="8">
        <v>40836</v>
      </c>
      <c r="J933" s="4">
        <v>122644</v>
      </c>
      <c r="K933" s="1">
        <v>0.12</v>
      </c>
      <c r="L933" t="s">
        <v>21</v>
      </c>
      <c r="M933" t="s">
        <v>60</v>
      </c>
      <c r="O933" s="5">
        <f t="shared" si="14"/>
        <v>14717.279999999999</v>
      </c>
      <c r="P933" s="6">
        <f>Table1[[#This Row],[Annual Salary]]+Table1[[#This Row],[Bonus Amount]]</f>
        <v>137361.28</v>
      </c>
      <c r="Q933" t="str">
        <f>IF(Table1[[#This Row],[Exit Date]]="", "Active","Exited")</f>
        <v>Active</v>
      </c>
      <c r="R933" s="2">
        <f ca="1">IFERROR(DATEDIF(Table1[[#This Row],[Hire Date]],IF(Table1[[#This Row],[Exit Date]]="",TODAY(),Table1[[#This Row],[Exit Date]]),"Y"),"")</f>
        <v>14</v>
      </c>
      <c r="S933" t="str" cm="1">
        <f t="array" ref="S933">_xlfn.IFS(Table1[[#This Row],[Age]]&lt;30,"Under 30",Table1[[#This Row],[Age]]&lt;=40,"30-40",Table1[[#This Row],[Age]]&lt;50,"41-50",TRUE,"50+")</f>
        <v>50+</v>
      </c>
    </row>
    <row r="934" spans="1:19" x14ac:dyDescent="0.35">
      <c r="A934" t="s">
        <v>1859</v>
      </c>
      <c r="B934" t="s">
        <v>1860</v>
      </c>
      <c r="C934" t="s">
        <v>52</v>
      </c>
      <c r="D934" t="s">
        <v>48</v>
      </c>
      <c r="E934" t="s">
        <v>18</v>
      </c>
      <c r="F934" t="s">
        <v>19</v>
      </c>
      <c r="G934" t="s">
        <v>28</v>
      </c>
      <c r="H934" s="3">
        <v>50</v>
      </c>
      <c r="I934" s="8">
        <v>36653</v>
      </c>
      <c r="J934" s="4">
        <v>106428</v>
      </c>
      <c r="K934" s="1">
        <v>7.0000000000000007E-2</v>
      </c>
      <c r="L934" t="s">
        <v>21</v>
      </c>
      <c r="M934" t="s">
        <v>37</v>
      </c>
      <c r="O934" s="5">
        <f t="shared" si="14"/>
        <v>7449.9600000000009</v>
      </c>
      <c r="P934" s="6">
        <f>Table1[[#This Row],[Annual Salary]]+Table1[[#This Row],[Bonus Amount]]</f>
        <v>113877.96</v>
      </c>
      <c r="Q934" t="str">
        <f>IF(Table1[[#This Row],[Exit Date]]="", "Active","Exited")</f>
        <v>Active</v>
      </c>
      <c r="R934" s="2">
        <f ca="1">IFERROR(DATEDIF(Table1[[#This Row],[Hire Date]],IF(Table1[[#This Row],[Exit Date]]="",TODAY(),Table1[[#This Row],[Exit Date]]),"Y"),"")</f>
        <v>25</v>
      </c>
      <c r="S934" t="str" cm="1">
        <f t="array" ref="S934">_xlfn.IFS(Table1[[#This Row],[Age]]&lt;30,"Under 30",Table1[[#This Row],[Age]]&lt;=40,"30-40",Table1[[#This Row],[Age]]&lt;50,"41-50",TRUE,"50+")</f>
        <v>50+</v>
      </c>
    </row>
    <row r="935" spans="1:19" x14ac:dyDescent="0.35">
      <c r="A935" t="s">
        <v>1861</v>
      </c>
      <c r="B935" t="s">
        <v>1862</v>
      </c>
      <c r="C935" t="s">
        <v>79</v>
      </c>
      <c r="D935" t="s">
        <v>34</v>
      </c>
      <c r="E935" t="s">
        <v>49</v>
      </c>
      <c r="F935" t="s">
        <v>27</v>
      </c>
      <c r="G935" t="s">
        <v>36</v>
      </c>
      <c r="H935" s="3">
        <v>36</v>
      </c>
      <c r="I935" s="8">
        <v>39830</v>
      </c>
      <c r="J935" s="4">
        <v>238236</v>
      </c>
      <c r="K935" s="1">
        <v>0.31</v>
      </c>
      <c r="L935" t="s">
        <v>21</v>
      </c>
      <c r="M935" t="s">
        <v>22</v>
      </c>
      <c r="O935" s="5">
        <f t="shared" si="14"/>
        <v>73853.16</v>
      </c>
      <c r="P935" s="6">
        <f>Table1[[#This Row],[Annual Salary]]+Table1[[#This Row],[Bonus Amount]]</f>
        <v>312089.16000000003</v>
      </c>
      <c r="Q935" t="str">
        <f>IF(Table1[[#This Row],[Exit Date]]="", "Active","Exited")</f>
        <v>Active</v>
      </c>
      <c r="R935" s="2">
        <f ca="1">IFERROR(DATEDIF(Table1[[#This Row],[Hire Date]],IF(Table1[[#This Row],[Exit Date]]="",TODAY(),Table1[[#This Row],[Exit Date]]),"Y"),"")</f>
        <v>17</v>
      </c>
      <c r="S935" t="str" cm="1">
        <f t="array" ref="S935">_xlfn.IFS(Table1[[#This Row],[Age]]&lt;30,"Under 30",Table1[[#This Row],[Age]]&lt;=40,"30-40",Table1[[#This Row],[Age]]&lt;50,"41-50",TRUE,"50+")</f>
        <v>30-40</v>
      </c>
    </row>
    <row r="936" spans="1:19" x14ac:dyDescent="0.35">
      <c r="A936" t="s">
        <v>1863</v>
      </c>
      <c r="B936" t="s">
        <v>1864</v>
      </c>
      <c r="C936" t="s">
        <v>33</v>
      </c>
      <c r="D936" t="s">
        <v>34</v>
      </c>
      <c r="E936" t="s">
        <v>49</v>
      </c>
      <c r="F936" t="s">
        <v>19</v>
      </c>
      <c r="G936" t="s">
        <v>36</v>
      </c>
      <c r="H936" s="3">
        <v>64</v>
      </c>
      <c r="I936" s="8">
        <v>41264</v>
      </c>
      <c r="J936" s="4">
        <v>153253</v>
      </c>
      <c r="K936" s="1">
        <v>0.24</v>
      </c>
      <c r="L936" t="s">
        <v>21</v>
      </c>
      <c r="M936" t="s">
        <v>60</v>
      </c>
      <c r="O936" s="5">
        <f t="shared" si="14"/>
        <v>36780.720000000001</v>
      </c>
      <c r="P936" s="6">
        <f>Table1[[#This Row],[Annual Salary]]+Table1[[#This Row],[Bonus Amount]]</f>
        <v>190033.72</v>
      </c>
      <c r="Q936" t="str">
        <f>IF(Table1[[#This Row],[Exit Date]]="", "Active","Exited")</f>
        <v>Active</v>
      </c>
      <c r="R936" s="2">
        <f ca="1">IFERROR(DATEDIF(Table1[[#This Row],[Hire Date]],IF(Table1[[#This Row],[Exit Date]]="",TODAY(),Table1[[#This Row],[Exit Date]]),"Y"),"")</f>
        <v>13</v>
      </c>
      <c r="S936" t="str" cm="1">
        <f t="array" ref="S936">_xlfn.IFS(Table1[[#This Row],[Age]]&lt;30,"Under 30",Table1[[#This Row],[Age]]&lt;=40,"30-40",Table1[[#This Row],[Age]]&lt;50,"41-50",TRUE,"50+")</f>
        <v>50+</v>
      </c>
    </row>
    <row r="937" spans="1:19" x14ac:dyDescent="0.35">
      <c r="A937" t="s">
        <v>1865</v>
      </c>
      <c r="B937" t="s">
        <v>1866</v>
      </c>
      <c r="C937" t="s">
        <v>52</v>
      </c>
      <c r="D937" t="s">
        <v>59</v>
      </c>
      <c r="E937" t="s">
        <v>26</v>
      </c>
      <c r="F937" t="s">
        <v>19</v>
      </c>
      <c r="G937" t="s">
        <v>36</v>
      </c>
      <c r="H937" s="3">
        <v>34</v>
      </c>
      <c r="I937" s="8">
        <v>41915</v>
      </c>
      <c r="J937" s="4">
        <v>103707</v>
      </c>
      <c r="K937" s="1">
        <v>0.09</v>
      </c>
      <c r="L937" t="s">
        <v>21</v>
      </c>
      <c r="M937" t="s">
        <v>88</v>
      </c>
      <c r="O937" s="5">
        <f t="shared" si="14"/>
        <v>9333.6299999999992</v>
      </c>
      <c r="P937" s="6">
        <f>Table1[[#This Row],[Annual Salary]]+Table1[[#This Row],[Bonus Amount]]</f>
        <v>113040.63</v>
      </c>
      <c r="Q937" t="str">
        <f>IF(Table1[[#This Row],[Exit Date]]="", "Active","Exited")</f>
        <v>Active</v>
      </c>
      <c r="R937" s="2">
        <f ca="1">IFERROR(DATEDIF(Table1[[#This Row],[Hire Date]],IF(Table1[[#This Row],[Exit Date]]="",TODAY(),Table1[[#This Row],[Exit Date]]),"Y"),"")</f>
        <v>11</v>
      </c>
      <c r="S937" t="str" cm="1">
        <f t="array" ref="S937">_xlfn.IFS(Table1[[#This Row],[Age]]&lt;30,"Under 30",Table1[[#This Row],[Age]]&lt;=40,"30-40",Table1[[#This Row],[Age]]&lt;50,"41-50",TRUE,"50+")</f>
        <v>30-40</v>
      </c>
    </row>
    <row r="938" spans="1:19" x14ac:dyDescent="0.35">
      <c r="A938" t="s">
        <v>1867</v>
      </c>
      <c r="B938" t="s">
        <v>1868</v>
      </c>
      <c r="C938" t="s">
        <v>79</v>
      </c>
      <c r="D938" t="s">
        <v>59</v>
      </c>
      <c r="E938" t="s">
        <v>35</v>
      </c>
      <c r="F938" t="s">
        <v>19</v>
      </c>
      <c r="G938" t="s">
        <v>36</v>
      </c>
      <c r="H938" s="3">
        <v>41</v>
      </c>
      <c r="I938" s="8">
        <v>41130</v>
      </c>
      <c r="J938" s="4">
        <v>245360</v>
      </c>
      <c r="K938" s="1">
        <v>0.37</v>
      </c>
      <c r="L938" t="s">
        <v>21</v>
      </c>
      <c r="M938" t="s">
        <v>60</v>
      </c>
      <c r="O938" s="5">
        <f t="shared" si="14"/>
        <v>90783.2</v>
      </c>
      <c r="P938" s="6">
        <f>Table1[[#This Row],[Annual Salary]]+Table1[[#This Row],[Bonus Amount]]</f>
        <v>336143.2</v>
      </c>
      <c r="Q938" t="str">
        <f>IF(Table1[[#This Row],[Exit Date]]="", "Active","Exited")</f>
        <v>Active</v>
      </c>
      <c r="R938" s="2">
        <f ca="1">IFERROR(DATEDIF(Table1[[#This Row],[Hire Date]],IF(Table1[[#This Row],[Exit Date]]="",TODAY(),Table1[[#This Row],[Exit Date]]),"Y"),"")</f>
        <v>13</v>
      </c>
      <c r="S938" t="str" cm="1">
        <f t="array" ref="S938">_xlfn.IFS(Table1[[#This Row],[Age]]&lt;30,"Under 30",Table1[[#This Row],[Age]]&lt;=40,"30-40",Table1[[#This Row],[Age]]&lt;50,"41-50",TRUE,"50+")</f>
        <v>41-50</v>
      </c>
    </row>
    <row r="939" spans="1:19" x14ac:dyDescent="0.35">
      <c r="A939" t="s">
        <v>1869</v>
      </c>
      <c r="B939" t="s">
        <v>1870</v>
      </c>
      <c r="C939" t="s">
        <v>277</v>
      </c>
      <c r="D939" t="s">
        <v>69</v>
      </c>
      <c r="E939" t="s">
        <v>35</v>
      </c>
      <c r="F939" t="s">
        <v>27</v>
      </c>
      <c r="G939" t="s">
        <v>28</v>
      </c>
      <c r="H939" s="3">
        <v>25</v>
      </c>
      <c r="I939" s="8">
        <v>44385</v>
      </c>
      <c r="J939" s="4">
        <v>67275</v>
      </c>
      <c r="K939" s="1">
        <v>0</v>
      </c>
      <c r="L939" t="s">
        <v>21</v>
      </c>
      <c r="M939" t="s">
        <v>88</v>
      </c>
      <c r="O939" s="5">
        <f t="shared" si="14"/>
        <v>0</v>
      </c>
      <c r="P939" s="6">
        <f>Table1[[#This Row],[Annual Salary]]+Table1[[#This Row],[Bonus Amount]]</f>
        <v>67275</v>
      </c>
      <c r="Q939" t="str">
        <f>IF(Table1[[#This Row],[Exit Date]]="", "Active","Exited")</f>
        <v>Active</v>
      </c>
      <c r="R939" s="2">
        <f ca="1">IFERROR(DATEDIF(Table1[[#This Row],[Hire Date]],IF(Table1[[#This Row],[Exit Date]]="",TODAY(),Table1[[#This Row],[Exit Date]]),"Y"),"")</f>
        <v>4</v>
      </c>
      <c r="S939" t="str" cm="1">
        <f t="array" ref="S939">_xlfn.IFS(Table1[[#This Row],[Age]]&lt;30,"Under 30",Table1[[#This Row],[Age]]&lt;=40,"30-40",Table1[[#This Row],[Age]]&lt;50,"41-50",TRUE,"50+")</f>
        <v>Under 30</v>
      </c>
    </row>
    <row r="940" spans="1:19" x14ac:dyDescent="0.35">
      <c r="A940" t="s">
        <v>1871</v>
      </c>
      <c r="B940" t="s">
        <v>1872</v>
      </c>
      <c r="C940" t="s">
        <v>52</v>
      </c>
      <c r="D940" t="s">
        <v>17</v>
      </c>
      <c r="E940" t="s">
        <v>26</v>
      </c>
      <c r="F940" t="s">
        <v>27</v>
      </c>
      <c r="G940" t="s">
        <v>28</v>
      </c>
      <c r="H940" s="3">
        <v>45</v>
      </c>
      <c r="I940" s="8">
        <v>42026</v>
      </c>
      <c r="J940" s="4">
        <v>101288</v>
      </c>
      <c r="K940" s="1">
        <v>0.1</v>
      </c>
      <c r="L940" t="s">
        <v>21</v>
      </c>
      <c r="M940" t="s">
        <v>44</v>
      </c>
      <c r="O940" s="5">
        <f t="shared" si="14"/>
        <v>10128.800000000001</v>
      </c>
      <c r="P940" s="6">
        <f>Table1[[#This Row],[Annual Salary]]+Table1[[#This Row],[Bonus Amount]]</f>
        <v>111416.8</v>
      </c>
      <c r="Q940" t="str">
        <f>IF(Table1[[#This Row],[Exit Date]]="", "Active","Exited")</f>
        <v>Active</v>
      </c>
      <c r="R940" s="2">
        <f ca="1">IFERROR(DATEDIF(Table1[[#This Row],[Hire Date]],IF(Table1[[#This Row],[Exit Date]]="",TODAY(),Table1[[#This Row],[Exit Date]]),"Y"),"")</f>
        <v>11</v>
      </c>
      <c r="S940" t="str" cm="1">
        <f t="array" ref="S940">_xlfn.IFS(Table1[[#This Row],[Age]]&lt;30,"Under 30",Table1[[#This Row],[Age]]&lt;=40,"30-40",Table1[[#This Row],[Age]]&lt;50,"41-50",TRUE,"50+")</f>
        <v>41-50</v>
      </c>
    </row>
    <row r="941" spans="1:19" x14ac:dyDescent="0.35">
      <c r="A941" t="s">
        <v>258</v>
      </c>
      <c r="B941" t="s">
        <v>1873</v>
      </c>
      <c r="C941" t="s">
        <v>33</v>
      </c>
      <c r="D941" t="s">
        <v>65</v>
      </c>
      <c r="E941" t="s">
        <v>35</v>
      </c>
      <c r="F941" t="s">
        <v>19</v>
      </c>
      <c r="G941" t="s">
        <v>85</v>
      </c>
      <c r="H941" s="3">
        <v>52</v>
      </c>
      <c r="I941" s="8">
        <v>34209</v>
      </c>
      <c r="J941" s="4">
        <v>177443</v>
      </c>
      <c r="K941" s="1">
        <v>0.25</v>
      </c>
      <c r="L941" t="s">
        <v>93</v>
      </c>
      <c r="M941" t="s">
        <v>218</v>
      </c>
      <c r="O941" s="5">
        <f t="shared" si="14"/>
        <v>44360.75</v>
      </c>
      <c r="P941" s="6">
        <f>Table1[[#This Row],[Annual Salary]]+Table1[[#This Row],[Bonus Amount]]</f>
        <v>221803.75</v>
      </c>
      <c r="Q941" t="str">
        <f>IF(Table1[[#This Row],[Exit Date]]="", "Active","Exited")</f>
        <v>Active</v>
      </c>
      <c r="R941" s="2">
        <f ca="1">IFERROR(DATEDIF(Table1[[#This Row],[Hire Date]],IF(Table1[[#This Row],[Exit Date]]="",TODAY(),Table1[[#This Row],[Exit Date]]),"Y"),"")</f>
        <v>32</v>
      </c>
      <c r="S941" t="str" cm="1">
        <f t="array" ref="S941">_xlfn.IFS(Table1[[#This Row],[Age]]&lt;30,"Under 30",Table1[[#This Row],[Age]]&lt;=40,"30-40",Table1[[#This Row],[Age]]&lt;50,"41-50",TRUE,"50+")</f>
        <v>50+</v>
      </c>
    </row>
    <row r="942" spans="1:19" x14ac:dyDescent="0.35">
      <c r="A942" t="s">
        <v>1874</v>
      </c>
      <c r="B942" t="s">
        <v>1875</v>
      </c>
      <c r="C942" t="s">
        <v>207</v>
      </c>
      <c r="D942" t="s">
        <v>17</v>
      </c>
      <c r="E942" t="s">
        <v>26</v>
      </c>
      <c r="F942" t="s">
        <v>19</v>
      </c>
      <c r="G942" t="s">
        <v>20</v>
      </c>
      <c r="H942" s="3">
        <v>37</v>
      </c>
      <c r="I942" s="8">
        <v>42487</v>
      </c>
      <c r="J942" s="4">
        <v>91400</v>
      </c>
      <c r="K942" s="1">
        <v>0</v>
      </c>
      <c r="L942" t="s">
        <v>21</v>
      </c>
      <c r="M942" t="s">
        <v>37</v>
      </c>
      <c r="O942" s="5">
        <f t="shared" si="14"/>
        <v>0</v>
      </c>
      <c r="P942" s="6">
        <f>Table1[[#This Row],[Annual Salary]]+Table1[[#This Row],[Bonus Amount]]</f>
        <v>91400</v>
      </c>
      <c r="Q942" t="str">
        <f>IF(Table1[[#This Row],[Exit Date]]="", "Active","Exited")</f>
        <v>Active</v>
      </c>
      <c r="R942" s="2">
        <f ca="1">IFERROR(DATEDIF(Table1[[#This Row],[Hire Date]],IF(Table1[[#This Row],[Exit Date]]="",TODAY(),Table1[[#This Row],[Exit Date]]),"Y"),"")</f>
        <v>9</v>
      </c>
      <c r="S942" t="str" cm="1">
        <f t="array" ref="S942">_xlfn.IFS(Table1[[#This Row],[Age]]&lt;30,"Under 30",Table1[[#This Row],[Age]]&lt;=40,"30-40",Table1[[#This Row],[Age]]&lt;50,"41-50",TRUE,"50+")</f>
        <v>30-40</v>
      </c>
    </row>
    <row r="943" spans="1:19" x14ac:dyDescent="0.35">
      <c r="A943" t="s">
        <v>1876</v>
      </c>
      <c r="B943" t="s">
        <v>1877</v>
      </c>
      <c r="C943" t="s">
        <v>79</v>
      </c>
      <c r="D943" t="s">
        <v>65</v>
      </c>
      <c r="E943" t="s">
        <v>49</v>
      </c>
      <c r="F943" t="s">
        <v>27</v>
      </c>
      <c r="G943" t="s">
        <v>85</v>
      </c>
      <c r="H943" s="3">
        <v>44</v>
      </c>
      <c r="I943" s="8">
        <v>39335</v>
      </c>
      <c r="J943" s="4">
        <v>181247</v>
      </c>
      <c r="K943" s="1">
        <v>0.33</v>
      </c>
      <c r="L943" t="s">
        <v>93</v>
      </c>
      <c r="M943" t="s">
        <v>218</v>
      </c>
      <c r="O943" s="5">
        <f t="shared" si="14"/>
        <v>59811.51</v>
      </c>
      <c r="P943" s="6">
        <f>Table1[[#This Row],[Annual Salary]]+Table1[[#This Row],[Bonus Amount]]</f>
        <v>241058.51</v>
      </c>
      <c r="Q943" t="str">
        <f>IF(Table1[[#This Row],[Exit Date]]="", "Active","Exited")</f>
        <v>Active</v>
      </c>
      <c r="R943" s="2">
        <f ca="1">IFERROR(DATEDIF(Table1[[#This Row],[Hire Date]],IF(Table1[[#This Row],[Exit Date]]="",TODAY(),Table1[[#This Row],[Exit Date]]),"Y"),"")</f>
        <v>18</v>
      </c>
      <c r="S943" t="str" cm="1">
        <f t="array" ref="S943">_xlfn.IFS(Table1[[#This Row],[Age]]&lt;30,"Under 30",Table1[[#This Row],[Age]]&lt;=40,"30-40",Table1[[#This Row],[Age]]&lt;50,"41-50",TRUE,"50+")</f>
        <v>41-50</v>
      </c>
    </row>
    <row r="944" spans="1:19" x14ac:dyDescent="0.35">
      <c r="A944" t="s">
        <v>1878</v>
      </c>
      <c r="B944" t="s">
        <v>1879</v>
      </c>
      <c r="C944" t="s">
        <v>16</v>
      </c>
      <c r="D944" t="s">
        <v>65</v>
      </c>
      <c r="E944" t="s">
        <v>18</v>
      </c>
      <c r="F944" t="s">
        <v>27</v>
      </c>
      <c r="G944" t="s">
        <v>20</v>
      </c>
      <c r="H944" s="3">
        <v>42</v>
      </c>
      <c r="I944" s="8">
        <v>37914</v>
      </c>
      <c r="J944" s="4">
        <v>135558</v>
      </c>
      <c r="K944" s="1">
        <v>0.14000000000000001</v>
      </c>
      <c r="L944" t="s">
        <v>21</v>
      </c>
      <c r="M944" t="s">
        <v>44</v>
      </c>
      <c r="O944" s="5">
        <f t="shared" si="14"/>
        <v>18978.120000000003</v>
      </c>
      <c r="P944" s="6">
        <f>Table1[[#This Row],[Annual Salary]]+Table1[[#This Row],[Bonus Amount]]</f>
        <v>154536.12</v>
      </c>
      <c r="Q944" t="str">
        <f>IF(Table1[[#This Row],[Exit Date]]="", "Active","Exited")</f>
        <v>Active</v>
      </c>
      <c r="R944" s="2">
        <f ca="1">IFERROR(DATEDIF(Table1[[#This Row],[Hire Date]],IF(Table1[[#This Row],[Exit Date]]="",TODAY(),Table1[[#This Row],[Exit Date]]),"Y"),"")</f>
        <v>22</v>
      </c>
      <c r="S944" t="str" cm="1">
        <f t="array" ref="S944">_xlfn.IFS(Table1[[#This Row],[Age]]&lt;30,"Under 30",Table1[[#This Row],[Age]]&lt;=40,"30-40",Table1[[#This Row],[Age]]&lt;50,"41-50",TRUE,"50+")</f>
        <v>41-50</v>
      </c>
    </row>
    <row r="945" spans="1:19" x14ac:dyDescent="0.35">
      <c r="A945" t="s">
        <v>1880</v>
      </c>
      <c r="B945" t="s">
        <v>1341</v>
      </c>
      <c r="C945" t="s">
        <v>55</v>
      </c>
      <c r="D945" t="s">
        <v>59</v>
      </c>
      <c r="E945" t="s">
        <v>35</v>
      </c>
      <c r="F945" t="s">
        <v>27</v>
      </c>
      <c r="G945" t="s">
        <v>36</v>
      </c>
      <c r="H945" s="3">
        <v>49</v>
      </c>
      <c r="I945" s="8">
        <v>40894</v>
      </c>
      <c r="J945" s="4">
        <v>56878</v>
      </c>
      <c r="K945" s="1">
        <v>0</v>
      </c>
      <c r="L945" t="s">
        <v>21</v>
      </c>
      <c r="M945" t="s">
        <v>22</v>
      </c>
      <c r="O945" s="5">
        <f t="shared" si="14"/>
        <v>0</v>
      </c>
      <c r="P945" s="6">
        <f>Table1[[#This Row],[Annual Salary]]+Table1[[#This Row],[Bonus Amount]]</f>
        <v>56878</v>
      </c>
      <c r="Q945" t="str">
        <f>IF(Table1[[#This Row],[Exit Date]]="", "Active","Exited")</f>
        <v>Active</v>
      </c>
      <c r="R945" s="2">
        <f ca="1">IFERROR(DATEDIF(Table1[[#This Row],[Hire Date]],IF(Table1[[#This Row],[Exit Date]]="",TODAY(),Table1[[#This Row],[Exit Date]]),"Y"),"")</f>
        <v>14</v>
      </c>
      <c r="S945" t="str" cm="1">
        <f t="array" ref="S945">_xlfn.IFS(Table1[[#This Row],[Age]]&lt;30,"Under 30",Table1[[#This Row],[Age]]&lt;=40,"30-40",Table1[[#This Row],[Age]]&lt;50,"41-50",TRUE,"50+")</f>
        <v>41-50</v>
      </c>
    </row>
    <row r="946" spans="1:19" x14ac:dyDescent="0.35">
      <c r="A946" t="s">
        <v>1881</v>
      </c>
      <c r="B946" t="s">
        <v>1882</v>
      </c>
      <c r="C946" t="s">
        <v>442</v>
      </c>
      <c r="D946" t="s">
        <v>17</v>
      </c>
      <c r="E946" t="s">
        <v>35</v>
      </c>
      <c r="F946" t="s">
        <v>27</v>
      </c>
      <c r="G946" t="s">
        <v>28</v>
      </c>
      <c r="H946" s="3">
        <v>34</v>
      </c>
      <c r="I946" s="8">
        <v>43728</v>
      </c>
      <c r="J946" s="4">
        <v>94735</v>
      </c>
      <c r="K946" s="1">
        <v>0</v>
      </c>
      <c r="L946" t="s">
        <v>29</v>
      </c>
      <c r="M946" t="s">
        <v>114</v>
      </c>
      <c r="O946" s="5">
        <f t="shared" si="14"/>
        <v>0</v>
      </c>
      <c r="P946" s="6">
        <f>Table1[[#This Row],[Annual Salary]]+Table1[[#This Row],[Bonus Amount]]</f>
        <v>94735</v>
      </c>
      <c r="Q946" t="str">
        <f>IF(Table1[[#This Row],[Exit Date]]="", "Active","Exited")</f>
        <v>Active</v>
      </c>
      <c r="R946" s="2">
        <f ca="1">IFERROR(DATEDIF(Table1[[#This Row],[Hire Date]],IF(Table1[[#This Row],[Exit Date]]="",TODAY(),Table1[[#This Row],[Exit Date]]),"Y"),"")</f>
        <v>6</v>
      </c>
      <c r="S946" t="str" cm="1">
        <f t="array" ref="S946">_xlfn.IFS(Table1[[#This Row],[Age]]&lt;30,"Under 30",Table1[[#This Row],[Age]]&lt;=40,"30-40",Table1[[#This Row],[Age]]&lt;50,"41-50",TRUE,"50+")</f>
        <v>30-40</v>
      </c>
    </row>
    <row r="947" spans="1:19" x14ac:dyDescent="0.35">
      <c r="A947" t="s">
        <v>1883</v>
      </c>
      <c r="B947" t="s">
        <v>1884</v>
      </c>
      <c r="C947" t="s">
        <v>124</v>
      </c>
      <c r="D947" t="s">
        <v>48</v>
      </c>
      <c r="E947" t="s">
        <v>26</v>
      </c>
      <c r="F947" t="s">
        <v>27</v>
      </c>
      <c r="G947" t="s">
        <v>85</v>
      </c>
      <c r="H947" s="3">
        <v>39</v>
      </c>
      <c r="I947" s="8">
        <v>39229</v>
      </c>
      <c r="J947" s="4">
        <v>51234</v>
      </c>
      <c r="K947" s="1">
        <v>0</v>
      </c>
      <c r="L947" t="s">
        <v>21</v>
      </c>
      <c r="M947" t="s">
        <v>22</v>
      </c>
      <c r="O947" s="5">
        <f t="shared" si="14"/>
        <v>0</v>
      </c>
      <c r="P947" s="6">
        <f>Table1[[#This Row],[Annual Salary]]+Table1[[#This Row],[Bonus Amount]]</f>
        <v>51234</v>
      </c>
      <c r="Q947" t="str">
        <f>IF(Table1[[#This Row],[Exit Date]]="", "Active","Exited")</f>
        <v>Active</v>
      </c>
      <c r="R947" s="2">
        <f ca="1">IFERROR(DATEDIF(Table1[[#This Row],[Hire Date]],IF(Table1[[#This Row],[Exit Date]]="",TODAY(),Table1[[#This Row],[Exit Date]]),"Y"),"")</f>
        <v>18</v>
      </c>
      <c r="S947" t="str" cm="1">
        <f t="array" ref="S947">_xlfn.IFS(Table1[[#This Row],[Age]]&lt;30,"Under 30",Table1[[#This Row],[Age]]&lt;=40,"30-40",Table1[[#This Row],[Age]]&lt;50,"41-50",TRUE,"50+")</f>
        <v>30-40</v>
      </c>
    </row>
    <row r="948" spans="1:19" x14ac:dyDescent="0.35">
      <c r="A948" t="s">
        <v>1348</v>
      </c>
      <c r="B948" t="s">
        <v>1885</v>
      </c>
      <c r="C948" t="s">
        <v>79</v>
      </c>
      <c r="D948" t="s">
        <v>65</v>
      </c>
      <c r="E948" t="s">
        <v>35</v>
      </c>
      <c r="F948" t="s">
        <v>27</v>
      </c>
      <c r="G948" t="s">
        <v>28</v>
      </c>
      <c r="H948" s="3">
        <v>31</v>
      </c>
      <c r="I948" s="8">
        <v>42018</v>
      </c>
      <c r="J948" s="4">
        <v>230025</v>
      </c>
      <c r="K948" s="1">
        <v>0.34</v>
      </c>
      <c r="L948" t="s">
        <v>21</v>
      </c>
      <c r="M948" t="s">
        <v>44</v>
      </c>
      <c r="O948" s="5">
        <f t="shared" si="14"/>
        <v>78208.5</v>
      </c>
      <c r="P948" s="6">
        <f>Table1[[#This Row],[Annual Salary]]+Table1[[#This Row],[Bonus Amount]]</f>
        <v>308233.5</v>
      </c>
      <c r="Q948" t="str">
        <f>IF(Table1[[#This Row],[Exit Date]]="", "Active","Exited")</f>
        <v>Active</v>
      </c>
      <c r="R948" s="2">
        <f ca="1">IFERROR(DATEDIF(Table1[[#This Row],[Hire Date]],IF(Table1[[#This Row],[Exit Date]]="",TODAY(),Table1[[#This Row],[Exit Date]]),"Y"),"")</f>
        <v>11</v>
      </c>
      <c r="S948" t="str" cm="1">
        <f t="array" ref="S948">_xlfn.IFS(Table1[[#This Row],[Age]]&lt;30,"Under 30",Table1[[#This Row],[Age]]&lt;=40,"30-40",Table1[[#This Row],[Age]]&lt;50,"41-50",TRUE,"50+")</f>
        <v>30-40</v>
      </c>
    </row>
    <row r="949" spans="1:19" x14ac:dyDescent="0.35">
      <c r="A949" t="s">
        <v>1886</v>
      </c>
      <c r="B949" t="s">
        <v>1887</v>
      </c>
      <c r="C949" t="s">
        <v>16</v>
      </c>
      <c r="D949" t="s">
        <v>65</v>
      </c>
      <c r="E949" t="s">
        <v>35</v>
      </c>
      <c r="F949" t="s">
        <v>19</v>
      </c>
      <c r="G949" t="s">
        <v>28</v>
      </c>
      <c r="H949" s="3">
        <v>36</v>
      </c>
      <c r="I949" s="8">
        <v>40248</v>
      </c>
      <c r="J949" s="4">
        <v>134006</v>
      </c>
      <c r="K949" s="1">
        <v>0.13</v>
      </c>
      <c r="L949" t="s">
        <v>29</v>
      </c>
      <c r="M949" t="s">
        <v>114</v>
      </c>
      <c r="O949" s="5">
        <f t="shared" si="14"/>
        <v>17420.78</v>
      </c>
      <c r="P949" s="6">
        <f>Table1[[#This Row],[Annual Salary]]+Table1[[#This Row],[Bonus Amount]]</f>
        <v>151426.78</v>
      </c>
      <c r="Q949" t="str">
        <f>IF(Table1[[#This Row],[Exit Date]]="", "Active","Exited")</f>
        <v>Active</v>
      </c>
      <c r="R949" s="2">
        <f ca="1">IFERROR(DATEDIF(Table1[[#This Row],[Hire Date]],IF(Table1[[#This Row],[Exit Date]]="",TODAY(),Table1[[#This Row],[Exit Date]]),"Y"),"")</f>
        <v>16</v>
      </c>
      <c r="S949" t="str" cm="1">
        <f t="array" ref="S949">_xlfn.IFS(Table1[[#This Row],[Age]]&lt;30,"Under 30",Table1[[#This Row],[Age]]&lt;=40,"30-40",Table1[[#This Row],[Age]]&lt;50,"41-50",TRUE,"50+")</f>
        <v>30-40</v>
      </c>
    </row>
    <row r="950" spans="1:19" x14ac:dyDescent="0.35">
      <c r="A950" t="s">
        <v>1888</v>
      </c>
      <c r="B950" t="s">
        <v>1889</v>
      </c>
      <c r="C950" t="s">
        <v>52</v>
      </c>
      <c r="D950" t="s">
        <v>34</v>
      </c>
      <c r="E950" t="s">
        <v>49</v>
      </c>
      <c r="F950" t="s">
        <v>19</v>
      </c>
      <c r="G950" t="s">
        <v>28</v>
      </c>
      <c r="H950" s="3">
        <v>61</v>
      </c>
      <c r="I950" s="8">
        <v>40092</v>
      </c>
      <c r="J950" s="4">
        <v>103096</v>
      </c>
      <c r="K950" s="1">
        <v>7.0000000000000007E-2</v>
      </c>
      <c r="L950" t="s">
        <v>29</v>
      </c>
      <c r="M950" t="s">
        <v>114</v>
      </c>
      <c r="O950" s="5">
        <f t="shared" si="14"/>
        <v>7216.72</v>
      </c>
      <c r="P950" s="6">
        <f>Table1[[#This Row],[Annual Salary]]+Table1[[#This Row],[Bonus Amount]]</f>
        <v>110312.72</v>
      </c>
      <c r="Q950" t="str">
        <f>IF(Table1[[#This Row],[Exit Date]]="", "Active","Exited")</f>
        <v>Active</v>
      </c>
      <c r="R950" s="2">
        <f ca="1">IFERROR(DATEDIF(Table1[[#This Row],[Hire Date]],IF(Table1[[#This Row],[Exit Date]]="",TODAY(),Table1[[#This Row],[Exit Date]]),"Y"),"")</f>
        <v>16</v>
      </c>
      <c r="S950" t="str" cm="1">
        <f t="array" ref="S950">_xlfn.IFS(Table1[[#This Row],[Age]]&lt;30,"Under 30",Table1[[#This Row],[Age]]&lt;=40,"30-40",Table1[[#This Row],[Age]]&lt;50,"41-50",TRUE,"50+")</f>
        <v>50+</v>
      </c>
    </row>
    <row r="951" spans="1:19" x14ac:dyDescent="0.35">
      <c r="A951" t="s">
        <v>1890</v>
      </c>
      <c r="B951" t="s">
        <v>1891</v>
      </c>
      <c r="C951" t="s">
        <v>55</v>
      </c>
      <c r="D951" t="s">
        <v>59</v>
      </c>
      <c r="E951" t="s">
        <v>26</v>
      </c>
      <c r="F951" t="s">
        <v>27</v>
      </c>
      <c r="G951" t="s">
        <v>28</v>
      </c>
      <c r="H951" s="3">
        <v>29</v>
      </c>
      <c r="I951" s="8">
        <v>42602</v>
      </c>
      <c r="J951" s="4">
        <v>58703</v>
      </c>
      <c r="K951" s="1">
        <v>0</v>
      </c>
      <c r="L951" t="s">
        <v>21</v>
      </c>
      <c r="M951" t="s">
        <v>88</v>
      </c>
      <c r="O951" s="5">
        <f t="shared" si="14"/>
        <v>0</v>
      </c>
      <c r="P951" s="6">
        <f>Table1[[#This Row],[Annual Salary]]+Table1[[#This Row],[Bonus Amount]]</f>
        <v>58703</v>
      </c>
      <c r="Q951" t="str">
        <f>IF(Table1[[#This Row],[Exit Date]]="", "Active","Exited")</f>
        <v>Active</v>
      </c>
      <c r="R951" s="2">
        <f ca="1">IFERROR(DATEDIF(Table1[[#This Row],[Hire Date]],IF(Table1[[#This Row],[Exit Date]]="",TODAY(),Table1[[#This Row],[Exit Date]]),"Y"),"")</f>
        <v>9</v>
      </c>
      <c r="S951" t="str" cm="1">
        <f t="array" ref="S951">_xlfn.IFS(Table1[[#This Row],[Age]]&lt;30,"Under 30",Table1[[#This Row],[Age]]&lt;=40,"30-40",Table1[[#This Row],[Age]]&lt;50,"41-50",TRUE,"50+")</f>
        <v>Under 30</v>
      </c>
    </row>
    <row r="952" spans="1:19" x14ac:dyDescent="0.35">
      <c r="A952" t="s">
        <v>1892</v>
      </c>
      <c r="B952" t="s">
        <v>1893</v>
      </c>
      <c r="C952" t="s">
        <v>16</v>
      </c>
      <c r="D952" t="s">
        <v>17</v>
      </c>
      <c r="E952" t="s">
        <v>35</v>
      </c>
      <c r="F952" t="s">
        <v>27</v>
      </c>
      <c r="G952" t="s">
        <v>85</v>
      </c>
      <c r="H952" s="3">
        <v>33</v>
      </c>
      <c r="I952" s="8">
        <v>41267</v>
      </c>
      <c r="J952" s="4">
        <v>132544</v>
      </c>
      <c r="K952" s="1">
        <v>0.1</v>
      </c>
      <c r="L952" t="s">
        <v>93</v>
      </c>
      <c r="M952" t="s">
        <v>99</v>
      </c>
      <c r="O952" s="5">
        <f t="shared" si="14"/>
        <v>13254.400000000001</v>
      </c>
      <c r="P952" s="6">
        <f>Table1[[#This Row],[Annual Salary]]+Table1[[#This Row],[Bonus Amount]]</f>
        <v>145798.39999999999</v>
      </c>
      <c r="Q952" t="str">
        <f>IF(Table1[[#This Row],[Exit Date]]="", "Active","Exited")</f>
        <v>Active</v>
      </c>
      <c r="R952" s="2">
        <f ca="1">IFERROR(DATEDIF(Table1[[#This Row],[Hire Date]],IF(Table1[[#This Row],[Exit Date]]="",TODAY(),Table1[[#This Row],[Exit Date]]),"Y"),"")</f>
        <v>13</v>
      </c>
      <c r="S952" t="str" cm="1">
        <f t="array" ref="S952">_xlfn.IFS(Table1[[#This Row],[Age]]&lt;30,"Under 30",Table1[[#This Row],[Age]]&lt;=40,"30-40",Table1[[#This Row],[Age]]&lt;50,"41-50",TRUE,"50+")</f>
        <v>30-40</v>
      </c>
    </row>
    <row r="953" spans="1:19" x14ac:dyDescent="0.35">
      <c r="A953" t="s">
        <v>1894</v>
      </c>
      <c r="B953" t="s">
        <v>1895</v>
      </c>
      <c r="C953" t="s">
        <v>52</v>
      </c>
      <c r="D953" t="s">
        <v>34</v>
      </c>
      <c r="E953" t="s">
        <v>26</v>
      </c>
      <c r="F953" t="s">
        <v>27</v>
      </c>
      <c r="G953" t="s">
        <v>36</v>
      </c>
      <c r="H953" s="3">
        <v>32</v>
      </c>
      <c r="I953" s="8">
        <v>43936</v>
      </c>
      <c r="J953" s="4">
        <v>126671</v>
      </c>
      <c r="K953" s="1">
        <v>0.09</v>
      </c>
      <c r="L953" t="s">
        <v>21</v>
      </c>
      <c r="M953" t="s">
        <v>56</v>
      </c>
      <c r="O953" s="5">
        <f t="shared" si="14"/>
        <v>11400.39</v>
      </c>
      <c r="P953" s="6">
        <f>Table1[[#This Row],[Annual Salary]]+Table1[[#This Row],[Bonus Amount]]</f>
        <v>138071.39000000001</v>
      </c>
      <c r="Q953" t="str">
        <f>IF(Table1[[#This Row],[Exit Date]]="", "Active","Exited")</f>
        <v>Active</v>
      </c>
      <c r="R953" s="2">
        <f ca="1">IFERROR(DATEDIF(Table1[[#This Row],[Hire Date]],IF(Table1[[#This Row],[Exit Date]]="",TODAY(),Table1[[#This Row],[Exit Date]]),"Y"),"")</f>
        <v>5</v>
      </c>
      <c r="S953" t="str" cm="1">
        <f t="array" ref="S953">_xlfn.IFS(Table1[[#This Row],[Age]]&lt;30,"Under 30",Table1[[#This Row],[Age]]&lt;=40,"30-40",Table1[[#This Row],[Age]]&lt;50,"41-50",TRUE,"50+")</f>
        <v>30-40</v>
      </c>
    </row>
    <row r="954" spans="1:19" x14ac:dyDescent="0.35">
      <c r="A954" t="s">
        <v>1896</v>
      </c>
      <c r="B954" t="s">
        <v>1897</v>
      </c>
      <c r="C954" t="s">
        <v>47</v>
      </c>
      <c r="D954" t="s">
        <v>48</v>
      </c>
      <c r="E954" t="s">
        <v>18</v>
      </c>
      <c r="F954" t="s">
        <v>19</v>
      </c>
      <c r="G954" t="s">
        <v>28</v>
      </c>
      <c r="H954" s="3">
        <v>33</v>
      </c>
      <c r="I954" s="8">
        <v>44218</v>
      </c>
      <c r="J954" s="4">
        <v>56405</v>
      </c>
      <c r="K954" s="1">
        <v>0</v>
      </c>
      <c r="L954" t="s">
        <v>21</v>
      </c>
      <c r="M954" t="s">
        <v>37</v>
      </c>
      <c r="O954" s="5">
        <f t="shared" si="14"/>
        <v>0</v>
      </c>
      <c r="P954" s="6">
        <f>Table1[[#This Row],[Annual Salary]]+Table1[[#This Row],[Bonus Amount]]</f>
        <v>56405</v>
      </c>
      <c r="Q954" t="str">
        <f>IF(Table1[[#This Row],[Exit Date]]="", "Active","Exited")</f>
        <v>Active</v>
      </c>
      <c r="R954" s="2">
        <f ca="1">IFERROR(DATEDIF(Table1[[#This Row],[Hire Date]],IF(Table1[[#This Row],[Exit Date]]="",TODAY(),Table1[[#This Row],[Exit Date]]),"Y"),"")</f>
        <v>5</v>
      </c>
      <c r="S954" t="str" cm="1">
        <f t="array" ref="S954">_xlfn.IFS(Table1[[#This Row],[Age]]&lt;30,"Under 30",Table1[[#This Row],[Age]]&lt;=40,"30-40",Table1[[#This Row],[Age]]&lt;50,"41-50",TRUE,"50+")</f>
        <v>30-40</v>
      </c>
    </row>
    <row r="955" spans="1:19" x14ac:dyDescent="0.35">
      <c r="A955" t="s">
        <v>1898</v>
      </c>
      <c r="B955" t="s">
        <v>1899</v>
      </c>
      <c r="C955" t="s">
        <v>40</v>
      </c>
      <c r="D955" t="s">
        <v>17</v>
      </c>
      <c r="E955" t="s">
        <v>35</v>
      </c>
      <c r="F955" t="s">
        <v>19</v>
      </c>
      <c r="G955" t="s">
        <v>28</v>
      </c>
      <c r="H955" s="3">
        <v>36</v>
      </c>
      <c r="I955" s="8">
        <v>41972</v>
      </c>
      <c r="J955" s="4">
        <v>88730</v>
      </c>
      <c r="K955" s="1">
        <v>0.08</v>
      </c>
      <c r="L955" t="s">
        <v>29</v>
      </c>
      <c r="M955" t="s">
        <v>30</v>
      </c>
      <c r="O955" s="5">
        <f t="shared" si="14"/>
        <v>7098.4000000000005</v>
      </c>
      <c r="P955" s="6">
        <f>Table1[[#This Row],[Annual Salary]]+Table1[[#This Row],[Bonus Amount]]</f>
        <v>95828.4</v>
      </c>
      <c r="Q955" t="str">
        <f>IF(Table1[[#This Row],[Exit Date]]="", "Active","Exited")</f>
        <v>Active</v>
      </c>
      <c r="R955" s="2">
        <f ca="1">IFERROR(DATEDIF(Table1[[#This Row],[Hire Date]],IF(Table1[[#This Row],[Exit Date]]="",TODAY(),Table1[[#This Row],[Exit Date]]),"Y"),"")</f>
        <v>11</v>
      </c>
      <c r="S955" t="str" cm="1">
        <f t="array" ref="S955">_xlfn.IFS(Table1[[#This Row],[Age]]&lt;30,"Under 30",Table1[[#This Row],[Age]]&lt;=40,"30-40",Table1[[#This Row],[Age]]&lt;50,"41-50",TRUE,"50+")</f>
        <v>30-40</v>
      </c>
    </row>
    <row r="956" spans="1:19" x14ac:dyDescent="0.35">
      <c r="A956" t="s">
        <v>1900</v>
      </c>
      <c r="B956" t="s">
        <v>1901</v>
      </c>
      <c r="C956" t="s">
        <v>124</v>
      </c>
      <c r="D956" t="s">
        <v>34</v>
      </c>
      <c r="E956" t="s">
        <v>26</v>
      </c>
      <c r="F956" t="s">
        <v>27</v>
      </c>
      <c r="G956" t="s">
        <v>85</v>
      </c>
      <c r="H956" s="3">
        <v>39</v>
      </c>
      <c r="I956" s="8">
        <v>39708</v>
      </c>
      <c r="J956" s="4">
        <v>62861</v>
      </c>
      <c r="K956" s="1">
        <v>0</v>
      </c>
      <c r="L956" t="s">
        <v>21</v>
      </c>
      <c r="M956" t="s">
        <v>22</v>
      </c>
      <c r="O956" s="5">
        <f t="shared" si="14"/>
        <v>0</v>
      </c>
      <c r="P956" s="6">
        <f>Table1[[#This Row],[Annual Salary]]+Table1[[#This Row],[Bonus Amount]]</f>
        <v>62861</v>
      </c>
      <c r="Q956" t="str">
        <f>IF(Table1[[#This Row],[Exit Date]]="", "Active","Exited")</f>
        <v>Active</v>
      </c>
      <c r="R956" s="2">
        <f ca="1">IFERROR(DATEDIF(Table1[[#This Row],[Hire Date]],IF(Table1[[#This Row],[Exit Date]]="",TODAY(),Table1[[#This Row],[Exit Date]]),"Y"),"")</f>
        <v>17</v>
      </c>
      <c r="S956" t="str" cm="1">
        <f t="array" ref="S956">_xlfn.IFS(Table1[[#This Row],[Age]]&lt;30,"Under 30",Table1[[#This Row],[Age]]&lt;=40,"30-40",Table1[[#This Row],[Age]]&lt;50,"41-50",TRUE,"50+")</f>
        <v>30-40</v>
      </c>
    </row>
    <row r="957" spans="1:19" x14ac:dyDescent="0.35">
      <c r="A957" t="s">
        <v>1902</v>
      </c>
      <c r="B957" t="s">
        <v>1903</v>
      </c>
      <c r="C957" t="s">
        <v>33</v>
      </c>
      <c r="D957" t="s">
        <v>65</v>
      </c>
      <c r="E957" t="s">
        <v>49</v>
      </c>
      <c r="F957" t="s">
        <v>19</v>
      </c>
      <c r="G957" t="s">
        <v>85</v>
      </c>
      <c r="H957" s="3">
        <v>53</v>
      </c>
      <c r="I957" s="8">
        <v>38919</v>
      </c>
      <c r="J957" s="4">
        <v>151246</v>
      </c>
      <c r="K957" s="1">
        <v>0.21</v>
      </c>
      <c r="L957" t="s">
        <v>93</v>
      </c>
      <c r="M957" t="s">
        <v>218</v>
      </c>
      <c r="O957" s="5">
        <f t="shared" si="14"/>
        <v>31761.66</v>
      </c>
      <c r="P957" s="6">
        <f>Table1[[#This Row],[Annual Salary]]+Table1[[#This Row],[Bonus Amount]]</f>
        <v>183007.66</v>
      </c>
      <c r="Q957" t="str">
        <f>IF(Table1[[#This Row],[Exit Date]]="", "Active","Exited")</f>
        <v>Active</v>
      </c>
      <c r="R957" s="2">
        <f ca="1">IFERROR(DATEDIF(Table1[[#This Row],[Hire Date]],IF(Table1[[#This Row],[Exit Date]]="",TODAY(),Table1[[#This Row],[Exit Date]]),"Y"),"")</f>
        <v>19</v>
      </c>
      <c r="S957" t="str" cm="1">
        <f t="array" ref="S957">_xlfn.IFS(Table1[[#This Row],[Age]]&lt;30,"Under 30",Table1[[#This Row],[Age]]&lt;=40,"30-40",Table1[[#This Row],[Age]]&lt;50,"41-50",TRUE,"50+")</f>
        <v>50+</v>
      </c>
    </row>
    <row r="958" spans="1:19" x14ac:dyDescent="0.35">
      <c r="A958" t="s">
        <v>1904</v>
      </c>
      <c r="B958" t="s">
        <v>1905</v>
      </c>
      <c r="C958" t="s">
        <v>16</v>
      </c>
      <c r="D958" t="s">
        <v>17</v>
      </c>
      <c r="E958" t="s">
        <v>26</v>
      </c>
      <c r="F958" t="s">
        <v>19</v>
      </c>
      <c r="G958" t="s">
        <v>28</v>
      </c>
      <c r="H958" s="3">
        <v>53</v>
      </c>
      <c r="I958" s="8">
        <v>35532</v>
      </c>
      <c r="J958" s="4">
        <v>154388</v>
      </c>
      <c r="K958" s="1">
        <v>0.1</v>
      </c>
      <c r="L958" t="s">
        <v>21</v>
      </c>
      <c r="M958" t="s">
        <v>22</v>
      </c>
      <c r="O958" s="5">
        <f t="shared" si="14"/>
        <v>15438.800000000001</v>
      </c>
      <c r="P958" s="6">
        <f>Table1[[#This Row],[Annual Salary]]+Table1[[#This Row],[Bonus Amount]]</f>
        <v>169826.8</v>
      </c>
      <c r="Q958" t="str">
        <f>IF(Table1[[#This Row],[Exit Date]]="", "Active","Exited")</f>
        <v>Active</v>
      </c>
      <c r="R958" s="2">
        <f ca="1">IFERROR(DATEDIF(Table1[[#This Row],[Hire Date]],IF(Table1[[#This Row],[Exit Date]]="",TODAY(),Table1[[#This Row],[Exit Date]]),"Y"),"")</f>
        <v>28</v>
      </c>
      <c r="S958" t="str" cm="1">
        <f t="array" ref="S958">_xlfn.IFS(Table1[[#This Row],[Age]]&lt;30,"Under 30",Table1[[#This Row],[Age]]&lt;=40,"30-40",Table1[[#This Row],[Age]]&lt;50,"41-50",TRUE,"50+")</f>
        <v>50+</v>
      </c>
    </row>
    <row r="959" spans="1:19" x14ac:dyDescent="0.35">
      <c r="A959" t="s">
        <v>969</v>
      </c>
      <c r="B959" t="s">
        <v>1906</v>
      </c>
      <c r="C959" t="s">
        <v>33</v>
      </c>
      <c r="D959" t="s">
        <v>65</v>
      </c>
      <c r="E959" t="s">
        <v>26</v>
      </c>
      <c r="F959" t="s">
        <v>19</v>
      </c>
      <c r="G959" t="s">
        <v>36</v>
      </c>
      <c r="H959" s="3">
        <v>54</v>
      </c>
      <c r="I959" s="8">
        <v>34603</v>
      </c>
      <c r="J959" s="4">
        <v>162978</v>
      </c>
      <c r="K959" s="1">
        <v>0.17</v>
      </c>
      <c r="L959" t="s">
        <v>21</v>
      </c>
      <c r="M959" t="s">
        <v>56</v>
      </c>
      <c r="N959" s="7">
        <v>38131</v>
      </c>
      <c r="O959" s="5">
        <f t="shared" si="14"/>
        <v>27706.260000000002</v>
      </c>
      <c r="P959" s="6">
        <f>Table1[[#This Row],[Annual Salary]]+Table1[[#This Row],[Bonus Amount]]</f>
        <v>190684.26</v>
      </c>
      <c r="Q959" t="str">
        <f>IF(Table1[[#This Row],[Exit Date]]="", "Active","Exited")</f>
        <v>Exited</v>
      </c>
      <c r="R959" s="2">
        <f ca="1">IFERROR(DATEDIF(Table1[[#This Row],[Hire Date]],IF(Table1[[#This Row],[Exit Date]]="",TODAY(),Table1[[#This Row],[Exit Date]]),"Y"),"")</f>
        <v>9</v>
      </c>
      <c r="S959" t="str" cm="1">
        <f t="array" ref="S959">_xlfn.IFS(Table1[[#This Row],[Age]]&lt;30,"Under 30",Table1[[#This Row],[Age]]&lt;=40,"30-40",Table1[[#This Row],[Age]]&lt;50,"41-50",TRUE,"50+")</f>
        <v>50+</v>
      </c>
    </row>
    <row r="960" spans="1:19" x14ac:dyDescent="0.35">
      <c r="A960" t="s">
        <v>1907</v>
      </c>
      <c r="B960" t="s">
        <v>1908</v>
      </c>
      <c r="C960" t="s">
        <v>372</v>
      </c>
      <c r="D960" t="s">
        <v>17</v>
      </c>
      <c r="E960" t="s">
        <v>35</v>
      </c>
      <c r="F960" t="s">
        <v>27</v>
      </c>
      <c r="G960" t="s">
        <v>85</v>
      </c>
      <c r="H960" s="3">
        <v>55</v>
      </c>
      <c r="I960" s="8">
        <v>34290</v>
      </c>
      <c r="J960" s="4">
        <v>80170</v>
      </c>
      <c r="K960" s="1">
        <v>0</v>
      </c>
      <c r="L960" t="s">
        <v>21</v>
      </c>
      <c r="M960" t="s">
        <v>56</v>
      </c>
      <c r="O960" s="5">
        <f t="shared" si="14"/>
        <v>0</v>
      </c>
      <c r="P960" s="6">
        <f>Table1[[#This Row],[Annual Salary]]+Table1[[#This Row],[Bonus Amount]]</f>
        <v>80170</v>
      </c>
      <c r="Q960" t="str">
        <f>IF(Table1[[#This Row],[Exit Date]]="", "Active","Exited")</f>
        <v>Active</v>
      </c>
      <c r="R960" s="2">
        <f ca="1">IFERROR(DATEDIF(Table1[[#This Row],[Hire Date]],IF(Table1[[#This Row],[Exit Date]]="",TODAY(),Table1[[#This Row],[Exit Date]]),"Y"),"")</f>
        <v>32</v>
      </c>
      <c r="S960" t="str" cm="1">
        <f t="array" ref="S960">_xlfn.IFS(Table1[[#This Row],[Age]]&lt;30,"Under 30",Table1[[#This Row],[Age]]&lt;=40,"30-40",Table1[[#This Row],[Age]]&lt;50,"41-50",TRUE,"50+")</f>
        <v>50+</v>
      </c>
    </row>
    <row r="961" spans="1:19" x14ac:dyDescent="0.35">
      <c r="A961" t="s">
        <v>1171</v>
      </c>
      <c r="B961" t="s">
        <v>1909</v>
      </c>
      <c r="C961" t="s">
        <v>43</v>
      </c>
      <c r="D961" t="s">
        <v>59</v>
      </c>
      <c r="E961" t="s">
        <v>26</v>
      </c>
      <c r="F961" t="s">
        <v>19</v>
      </c>
      <c r="G961" t="s">
        <v>28</v>
      </c>
      <c r="H961" s="3">
        <v>44</v>
      </c>
      <c r="I961" s="8">
        <v>44314</v>
      </c>
      <c r="J961" s="4">
        <v>98520</v>
      </c>
      <c r="K961" s="1">
        <v>0</v>
      </c>
      <c r="L961" t="s">
        <v>21</v>
      </c>
      <c r="M961" t="s">
        <v>56</v>
      </c>
      <c r="O961" s="5">
        <f t="shared" si="14"/>
        <v>0</v>
      </c>
      <c r="P961" s="6">
        <f>Table1[[#This Row],[Annual Salary]]+Table1[[#This Row],[Bonus Amount]]</f>
        <v>98520</v>
      </c>
      <c r="Q961" t="str">
        <f>IF(Table1[[#This Row],[Exit Date]]="", "Active","Exited")</f>
        <v>Active</v>
      </c>
      <c r="R961" s="2">
        <f ca="1">IFERROR(DATEDIF(Table1[[#This Row],[Hire Date]],IF(Table1[[#This Row],[Exit Date]]="",TODAY(),Table1[[#This Row],[Exit Date]]),"Y"),"")</f>
        <v>4</v>
      </c>
      <c r="S961" t="str" cm="1">
        <f t="array" ref="S961">_xlfn.IFS(Table1[[#This Row],[Age]]&lt;30,"Under 30",Table1[[#This Row],[Age]]&lt;=40,"30-40",Table1[[#This Row],[Age]]&lt;50,"41-50",TRUE,"50+")</f>
        <v>41-50</v>
      </c>
    </row>
    <row r="962" spans="1:19" x14ac:dyDescent="0.35">
      <c r="A962" t="s">
        <v>1535</v>
      </c>
      <c r="B962" t="s">
        <v>1910</v>
      </c>
      <c r="C962" t="s">
        <v>52</v>
      </c>
      <c r="D962" t="s">
        <v>34</v>
      </c>
      <c r="E962" t="s">
        <v>26</v>
      </c>
      <c r="F962" t="s">
        <v>27</v>
      </c>
      <c r="G962" t="s">
        <v>28</v>
      </c>
      <c r="H962" s="3">
        <v>52</v>
      </c>
      <c r="I962" s="8">
        <v>36523</v>
      </c>
      <c r="J962" s="4">
        <v>116527</v>
      </c>
      <c r="K962" s="1">
        <v>7.0000000000000007E-2</v>
      </c>
      <c r="L962" t="s">
        <v>21</v>
      </c>
      <c r="M962" t="s">
        <v>44</v>
      </c>
      <c r="O962" s="5">
        <f t="shared" si="14"/>
        <v>8156.89</v>
      </c>
      <c r="P962" s="6">
        <f>Table1[[#This Row],[Annual Salary]]+Table1[[#This Row],[Bonus Amount]]</f>
        <v>124683.89</v>
      </c>
      <c r="Q962" t="str">
        <f>IF(Table1[[#This Row],[Exit Date]]="", "Active","Exited")</f>
        <v>Active</v>
      </c>
      <c r="R962" s="2">
        <f ca="1">IFERROR(DATEDIF(Table1[[#This Row],[Hire Date]],IF(Table1[[#This Row],[Exit Date]]="",TODAY(),Table1[[#This Row],[Exit Date]]),"Y"),"")</f>
        <v>26</v>
      </c>
      <c r="S962" t="str" cm="1">
        <f t="array" ref="S962">_xlfn.IFS(Table1[[#This Row],[Age]]&lt;30,"Under 30",Table1[[#This Row],[Age]]&lt;=40,"30-40",Table1[[#This Row],[Age]]&lt;50,"41-50",TRUE,"50+")</f>
        <v>50+</v>
      </c>
    </row>
    <row r="963" spans="1:19" x14ac:dyDescent="0.35">
      <c r="A963" t="s">
        <v>1698</v>
      </c>
      <c r="B963" t="s">
        <v>1911</v>
      </c>
      <c r="C963" t="s">
        <v>33</v>
      </c>
      <c r="D963" t="s">
        <v>48</v>
      </c>
      <c r="E963" t="s">
        <v>18</v>
      </c>
      <c r="F963" t="s">
        <v>27</v>
      </c>
      <c r="G963" t="s">
        <v>28</v>
      </c>
      <c r="H963" s="3">
        <v>27</v>
      </c>
      <c r="I963" s="8">
        <v>43776</v>
      </c>
      <c r="J963" s="4">
        <v>174607</v>
      </c>
      <c r="K963" s="1">
        <v>0.28999999999999998</v>
      </c>
      <c r="L963" t="s">
        <v>21</v>
      </c>
      <c r="M963" t="s">
        <v>88</v>
      </c>
      <c r="O963" s="5">
        <f t="shared" ref="O963:O1001" si="15">J963*K963</f>
        <v>50636.03</v>
      </c>
      <c r="P963" s="6">
        <f>Table1[[#This Row],[Annual Salary]]+Table1[[#This Row],[Bonus Amount]]</f>
        <v>225243.03</v>
      </c>
      <c r="Q963" t="str">
        <f>IF(Table1[[#This Row],[Exit Date]]="", "Active","Exited")</f>
        <v>Active</v>
      </c>
      <c r="R963" s="2">
        <f ca="1">IFERROR(DATEDIF(Table1[[#This Row],[Hire Date]],IF(Table1[[#This Row],[Exit Date]]="",TODAY(),Table1[[#This Row],[Exit Date]]),"Y"),"")</f>
        <v>6</v>
      </c>
      <c r="S963" t="str" cm="1">
        <f t="array" ref="S963">_xlfn.IFS(Table1[[#This Row],[Age]]&lt;30,"Under 30",Table1[[#This Row],[Age]]&lt;=40,"30-40",Table1[[#This Row],[Age]]&lt;50,"41-50",TRUE,"50+")</f>
        <v>Under 30</v>
      </c>
    </row>
    <row r="964" spans="1:19" x14ac:dyDescent="0.35">
      <c r="A964" t="s">
        <v>1912</v>
      </c>
      <c r="B964" t="s">
        <v>1913</v>
      </c>
      <c r="C964" t="s">
        <v>124</v>
      </c>
      <c r="D964" t="s">
        <v>59</v>
      </c>
      <c r="E964" t="s">
        <v>18</v>
      </c>
      <c r="F964" t="s">
        <v>27</v>
      </c>
      <c r="G964" t="s">
        <v>85</v>
      </c>
      <c r="H964" s="3">
        <v>58</v>
      </c>
      <c r="I964" s="8">
        <v>38819</v>
      </c>
      <c r="J964" s="4">
        <v>64202</v>
      </c>
      <c r="K964" s="1">
        <v>0</v>
      </c>
      <c r="L964" t="s">
        <v>21</v>
      </c>
      <c r="M964" t="s">
        <v>88</v>
      </c>
      <c r="O964" s="5">
        <f t="shared" si="15"/>
        <v>0</v>
      </c>
      <c r="P964" s="6">
        <f>Table1[[#This Row],[Annual Salary]]+Table1[[#This Row],[Bonus Amount]]</f>
        <v>64202</v>
      </c>
      <c r="Q964" t="str">
        <f>IF(Table1[[#This Row],[Exit Date]]="", "Active","Exited")</f>
        <v>Active</v>
      </c>
      <c r="R964" s="2">
        <f ca="1">IFERROR(DATEDIF(Table1[[#This Row],[Hire Date]],IF(Table1[[#This Row],[Exit Date]]="",TODAY(),Table1[[#This Row],[Exit Date]]),"Y"),"")</f>
        <v>19</v>
      </c>
      <c r="S964" t="str" cm="1">
        <f t="array" ref="S964">_xlfn.IFS(Table1[[#This Row],[Age]]&lt;30,"Under 30",Table1[[#This Row],[Age]]&lt;=40,"30-40",Table1[[#This Row],[Age]]&lt;50,"41-50",TRUE,"50+")</f>
        <v>50+</v>
      </c>
    </row>
    <row r="965" spans="1:19" x14ac:dyDescent="0.35">
      <c r="A965" t="s">
        <v>1134</v>
      </c>
      <c r="B965" t="s">
        <v>1914</v>
      </c>
      <c r="C965" t="s">
        <v>124</v>
      </c>
      <c r="D965" t="s">
        <v>59</v>
      </c>
      <c r="E965" t="s">
        <v>49</v>
      </c>
      <c r="F965" t="s">
        <v>27</v>
      </c>
      <c r="G965" t="s">
        <v>28</v>
      </c>
      <c r="H965" s="3">
        <v>49</v>
      </c>
      <c r="I965" s="8">
        <v>43671</v>
      </c>
      <c r="J965" s="4">
        <v>50883</v>
      </c>
      <c r="K965" s="1">
        <v>0</v>
      </c>
      <c r="L965" t="s">
        <v>29</v>
      </c>
      <c r="M965" t="s">
        <v>30</v>
      </c>
      <c r="N965" s="7">
        <v>44257</v>
      </c>
      <c r="O965" s="5">
        <f t="shared" si="15"/>
        <v>0</v>
      </c>
      <c r="P965" s="6">
        <f>Table1[[#This Row],[Annual Salary]]+Table1[[#This Row],[Bonus Amount]]</f>
        <v>50883</v>
      </c>
      <c r="Q965" t="str">
        <f>IF(Table1[[#This Row],[Exit Date]]="", "Active","Exited")</f>
        <v>Exited</v>
      </c>
      <c r="R965" s="2">
        <f ca="1">IFERROR(DATEDIF(Table1[[#This Row],[Hire Date]],IF(Table1[[#This Row],[Exit Date]]="",TODAY(),Table1[[#This Row],[Exit Date]]),"Y"),"")</f>
        <v>1</v>
      </c>
      <c r="S965" t="str" cm="1">
        <f t="array" ref="S965">_xlfn.IFS(Table1[[#This Row],[Age]]&lt;30,"Under 30",Table1[[#This Row],[Age]]&lt;=40,"30-40",Table1[[#This Row],[Age]]&lt;50,"41-50",TRUE,"50+")</f>
        <v>41-50</v>
      </c>
    </row>
    <row r="966" spans="1:19" x14ac:dyDescent="0.35">
      <c r="A966" t="s">
        <v>1915</v>
      </c>
      <c r="B966" t="s">
        <v>1916</v>
      </c>
      <c r="C966" t="s">
        <v>248</v>
      </c>
      <c r="D966" t="s">
        <v>17</v>
      </c>
      <c r="E966" t="s">
        <v>35</v>
      </c>
      <c r="F966" t="s">
        <v>19</v>
      </c>
      <c r="G966" t="s">
        <v>85</v>
      </c>
      <c r="H966" s="3">
        <v>36</v>
      </c>
      <c r="I966" s="8">
        <v>42677</v>
      </c>
      <c r="J966" s="4">
        <v>94618</v>
      </c>
      <c r="K966" s="1">
        <v>0</v>
      </c>
      <c r="L966" t="s">
        <v>21</v>
      </c>
      <c r="M966" t="s">
        <v>88</v>
      </c>
      <c r="O966" s="5">
        <f t="shared" si="15"/>
        <v>0</v>
      </c>
      <c r="P966" s="6">
        <f>Table1[[#This Row],[Annual Salary]]+Table1[[#This Row],[Bonus Amount]]</f>
        <v>94618</v>
      </c>
      <c r="Q966" t="str">
        <f>IF(Table1[[#This Row],[Exit Date]]="", "Active","Exited")</f>
        <v>Active</v>
      </c>
      <c r="R966" s="2">
        <f ca="1">IFERROR(DATEDIF(Table1[[#This Row],[Hire Date]],IF(Table1[[#This Row],[Exit Date]]="",TODAY(),Table1[[#This Row],[Exit Date]]),"Y"),"")</f>
        <v>9</v>
      </c>
      <c r="S966" t="str" cm="1">
        <f t="array" ref="S966">_xlfn.IFS(Table1[[#This Row],[Age]]&lt;30,"Under 30",Table1[[#This Row],[Age]]&lt;=40,"30-40",Table1[[#This Row],[Age]]&lt;50,"41-50",TRUE,"50+")</f>
        <v>30-40</v>
      </c>
    </row>
    <row r="967" spans="1:19" x14ac:dyDescent="0.35">
      <c r="A967" t="s">
        <v>1917</v>
      </c>
      <c r="B967" t="s">
        <v>1918</v>
      </c>
      <c r="C967" t="s">
        <v>33</v>
      </c>
      <c r="D967" t="s">
        <v>80</v>
      </c>
      <c r="E967" t="s">
        <v>18</v>
      </c>
      <c r="F967" t="s">
        <v>27</v>
      </c>
      <c r="G967" t="s">
        <v>36</v>
      </c>
      <c r="H967" s="3">
        <v>26</v>
      </c>
      <c r="I967" s="8">
        <v>43753</v>
      </c>
      <c r="J967" s="4">
        <v>151556</v>
      </c>
      <c r="K967" s="1">
        <v>0.2</v>
      </c>
      <c r="L967" t="s">
        <v>21</v>
      </c>
      <c r="M967" t="s">
        <v>56</v>
      </c>
      <c r="O967" s="5">
        <f t="shared" si="15"/>
        <v>30311.200000000001</v>
      </c>
      <c r="P967" s="6">
        <f>Table1[[#This Row],[Annual Salary]]+Table1[[#This Row],[Bonus Amount]]</f>
        <v>181867.2</v>
      </c>
      <c r="Q967" t="str">
        <f>IF(Table1[[#This Row],[Exit Date]]="", "Active","Exited")</f>
        <v>Active</v>
      </c>
      <c r="R967" s="2">
        <f ca="1">IFERROR(DATEDIF(Table1[[#This Row],[Hire Date]],IF(Table1[[#This Row],[Exit Date]]="",TODAY(),Table1[[#This Row],[Exit Date]]),"Y"),"")</f>
        <v>6</v>
      </c>
      <c r="S967" t="str" cm="1">
        <f t="array" ref="S967">_xlfn.IFS(Table1[[#This Row],[Age]]&lt;30,"Under 30",Table1[[#This Row],[Age]]&lt;=40,"30-40",Table1[[#This Row],[Age]]&lt;50,"41-50",TRUE,"50+")</f>
        <v>Under 30</v>
      </c>
    </row>
    <row r="968" spans="1:19" x14ac:dyDescent="0.35">
      <c r="A968" t="s">
        <v>1919</v>
      </c>
      <c r="B968" t="s">
        <v>1920</v>
      </c>
      <c r="C968" t="s">
        <v>277</v>
      </c>
      <c r="D968" t="s">
        <v>69</v>
      </c>
      <c r="E968" t="s">
        <v>18</v>
      </c>
      <c r="F968" t="s">
        <v>19</v>
      </c>
      <c r="G968" t="s">
        <v>28</v>
      </c>
      <c r="H968" s="3">
        <v>37</v>
      </c>
      <c r="I968" s="8">
        <v>43898</v>
      </c>
      <c r="J968" s="4">
        <v>80659</v>
      </c>
      <c r="K968" s="1">
        <v>0</v>
      </c>
      <c r="L968" t="s">
        <v>21</v>
      </c>
      <c r="M968" t="s">
        <v>44</v>
      </c>
      <c r="O968" s="5">
        <f t="shared" si="15"/>
        <v>0</v>
      </c>
      <c r="P968" s="6">
        <f>Table1[[#This Row],[Annual Salary]]+Table1[[#This Row],[Bonus Amount]]</f>
        <v>80659</v>
      </c>
      <c r="Q968" t="str">
        <f>IF(Table1[[#This Row],[Exit Date]]="", "Active","Exited")</f>
        <v>Active</v>
      </c>
      <c r="R968" s="2">
        <f ca="1">IFERROR(DATEDIF(Table1[[#This Row],[Hire Date]],IF(Table1[[#This Row],[Exit Date]]="",TODAY(),Table1[[#This Row],[Exit Date]]),"Y"),"")</f>
        <v>6</v>
      </c>
      <c r="S968" t="str" cm="1">
        <f t="array" ref="S968">_xlfn.IFS(Table1[[#This Row],[Age]]&lt;30,"Under 30",Table1[[#This Row],[Age]]&lt;=40,"30-40",Table1[[#This Row],[Age]]&lt;50,"41-50",TRUE,"50+")</f>
        <v>30-40</v>
      </c>
    </row>
    <row r="969" spans="1:19" x14ac:dyDescent="0.35">
      <c r="A969" t="s">
        <v>1921</v>
      </c>
      <c r="B969" t="s">
        <v>1922</v>
      </c>
      <c r="C969" t="s">
        <v>33</v>
      </c>
      <c r="D969" t="s">
        <v>65</v>
      </c>
      <c r="E969" t="s">
        <v>35</v>
      </c>
      <c r="F969" t="s">
        <v>27</v>
      </c>
      <c r="G969" t="s">
        <v>28</v>
      </c>
      <c r="H969" s="3">
        <v>47</v>
      </c>
      <c r="I969" s="8">
        <v>43772</v>
      </c>
      <c r="J969" s="4">
        <v>195385</v>
      </c>
      <c r="K969" s="1">
        <v>0.21</v>
      </c>
      <c r="L969" t="s">
        <v>29</v>
      </c>
      <c r="M969" t="s">
        <v>134</v>
      </c>
      <c r="O969" s="5">
        <f t="shared" si="15"/>
        <v>41030.85</v>
      </c>
      <c r="P969" s="6">
        <f>Table1[[#This Row],[Annual Salary]]+Table1[[#This Row],[Bonus Amount]]</f>
        <v>236415.85</v>
      </c>
      <c r="Q969" t="str">
        <f>IF(Table1[[#This Row],[Exit Date]]="", "Active","Exited")</f>
        <v>Active</v>
      </c>
      <c r="R969" s="2">
        <f ca="1">IFERROR(DATEDIF(Table1[[#This Row],[Hire Date]],IF(Table1[[#This Row],[Exit Date]]="",TODAY(),Table1[[#This Row],[Exit Date]]),"Y"),"")</f>
        <v>6</v>
      </c>
      <c r="S969" t="str" cm="1">
        <f t="array" ref="S969">_xlfn.IFS(Table1[[#This Row],[Age]]&lt;30,"Under 30",Table1[[#This Row],[Age]]&lt;=40,"30-40",Table1[[#This Row],[Age]]&lt;50,"41-50",TRUE,"50+")</f>
        <v>41-50</v>
      </c>
    </row>
    <row r="970" spans="1:19" x14ac:dyDescent="0.35">
      <c r="A970" t="s">
        <v>1923</v>
      </c>
      <c r="B970" t="s">
        <v>1924</v>
      </c>
      <c r="C970" t="s">
        <v>330</v>
      </c>
      <c r="D970" t="s">
        <v>17</v>
      </c>
      <c r="E970" t="s">
        <v>35</v>
      </c>
      <c r="F970" t="s">
        <v>27</v>
      </c>
      <c r="G970" t="s">
        <v>85</v>
      </c>
      <c r="H970" s="3">
        <v>29</v>
      </c>
      <c r="I970" s="8">
        <v>42509</v>
      </c>
      <c r="J970" s="4">
        <v>52693</v>
      </c>
      <c r="K970" s="1">
        <v>0</v>
      </c>
      <c r="L970" t="s">
        <v>93</v>
      </c>
      <c r="M970" t="s">
        <v>99</v>
      </c>
      <c r="O970" s="5">
        <f t="shared" si="15"/>
        <v>0</v>
      </c>
      <c r="P970" s="6">
        <f>Table1[[#This Row],[Annual Salary]]+Table1[[#This Row],[Bonus Amount]]</f>
        <v>52693</v>
      </c>
      <c r="Q970" t="str">
        <f>IF(Table1[[#This Row],[Exit Date]]="", "Active","Exited")</f>
        <v>Active</v>
      </c>
      <c r="R970" s="2">
        <f ca="1">IFERROR(DATEDIF(Table1[[#This Row],[Hire Date]],IF(Table1[[#This Row],[Exit Date]]="",TODAY(),Table1[[#This Row],[Exit Date]]),"Y"),"")</f>
        <v>9</v>
      </c>
      <c r="S970" t="str" cm="1">
        <f t="array" ref="S970">_xlfn.IFS(Table1[[#This Row],[Age]]&lt;30,"Under 30",Table1[[#This Row],[Age]]&lt;=40,"30-40",Table1[[#This Row],[Age]]&lt;50,"41-50",TRUE,"50+")</f>
        <v>Under 30</v>
      </c>
    </row>
    <row r="971" spans="1:19" x14ac:dyDescent="0.35">
      <c r="A971" t="s">
        <v>1925</v>
      </c>
      <c r="B971" t="s">
        <v>1926</v>
      </c>
      <c r="C971" t="s">
        <v>485</v>
      </c>
      <c r="D971" t="s">
        <v>17</v>
      </c>
      <c r="E971" t="s">
        <v>18</v>
      </c>
      <c r="F971" t="s">
        <v>19</v>
      </c>
      <c r="G971" t="s">
        <v>36</v>
      </c>
      <c r="H971" s="3">
        <v>58</v>
      </c>
      <c r="I971" s="8">
        <v>42486</v>
      </c>
      <c r="J971" s="4">
        <v>72045</v>
      </c>
      <c r="K971" s="1">
        <v>0</v>
      </c>
      <c r="L971" t="s">
        <v>21</v>
      </c>
      <c r="M971" t="s">
        <v>44</v>
      </c>
      <c r="O971" s="5">
        <f t="shared" si="15"/>
        <v>0</v>
      </c>
      <c r="P971" s="6">
        <f>Table1[[#This Row],[Annual Salary]]+Table1[[#This Row],[Bonus Amount]]</f>
        <v>72045</v>
      </c>
      <c r="Q971" t="str">
        <f>IF(Table1[[#This Row],[Exit Date]]="", "Active","Exited")</f>
        <v>Active</v>
      </c>
      <c r="R971" s="2">
        <f ca="1">IFERROR(DATEDIF(Table1[[#This Row],[Hire Date]],IF(Table1[[#This Row],[Exit Date]]="",TODAY(),Table1[[#This Row],[Exit Date]]),"Y"),"")</f>
        <v>9</v>
      </c>
      <c r="S971" t="str" cm="1">
        <f t="array" ref="S971">_xlfn.IFS(Table1[[#This Row],[Age]]&lt;30,"Under 30",Table1[[#This Row],[Age]]&lt;=40,"30-40",Table1[[#This Row],[Age]]&lt;50,"41-50",TRUE,"50+")</f>
        <v>50+</v>
      </c>
    </row>
    <row r="972" spans="1:19" x14ac:dyDescent="0.35">
      <c r="A972" t="s">
        <v>1927</v>
      </c>
      <c r="B972" t="s">
        <v>1928</v>
      </c>
      <c r="C972" t="s">
        <v>124</v>
      </c>
      <c r="D972" t="s">
        <v>80</v>
      </c>
      <c r="E972" t="s">
        <v>26</v>
      </c>
      <c r="F972" t="s">
        <v>27</v>
      </c>
      <c r="G972" t="s">
        <v>85</v>
      </c>
      <c r="H972" s="3">
        <v>47</v>
      </c>
      <c r="I972" s="8">
        <v>38684</v>
      </c>
      <c r="J972" s="4">
        <v>62749</v>
      </c>
      <c r="K972" s="1">
        <v>0</v>
      </c>
      <c r="L972" t="s">
        <v>93</v>
      </c>
      <c r="M972" t="s">
        <v>94</v>
      </c>
      <c r="O972" s="5">
        <f t="shared" si="15"/>
        <v>0</v>
      </c>
      <c r="P972" s="6">
        <f>Table1[[#This Row],[Annual Salary]]+Table1[[#This Row],[Bonus Amount]]</f>
        <v>62749</v>
      </c>
      <c r="Q972" t="str">
        <f>IF(Table1[[#This Row],[Exit Date]]="", "Active","Exited")</f>
        <v>Active</v>
      </c>
      <c r="R972" s="2">
        <f ca="1">IFERROR(DATEDIF(Table1[[#This Row],[Hire Date]],IF(Table1[[#This Row],[Exit Date]]="",TODAY(),Table1[[#This Row],[Exit Date]]),"Y"),"")</f>
        <v>20</v>
      </c>
      <c r="S972" t="str" cm="1">
        <f t="array" ref="S972">_xlfn.IFS(Table1[[#This Row],[Age]]&lt;30,"Under 30",Table1[[#This Row],[Age]]&lt;=40,"30-40",Table1[[#This Row],[Age]]&lt;50,"41-50",TRUE,"50+")</f>
        <v>41-50</v>
      </c>
    </row>
    <row r="973" spans="1:19" x14ac:dyDescent="0.35">
      <c r="A973" t="s">
        <v>1929</v>
      </c>
      <c r="B973" t="s">
        <v>1930</v>
      </c>
      <c r="C973" t="s">
        <v>16</v>
      </c>
      <c r="D973" t="s">
        <v>80</v>
      </c>
      <c r="E973" t="s">
        <v>35</v>
      </c>
      <c r="F973" t="s">
        <v>27</v>
      </c>
      <c r="G973" t="s">
        <v>28</v>
      </c>
      <c r="H973" s="3">
        <v>52</v>
      </c>
      <c r="I973" s="8">
        <v>43255</v>
      </c>
      <c r="J973" s="4">
        <v>154884</v>
      </c>
      <c r="K973" s="1">
        <v>0.1</v>
      </c>
      <c r="L973" t="s">
        <v>29</v>
      </c>
      <c r="M973" t="s">
        <v>74</v>
      </c>
      <c r="O973" s="5">
        <f t="shared" si="15"/>
        <v>15488.400000000001</v>
      </c>
      <c r="P973" s="6">
        <f>Table1[[#This Row],[Annual Salary]]+Table1[[#This Row],[Bonus Amount]]</f>
        <v>170372.4</v>
      </c>
      <c r="Q973" t="str">
        <f>IF(Table1[[#This Row],[Exit Date]]="", "Active","Exited")</f>
        <v>Active</v>
      </c>
      <c r="R973" s="2">
        <f ca="1">IFERROR(DATEDIF(Table1[[#This Row],[Hire Date]],IF(Table1[[#This Row],[Exit Date]]="",TODAY(),Table1[[#This Row],[Exit Date]]),"Y"),"")</f>
        <v>7</v>
      </c>
      <c r="S973" t="str" cm="1">
        <f t="array" ref="S973">_xlfn.IFS(Table1[[#This Row],[Age]]&lt;30,"Under 30",Table1[[#This Row],[Age]]&lt;=40,"30-40",Table1[[#This Row],[Age]]&lt;50,"41-50",TRUE,"50+")</f>
        <v>50+</v>
      </c>
    </row>
    <row r="974" spans="1:19" x14ac:dyDescent="0.35">
      <c r="A974" t="s">
        <v>1931</v>
      </c>
      <c r="B974" t="s">
        <v>1932</v>
      </c>
      <c r="C974" t="s">
        <v>248</v>
      </c>
      <c r="D974" t="s">
        <v>17</v>
      </c>
      <c r="E974" t="s">
        <v>18</v>
      </c>
      <c r="F974" t="s">
        <v>27</v>
      </c>
      <c r="G974" t="s">
        <v>36</v>
      </c>
      <c r="H974" s="3">
        <v>61</v>
      </c>
      <c r="I974" s="8">
        <v>42437</v>
      </c>
      <c r="J974" s="4">
        <v>96566</v>
      </c>
      <c r="K974" s="1">
        <v>0</v>
      </c>
      <c r="L974" t="s">
        <v>21</v>
      </c>
      <c r="M974" t="s">
        <v>88</v>
      </c>
      <c r="O974" s="5">
        <f t="shared" si="15"/>
        <v>0</v>
      </c>
      <c r="P974" s="6">
        <f>Table1[[#This Row],[Annual Salary]]+Table1[[#This Row],[Bonus Amount]]</f>
        <v>96566</v>
      </c>
      <c r="Q974" t="str">
        <f>IF(Table1[[#This Row],[Exit Date]]="", "Active","Exited")</f>
        <v>Active</v>
      </c>
      <c r="R974" s="2">
        <f ca="1">IFERROR(DATEDIF(Table1[[#This Row],[Hire Date]],IF(Table1[[#This Row],[Exit Date]]="",TODAY(),Table1[[#This Row],[Exit Date]]),"Y"),"")</f>
        <v>10</v>
      </c>
      <c r="S974" t="str" cm="1">
        <f t="array" ref="S974">_xlfn.IFS(Table1[[#This Row],[Age]]&lt;30,"Under 30",Table1[[#This Row],[Age]]&lt;=40,"30-40",Table1[[#This Row],[Age]]&lt;50,"41-50",TRUE,"50+")</f>
        <v>50+</v>
      </c>
    </row>
    <row r="975" spans="1:19" x14ac:dyDescent="0.35">
      <c r="A975" t="s">
        <v>1933</v>
      </c>
      <c r="B975" t="s">
        <v>1934</v>
      </c>
      <c r="C975" t="s">
        <v>330</v>
      </c>
      <c r="D975" t="s">
        <v>17</v>
      </c>
      <c r="E975" t="s">
        <v>18</v>
      </c>
      <c r="F975" t="s">
        <v>27</v>
      </c>
      <c r="G975" t="s">
        <v>85</v>
      </c>
      <c r="H975" s="3">
        <v>45</v>
      </c>
      <c r="I975" s="8">
        <v>37126</v>
      </c>
      <c r="J975" s="4">
        <v>54994</v>
      </c>
      <c r="K975" s="1">
        <v>0</v>
      </c>
      <c r="L975" t="s">
        <v>21</v>
      </c>
      <c r="M975" t="s">
        <v>88</v>
      </c>
      <c r="O975" s="5">
        <f t="shared" si="15"/>
        <v>0</v>
      </c>
      <c r="P975" s="6">
        <f>Table1[[#This Row],[Annual Salary]]+Table1[[#This Row],[Bonus Amount]]</f>
        <v>54994</v>
      </c>
      <c r="Q975" t="str">
        <f>IF(Table1[[#This Row],[Exit Date]]="", "Active","Exited")</f>
        <v>Active</v>
      </c>
      <c r="R975" s="2">
        <f ca="1">IFERROR(DATEDIF(Table1[[#This Row],[Hire Date]],IF(Table1[[#This Row],[Exit Date]]="",TODAY(),Table1[[#This Row],[Exit Date]]),"Y"),"")</f>
        <v>24</v>
      </c>
      <c r="S975" t="str" cm="1">
        <f t="array" ref="S975">_xlfn.IFS(Table1[[#This Row],[Age]]&lt;30,"Under 30",Table1[[#This Row],[Age]]&lt;=40,"30-40",Table1[[#This Row],[Age]]&lt;50,"41-50",TRUE,"50+")</f>
        <v>41-50</v>
      </c>
    </row>
    <row r="976" spans="1:19" x14ac:dyDescent="0.35">
      <c r="A976" t="s">
        <v>1935</v>
      </c>
      <c r="B976" t="s">
        <v>1936</v>
      </c>
      <c r="C976" t="s">
        <v>485</v>
      </c>
      <c r="D976" t="s">
        <v>17</v>
      </c>
      <c r="E976" t="s">
        <v>49</v>
      </c>
      <c r="F976" t="s">
        <v>19</v>
      </c>
      <c r="G976" t="s">
        <v>36</v>
      </c>
      <c r="H976" s="3">
        <v>40</v>
      </c>
      <c r="I976" s="8">
        <v>40944</v>
      </c>
      <c r="J976" s="4">
        <v>61523</v>
      </c>
      <c r="K976" s="1">
        <v>0</v>
      </c>
      <c r="L976" t="s">
        <v>21</v>
      </c>
      <c r="M976" t="s">
        <v>88</v>
      </c>
      <c r="O976" s="5">
        <f t="shared" si="15"/>
        <v>0</v>
      </c>
      <c r="P976" s="6">
        <f>Table1[[#This Row],[Annual Salary]]+Table1[[#This Row],[Bonus Amount]]</f>
        <v>61523</v>
      </c>
      <c r="Q976" t="str">
        <f>IF(Table1[[#This Row],[Exit Date]]="", "Active","Exited")</f>
        <v>Active</v>
      </c>
      <c r="R976" s="2">
        <f ca="1">IFERROR(DATEDIF(Table1[[#This Row],[Hire Date]],IF(Table1[[#This Row],[Exit Date]]="",TODAY(),Table1[[#This Row],[Exit Date]]),"Y"),"")</f>
        <v>14</v>
      </c>
      <c r="S976" t="str" cm="1">
        <f t="array" ref="S976">_xlfn.IFS(Table1[[#This Row],[Age]]&lt;30,"Under 30",Table1[[#This Row],[Age]]&lt;=40,"30-40",Table1[[#This Row],[Age]]&lt;50,"41-50",TRUE,"50+")</f>
        <v>30-40</v>
      </c>
    </row>
    <row r="977" spans="1:19" x14ac:dyDescent="0.35">
      <c r="A977" t="s">
        <v>1937</v>
      </c>
      <c r="B977" t="s">
        <v>1938</v>
      </c>
      <c r="C977" t="s">
        <v>79</v>
      </c>
      <c r="D977" t="s">
        <v>65</v>
      </c>
      <c r="E977" t="s">
        <v>49</v>
      </c>
      <c r="F977" t="s">
        <v>27</v>
      </c>
      <c r="G977" t="s">
        <v>20</v>
      </c>
      <c r="H977" s="3">
        <v>45</v>
      </c>
      <c r="I977" s="8">
        <v>40524</v>
      </c>
      <c r="J977" s="4">
        <v>190512</v>
      </c>
      <c r="K977" s="1">
        <v>0.32</v>
      </c>
      <c r="L977" t="s">
        <v>21</v>
      </c>
      <c r="M977" t="s">
        <v>88</v>
      </c>
      <c r="O977" s="5">
        <f t="shared" si="15"/>
        <v>60963.840000000004</v>
      </c>
      <c r="P977" s="6">
        <f>Table1[[#This Row],[Annual Salary]]+Table1[[#This Row],[Bonus Amount]]</f>
        <v>251475.84</v>
      </c>
      <c r="Q977" t="str">
        <f>IF(Table1[[#This Row],[Exit Date]]="", "Active","Exited")</f>
        <v>Active</v>
      </c>
      <c r="R977" s="2">
        <f ca="1">IFERROR(DATEDIF(Table1[[#This Row],[Hire Date]],IF(Table1[[#This Row],[Exit Date]]="",TODAY(),Table1[[#This Row],[Exit Date]]),"Y"),"")</f>
        <v>15</v>
      </c>
      <c r="S977" t="str" cm="1">
        <f t="array" ref="S977">_xlfn.IFS(Table1[[#This Row],[Age]]&lt;30,"Under 30",Table1[[#This Row],[Age]]&lt;=40,"30-40",Table1[[#This Row],[Age]]&lt;50,"41-50",TRUE,"50+")</f>
        <v>41-50</v>
      </c>
    </row>
    <row r="978" spans="1:19" x14ac:dyDescent="0.35">
      <c r="A978" t="s">
        <v>1939</v>
      </c>
      <c r="B978" t="s">
        <v>1940</v>
      </c>
      <c r="C978" t="s">
        <v>68</v>
      </c>
      <c r="D978" t="s">
        <v>69</v>
      </c>
      <c r="E978" t="s">
        <v>35</v>
      </c>
      <c r="F978" t="s">
        <v>19</v>
      </c>
      <c r="G978" t="s">
        <v>28</v>
      </c>
      <c r="H978" s="3">
        <v>37</v>
      </c>
      <c r="I978" s="8">
        <v>41318</v>
      </c>
      <c r="J978" s="4">
        <v>124827</v>
      </c>
      <c r="K978" s="1">
        <v>0</v>
      </c>
      <c r="L978" t="s">
        <v>29</v>
      </c>
      <c r="M978" t="s">
        <v>114</v>
      </c>
      <c r="O978" s="5">
        <f t="shared" si="15"/>
        <v>0</v>
      </c>
      <c r="P978" s="6">
        <f>Table1[[#This Row],[Annual Salary]]+Table1[[#This Row],[Bonus Amount]]</f>
        <v>124827</v>
      </c>
      <c r="Q978" t="str">
        <f>IF(Table1[[#This Row],[Exit Date]]="", "Active","Exited")</f>
        <v>Active</v>
      </c>
      <c r="R978" s="2">
        <f ca="1">IFERROR(DATEDIF(Table1[[#This Row],[Hire Date]],IF(Table1[[#This Row],[Exit Date]]="",TODAY(),Table1[[#This Row],[Exit Date]]),"Y"),"")</f>
        <v>13</v>
      </c>
      <c r="S978" t="str" cm="1">
        <f t="array" ref="S978">_xlfn.IFS(Table1[[#This Row],[Age]]&lt;30,"Under 30",Table1[[#This Row],[Age]]&lt;=40,"30-40",Table1[[#This Row],[Age]]&lt;50,"41-50",TRUE,"50+")</f>
        <v>30-40</v>
      </c>
    </row>
    <row r="979" spans="1:19" x14ac:dyDescent="0.35">
      <c r="A979" t="s">
        <v>808</v>
      </c>
      <c r="B979" t="s">
        <v>1941</v>
      </c>
      <c r="C979" t="s">
        <v>52</v>
      </c>
      <c r="D979" t="s">
        <v>59</v>
      </c>
      <c r="E979" t="s">
        <v>26</v>
      </c>
      <c r="F979" t="s">
        <v>27</v>
      </c>
      <c r="G979" t="s">
        <v>36</v>
      </c>
      <c r="H979" s="3">
        <v>57</v>
      </c>
      <c r="I979" s="8">
        <v>43484</v>
      </c>
      <c r="J979" s="4">
        <v>101577</v>
      </c>
      <c r="K979" s="1">
        <v>0.05</v>
      </c>
      <c r="L979" t="s">
        <v>21</v>
      </c>
      <c r="M979" t="s">
        <v>37</v>
      </c>
      <c r="O979" s="5">
        <f t="shared" si="15"/>
        <v>5078.8500000000004</v>
      </c>
      <c r="P979" s="6">
        <f>Table1[[#This Row],[Annual Salary]]+Table1[[#This Row],[Bonus Amount]]</f>
        <v>106655.85</v>
      </c>
      <c r="Q979" t="str">
        <f>IF(Table1[[#This Row],[Exit Date]]="", "Active","Exited")</f>
        <v>Active</v>
      </c>
      <c r="R979" s="2">
        <f ca="1">IFERROR(DATEDIF(Table1[[#This Row],[Hire Date]],IF(Table1[[#This Row],[Exit Date]]="",TODAY(),Table1[[#This Row],[Exit Date]]),"Y"),"")</f>
        <v>7</v>
      </c>
      <c r="S979" t="str" cm="1">
        <f t="array" ref="S979">_xlfn.IFS(Table1[[#This Row],[Age]]&lt;30,"Under 30",Table1[[#This Row],[Age]]&lt;=40,"30-40",Table1[[#This Row],[Age]]&lt;50,"41-50",TRUE,"50+")</f>
        <v>50+</v>
      </c>
    </row>
    <row r="980" spans="1:19" x14ac:dyDescent="0.35">
      <c r="A980" t="s">
        <v>1942</v>
      </c>
      <c r="B980" t="s">
        <v>1943</v>
      </c>
      <c r="C980" t="s">
        <v>52</v>
      </c>
      <c r="D980" t="s">
        <v>59</v>
      </c>
      <c r="E980" t="s">
        <v>26</v>
      </c>
      <c r="F980" t="s">
        <v>19</v>
      </c>
      <c r="G980" t="s">
        <v>85</v>
      </c>
      <c r="H980" s="3">
        <v>44</v>
      </c>
      <c r="I980" s="8">
        <v>38642</v>
      </c>
      <c r="J980" s="4">
        <v>105223</v>
      </c>
      <c r="K980" s="1">
        <v>0.1</v>
      </c>
      <c r="L980" t="s">
        <v>21</v>
      </c>
      <c r="M980" t="s">
        <v>44</v>
      </c>
      <c r="O980" s="5">
        <f t="shared" si="15"/>
        <v>10522.300000000001</v>
      </c>
      <c r="P980" s="6">
        <f>Table1[[#This Row],[Annual Salary]]+Table1[[#This Row],[Bonus Amount]]</f>
        <v>115745.3</v>
      </c>
      <c r="Q980" t="str">
        <f>IF(Table1[[#This Row],[Exit Date]]="", "Active","Exited")</f>
        <v>Active</v>
      </c>
      <c r="R980" s="2">
        <f ca="1">IFERROR(DATEDIF(Table1[[#This Row],[Hire Date]],IF(Table1[[#This Row],[Exit Date]]="",TODAY(),Table1[[#This Row],[Exit Date]]),"Y"),"")</f>
        <v>20</v>
      </c>
      <c r="S980" t="str" cm="1">
        <f t="array" ref="S980">_xlfn.IFS(Table1[[#This Row],[Age]]&lt;30,"Under 30",Table1[[#This Row],[Age]]&lt;=40,"30-40",Table1[[#This Row],[Age]]&lt;50,"41-50",TRUE,"50+")</f>
        <v>41-50</v>
      </c>
    </row>
    <row r="981" spans="1:19" x14ac:dyDescent="0.35">
      <c r="A981" t="s">
        <v>1614</v>
      </c>
      <c r="B981" t="s">
        <v>1944</v>
      </c>
      <c r="C981" t="s">
        <v>442</v>
      </c>
      <c r="D981" t="s">
        <v>17</v>
      </c>
      <c r="E981" t="s">
        <v>49</v>
      </c>
      <c r="F981" t="s">
        <v>27</v>
      </c>
      <c r="G981" t="s">
        <v>85</v>
      </c>
      <c r="H981" s="3">
        <v>48</v>
      </c>
      <c r="I981" s="8">
        <v>39635</v>
      </c>
      <c r="J981" s="4">
        <v>94815</v>
      </c>
      <c r="K981" s="1">
        <v>0</v>
      </c>
      <c r="L981" t="s">
        <v>21</v>
      </c>
      <c r="M981" t="s">
        <v>37</v>
      </c>
      <c r="O981" s="5">
        <f t="shared" si="15"/>
        <v>0</v>
      </c>
      <c r="P981" s="6">
        <f>Table1[[#This Row],[Annual Salary]]+Table1[[#This Row],[Bonus Amount]]</f>
        <v>94815</v>
      </c>
      <c r="Q981" t="str">
        <f>IF(Table1[[#This Row],[Exit Date]]="", "Active","Exited")</f>
        <v>Active</v>
      </c>
      <c r="R981" s="2">
        <f ca="1">IFERROR(DATEDIF(Table1[[#This Row],[Hire Date]],IF(Table1[[#This Row],[Exit Date]]="",TODAY(),Table1[[#This Row],[Exit Date]]),"Y"),"")</f>
        <v>17</v>
      </c>
      <c r="S981" t="str" cm="1">
        <f t="array" ref="S981">_xlfn.IFS(Table1[[#This Row],[Age]]&lt;30,"Under 30",Table1[[#This Row],[Age]]&lt;=40,"30-40",Table1[[#This Row],[Age]]&lt;50,"41-50",TRUE,"50+")</f>
        <v>41-50</v>
      </c>
    </row>
    <row r="982" spans="1:19" x14ac:dyDescent="0.35">
      <c r="A982" t="s">
        <v>1945</v>
      </c>
      <c r="B982" t="s">
        <v>1946</v>
      </c>
      <c r="C982" t="s">
        <v>52</v>
      </c>
      <c r="D982" t="s">
        <v>59</v>
      </c>
      <c r="E982" t="s">
        <v>35</v>
      </c>
      <c r="F982" t="s">
        <v>19</v>
      </c>
      <c r="G982" t="s">
        <v>28</v>
      </c>
      <c r="H982" s="3">
        <v>25</v>
      </c>
      <c r="I982" s="8">
        <v>44545</v>
      </c>
      <c r="J982" s="4">
        <v>114893</v>
      </c>
      <c r="K982" s="1">
        <v>0.06</v>
      </c>
      <c r="L982" t="s">
        <v>29</v>
      </c>
      <c r="M982" t="s">
        <v>134</v>
      </c>
      <c r="O982" s="5">
        <f t="shared" si="15"/>
        <v>6893.58</v>
      </c>
      <c r="P982" s="6">
        <f>Table1[[#This Row],[Annual Salary]]+Table1[[#This Row],[Bonus Amount]]</f>
        <v>121786.58</v>
      </c>
      <c r="Q982" t="str">
        <f>IF(Table1[[#This Row],[Exit Date]]="", "Active","Exited")</f>
        <v>Active</v>
      </c>
      <c r="R982" s="2">
        <f ca="1">IFERROR(DATEDIF(Table1[[#This Row],[Hire Date]],IF(Table1[[#This Row],[Exit Date]]="",TODAY(),Table1[[#This Row],[Exit Date]]),"Y"),"")</f>
        <v>4</v>
      </c>
      <c r="S982" t="str" cm="1">
        <f t="array" ref="S982">_xlfn.IFS(Table1[[#This Row],[Age]]&lt;30,"Under 30",Table1[[#This Row],[Age]]&lt;=40,"30-40",Table1[[#This Row],[Age]]&lt;50,"41-50",TRUE,"50+")</f>
        <v>Under 30</v>
      </c>
    </row>
    <row r="983" spans="1:19" x14ac:dyDescent="0.35">
      <c r="A983" t="s">
        <v>1947</v>
      </c>
      <c r="B983" t="s">
        <v>1948</v>
      </c>
      <c r="C983" t="s">
        <v>43</v>
      </c>
      <c r="D983" t="s">
        <v>80</v>
      </c>
      <c r="E983" t="s">
        <v>35</v>
      </c>
      <c r="F983" t="s">
        <v>19</v>
      </c>
      <c r="G983" t="s">
        <v>85</v>
      </c>
      <c r="H983" s="3">
        <v>35</v>
      </c>
      <c r="I983" s="8">
        <v>42745</v>
      </c>
      <c r="J983" s="4">
        <v>80622</v>
      </c>
      <c r="K983" s="1">
        <v>0</v>
      </c>
      <c r="L983" t="s">
        <v>21</v>
      </c>
      <c r="M983" t="s">
        <v>60</v>
      </c>
      <c r="O983" s="5">
        <f t="shared" si="15"/>
        <v>0</v>
      </c>
      <c r="P983" s="6">
        <f>Table1[[#This Row],[Annual Salary]]+Table1[[#This Row],[Bonus Amount]]</f>
        <v>80622</v>
      </c>
      <c r="Q983" t="str">
        <f>IF(Table1[[#This Row],[Exit Date]]="", "Active","Exited")</f>
        <v>Active</v>
      </c>
      <c r="R983" s="2">
        <f ca="1">IFERROR(DATEDIF(Table1[[#This Row],[Hire Date]],IF(Table1[[#This Row],[Exit Date]]="",TODAY(),Table1[[#This Row],[Exit Date]]),"Y"),"")</f>
        <v>9</v>
      </c>
      <c r="S983" t="str" cm="1">
        <f t="array" ref="S983">_xlfn.IFS(Table1[[#This Row],[Age]]&lt;30,"Under 30",Table1[[#This Row],[Age]]&lt;=40,"30-40",Table1[[#This Row],[Age]]&lt;50,"41-50",TRUE,"50+")</f>
        <v>30-40</v>
      </c>
    </row>
    <row r="984" spans="1:19" x14ac:dyDescent="0.35">
      <c r="A984" t="s">
        <v>127</v>
      </c>
      <c r="B984" t="s">
        <v>1949</v>
      </c>
      <c r="C984" t="s">
        <v>79</v>
      </c>
      <c r="D984" t="s">
        <v>17</v>
      </c>
      <c r="E984" t="s">
        <v>35</v>
      </c>
      <c r="F984" t="s">
        <v>19</v>
      </c>
      <c r="G984" t="s">
        <v>28</v>
      </c>
      <c r="H984" s="3">
        <v>57</v>
      </c>
      <c r="I984" s="8">
        <v>42685</v>
      </c>
      <c r="J984" s="4">
        <v>246589</v>
      </c>
      <c r="K984" s="1">
        <v>0.33</v>
      </c>
      <c r="L984" t="s">
        <v>21</v>
      </c>
      <c r="M984" t="s">
        <v>44</v>
      </c>
      <c r="N984" s="7">
        <v>42820</v>
      </c>
      <c r="O984" s="5">
        <f t="shared" si="15"/>
        <v>81374.37000000001</v>
      </c>
      <c r="P984" s="6">
        <f>Table1[[#This Row],[Annual Salary]]+Table1[[#This Row],[Bonus Amount]]</f>
        <v>327963.37</v>
      </c>
      <c r="Q984" t="str">
        <f>IF(Table1[[#This Row],[Exit Date]]="", "Active","Exited")</f>
        <v>Exited</v>
      </c>
      <c r="R984" s="2">
        <f ca="1">IFERROR(DATEDIF(Table1[[#This Row],[Hire Date]],IF(Table1[[#This Row],[Exit Date]]="",TODAY(),Table1[[#This Row],[Exit Date]]),"Y"),"")</f>
        <v>0</v>
      </c>
      <c r="S984" t="str" cm="1">
        <f t="array" ref="S984">_xlfn.IFS(Table1[[#This Row],[Age]]&lt;30,"Under 30",Table1[[#This Row],[Age]]&lt;=40,"30-40",Table1[[#This Row],[Age]]&lt;50,"41-50",TRUE,"50+")</f>
        <v>50+</v>
      </c>
    </row>
    <row r="985" spans="1:19" x14ac:dyDescent="0.35">
      <c r="A985" t="s">
        <v>1950</v>
      </c>
      <c r="B985" t="s">
        <v>1951</v>
      </c>
      <c r="C985" t="s">
        <v>52</v>
      </c>
      <c r="D985" t="s">
        <v>80</v>
      </c>
      <c r="E985" t="s">
        <v>35</v>
      </c>
      <c r="F985" t="s">
        <v>27</v>
      </c>
      <c r="G985" t="s">
        <v>28</v>
      </c>
      <c r="H985" s="3">
        <v>49</v>
      </c>
      <c r="I985" s="8">
        <v>43240</v>
      </c>
      <c r="J985" s="4">
        <v>119397</v>
      </c>
      <c r="K985" s="1">
        <v>0.09</v>
      </c>
      <c r="L985" t="s">
        <v>29</v>
      </c>
      <c r="M985" t="s">
        <v>114</v>
      </c>
      <c r="N985" s="7">
        <v>43538</v>
      </c>
      <c r="O985" s="5">
        <f t="shared" si="15"/>
        <v>10745.73</v>
      </c>
      <c r="P985" s="6">
        <f>Table1[[#This Row],[Annual Salary]]+Table1[[#This Row],[Bonus Amount]]</f>
        <v>130142.73</v>
      </c>
      <c r="Q985" t="str">
        <f>IF(Table1[[#This Row],[Exit Date]]="", "Active","Exited")</f>
        <v>Exited</v>
      </c>
      <c r="R985" s="2">
        <f ca="1">IFERROR(DATEDIF(Table1[[#This Row],[Hire Date]],IF(Table1[[#This Row],[Exit Date]]="",TODAY(),Table1[[#This Row],[Exit Date]]),"Y"),"")</f>
        <v>0</v>
      </c>
      <c r="S985" t="str" cm="1">
        <f t="array" ref="S985">_xlfn.IFS(Table1[[#This Row],[Age]]&lt;30,"Under 30",Table1[[#This Row],[Age]]&lt;=40,"30-40",Table1[[#This Row],[Age]]&lt;50,"41-50",TRUE,"50+")</f>
        <v>41-50</v>
      </c>
    </row>
    <row r="986" spans="1:19" x14ac:dyDescent="0.35">
      <c r="A986" t="s">
        <v>1952</v>
      </c>
      <c r="B986" t="s">
        <v>1953</v>
      </c>
      <c r="C986" t="s">
        <v>33</v>
      </c>
      <c r="D986" t="s">
        <v>48</v>
      </c>
      <c r="E986" t="s">
        <v>49</v>
      </c>
      <c r="F986" t="s">
        <v>19</v>
      </c>
      <c r="G986" t="s">
        <v>28</v>
      </c>
      <c r="H986" s="3">
        <v>25</v>
      </c>
      <c r="I986" s="8">
        <v>44549</v>
      </c>
      <c r="J986" s="4">
        <v>150666</v>
      </c>
      <c r="K986" s="1">
        <v>0.23</v>
      </c>
      <c r="L986" t="s">
        <v>29</v>
      </c>
      <c r="M986" t="s">
        <v>134</v>
      </c>
      <c r="O986" s="5">
        <f t="shared" si="15"/>
        <v>34653.18</v>
      </c>
      <c r="P986" s="6">
        <f>Table1[[#This Row],[Annual Salary]]+Table1[[#This Row],[Bonus Amount]]</f>
        <v>185319.18</v>
      </c>
      <c r="Q986" t="str">
        <f>IF(Table1[[#This Row],[Exit Date]]="", "Active","Exited")</f>
        <v>Active</v>
      </c>
      <c r="R986" s="2">
        <f ca="1">IFERROR(DATEDIF(Table1[[#This Row],[Hire Date]],IF(Table1[[#This Row],[Exit Date]]="",TODAY(),Table1[[#This Row],[Exit Date]]),"Y"),"")</f>
        <v>4</v>
      </c>
      <c r="S986" t="str" cm="1">
        <f t="array" ref="S986">_xlfn.IFS(Table1[[#This Row],[Age]]&lt;30,"Under 30",Table1[[#This Row],[Age]]&lt;=40,"30-40",Table1[[#This Row],[Age]]&lt;50,"41-50",TRUE,"50+")</f>
        <v>Under 30</v>
      </c>
    </row>
    <row r="987" spans="1:19" x14ac:dyDescent="0.35">
      <c r="A987" t="s">
        <v>1954</v>
      </c>
      <c r="B987" t="s">
        <v>1955</v>
      </c>
      <c r="C987" t="s">
        <v>16</v>
      </c>
      <c r="D987" t="s">
        <v>17</v>
      </c>
      <c r="E987" t="s">
        <v>18</v>
      </c>
      <c r="F987" t="s">
        <v>19</v>
      </c>
      <c r="G987" t="s">
        <v>36</v>
      </c>
      <c r="H987" s="3">
        <v>46</v>
      </c>
      <c r="I987" s="8">
        <v>37265</v>
      </c>
      <c r="J987" s="4">
        <v>148035</v>
      </c>
      <c r="K987" s="1">
        <v>0.14000000000000001</v>
      </c>
      <c r="L987" t="s">
        <v>21</v>
      </c>
      <c r="M987" t="s">
        <v>44</v>
      </c>
      <c r="O987" s="5">
        <f t="shared" si="15"/>
        <v>20724.900000000001</v>
      </c>
      <c r="P987" s="6">
        <f>Table1[[#This Row],[Annual Salary]]+Table1[[#This Row],[Bonus Amount]]</f>
        <v>168759.9</v>
      </c>
      <c r="Q987" t="str">
        <f>IF(Table1[[#This Row],[Exit Date]]="", "Active","Exited")</f>
        <v>Active</v>
      </c>
      <c r="R987" s="2">
        <f ca="1">IFERROR(DATEDIF(Table1[[#This Row],[Hire Date]],IF(Table1[[#This Row],[Exit Date]]="",TODAY(),Table1[[#This Row],[Exit Date]]),"Y"),"")</f>
        <v>24</v>
      </c>
      <c r="S987" t="str" cm="1">
        <f t="array" ref="S987">_xlfn.IFS(Table1[[#This Row],[Age]]&lt;30,"Under 30",Table1[[#This Row],[Age]]&lt;=40,"30-40",Table1[[#This Row],[Age]]&lt;50,"41-50",TRUE,"50+")</f>
        <v>41-50</v>
      </c>
    </row>
    <row r="988" spans="1:19" x14ac:dyDescent="0.35">
      <c r="A988" t="s">
        <v>205</v>
      </c>
      <c r="B988" t="s">
        <v>1956</v>
      </c>
      <c r="C988" t="s">
        <v>33</v>
      </c>
      <c r="D988" t="s">
        <v>34</v>
      </c>
      <c r="E988" t="s">
        <v>49</v>
      </c>
      <c r="F988" t="s">
        <v>27</v>
      </c>
      <c r="G988" t="s">
        <v>28</v>
      </c>
      <c r="H988" s="3">
        <v>60</v>
      </c>
      <c r="I988" s="8">
        <v>42891</v>
      </c>
      <c r="J988" s="4">
        <v>158898</v>
      </c>
      <c r="K988" s="1">
        <v>0.18</v>
      </c>
      <c r="L988" t="s">
        <v>21</v>
      </c>
      <c r="M988" t="s">
        <v>56</v>
      </c>
      <c r="O988" s="5">
        <f t="shared" si="15"/>
        <v>28601.64</v>
      </c>
      <c r="P988" s="6">
        <f>Table1[[#This Row],[Annual Salary]]+Table1[[#This Row],[Bonus Amount]]</f>
        <v>187499.64</v>
      </c>
      <c r="Q988" t="str">
        <f>IF(Table1[[#This Row],[Exit Date]]="", "Active","Exited")</f>
        <v>Active</v>
      </c>
      <c r="R988" s="2">
        <f ca="1">IFERROR(DATEDIF(Table1[[#This Row],[Hire Date]],IF(Table1[[#This Row],[Exit Date]]="",TODAY(),Table1[[#This Row],[Exit Date]]),"Y"),"")</f>
        <v>8</v>
      </c>
      <c r="S988" t="str" cm="1">
        <f t="array" ref="S988">_xlfn.IFS(Table1[[#This Row],[Age]]&lt;30,"Under 30",Table1[[#This Row],[Age]]&lt;=40,"30-40",Table1[[#This Row],[Age]]&lt;50,"41-50",TRUE,"50+")</f>
        <v>50+</v>
      </c>
    </row>
    <row r="989" spans="1:19" x14ac:dyDescent="0.35">
      <c r="A989" t="s">
        <v>1957</v>
      </c>
      <c r="B989" t="s">
        <v>1958</v>
      </c>
      <c r="C989" t="s">
        <v>175</v>
      </c>
      <c r="D989" t="s">
        <v>69</v>
      </c>
      <c r="E989" t="s">
        <v>49</v>
      </c>
      <c r="F989" t="s">
        <v>19</v>
      </c>
      <c r="G989" t="s">
        <v>28</v>
      </c>
      <c r="H989" s="3">
        <v>45</v>
      </c>
      <c r="I989" s="8">
        <v>40967</v>
      </c>
      <c r="J989" s="4">
        <v>89659</v>
      </c>
      <c r="K989" s="1">
        <v>0</v>
      </c>
      <c r="L989" t="s">
        <v>29</v>
      </c>
      <c r="M989" t="s">
        <v>114</v>
      </c>
      <c r="O989" s="5">
        <f t="shared" si="15"/>
        <v>0</v>
      </c>
      <c r="P989" s="6">
        <f>Table1[[#This Row],[Annual Salary]]+Table1[[#This Row],[Bonus Amount]]</f>
        <v>89659</v>
      </c>
      <c r="Q989" t="str">
        <f>IF(Table1[[#This Row],[Exit Date]]="", "Active","Exited")</f>
        <v>Active</v>
      </c>
      <c r="R989" s="2">
        <f ca="1">IFERROR(DATEDIF(Table1[[#This Row],[Hire Date]],IF(Table1[[#This Row],[Exit Date]]="",TODAY(),Table1[[#This Row],[Exit Date]]),"Y"),"")</f>
        <v>14</v>
      </c>
      <c r="S989" t="str" cm="1">
        <f t="array" ref="S989">_xlfn.IFS(Table1[[#This Row],[Age]]&lt;30,"Under 30",Table1[[#This Row],[Age]]&lt;=40,"30-40",Table1[[#This Row],[Age]]&lt;50,"41-50",TRUE,"50+")</f>
        <v>41-50</v>
      </c>
    </row>
    <row r="990" spans="1:19" x14ac:dyDescent="0.35">
      <c r="A990" t="s">
        <v>1959</v>
      </c>
      <c r="B990" t="s">
        <v>1960</v>
      </c>
      <c r="C990" t="s">
        <v>33</v>
      </c>
      <c r="D990" t="s">
        <v>48</v>
      </c>
      <c r="E990" t="s">
        <v>35</v>
      </c>
      <c r="F990" t="s">
        <v>19</v>
      </c>
      <c r="G990" t="s">
        <v>36</v>
      </c>
      <c r="H990" s="3">
        <v>39</v>
      </c>
      <c r="I990" s="8">
        <v>39201</v>
      </c>
      <c r="J990" s="4">
        <v>171487</v>
      </c>
      <c r="K990" s="1">
        <v>0.23</v>
      </c>
      <c r="L990" t="s">
        <v>21</v>
      </c>
      <c r="M990" t="s">
        <v>44</v>
      </c>
      <c r="O990" s="5">
        <f t="shared" si="15"/>
        <v>39442.01</v>
      </c>
      <c r="P990" s="6">
        <f>Table1[[#This Row],[Annual Salary]]+Table1[[#This Row],[Bonus Amount]]</f>
        <v>210929.01</v>
      </c>
      <c r="Q990" t="str">
        <f>IF(Table1[[#This Row],[Exit Date]]="", "Active","Exited")</f>
        <v>Active</v>
      </c>
      <c r="R990" s="2">
        <f ca="1">IFERROR(DATEDIF(Table1[[#This Row],[Hire Date]],IF(Table1[[#This Row],[Exit Date]]="",TODAY(),Table1[[#This Row],[Exit Date]]),"Y"),"")</f>
        <v>18</v>
      </c>
      <c r="S990" t="str" cm="1">
        <f t="array" ref="S990">_xlfn.IFS(Table1[[#This Row],[Age]]&lt;30,"Under 30",Table1[[#This Row],[Age]]&lt;=40,"30-40",Table1[[#This Row],[Age]]&lt;50,"41-50",TRUE,"50+")</f>
        <v>30-40</v>
      </c>
    </row>
    <row r="991" spans="1:19" x14ac:dyDescent="0.35">
      <c r="A991" t="s">
        <v>1961</v>
      </c>
      <c r="B991" t="s">
        <v>1962</v>
      </c>
      <c r="C991" t="s">
        <v>79</v>
      </c>
      <c r="D991" t="s">
        <v>48</v>
      </c>
      <c r="E991" t="s">
        <v>26</v>
      </c>
      <c r="F991" t="s">
        <v>19</v>
      </c>
      <c r="G991" t="s">
        <v>85</v>
      </c>
      <c r="H991" s="3">
        <v>43</v>
      </c>
      <c r="I991" s="8">
        <v>42603</v>
      </c>
      <c r="J991" s="4">
        <v>258498</v>
      </c>
      <c r="K991" s="1">
        <v>0.35</v>
      </c>
      <c r="L991" t="s">
        <v>21</v>
      </c>
      <c r="M991" t="s">
        <v>88</v>
      </c>
      <c r="O991" s="5">
        <f t="shared" si="15"/>
        <v>90474.299999999988</v>
      </c>
      <c r="P991" s="6">
        <f>Table1[[#This Row],[Annual Salary]]+Table1[[#This Row],[Bonus Amount]]</f>
        <v>348972.3</v>
      </c>
      <c r="Q991" t="str">
        <f>IF(Table1[[#This Row],[Exit Date]]="", "Active","Exited")</f>
        <v>Active</v>
      </c>
      <c r="R991" s="2">
        <f ca="1">IFERROR(DATEDIF(Table1[[#This Row],[Hire Date]],IF(Table1[[#This Row],[Exit Date]]="",TODAY(),Table1[[#This Row],[Exit Date]]),"Y"),"")</f>
        <v>9</v>
      </c>
      <c r="S991" t="str" cm="1">
        <f t="array" ref="S991">_xlfn.IFS(Table1[[#This Row],[Age]]&lt;30,"Under 30",Table1[[#This Row],[Age]]&lt;=40,"30-40",Table1[[#This Row],[Age]]&lt;50,"41-50",TRUE,"50+")</f>
        <v>41-50</v>
      </c>
    </row>
    <row r="992" spans="1:19" x14ac:dyDescent="0.35">
      <c r="A992" t="s">
        <v>1963</v>
      </c>
      <c r="B992" t="s">
        <v>1964</v>
      </c>
      <c r="C992" t="s">
        <v>16</v>
      </c>
      <c r="D992" t="s">
        <v>17</v>
      </c>
      <c r="E992" t="s">
        <v>18</v>
      </c>
      <c r="F992" t="s">
        <v>27</v>
      </c>
      <c r="G992" t="s">
        <v>28</v>
      </c>
      <c r="H992" s="3">
        <v>37</v>
      </c>
      <c r="I992" s="8">
        <v>40511</v>
      </c>
      <c r="J992" s="4">
        <v>146961</v>
      </c>
      <c r="K992" s="1">
        <v>0.11</v>
      </c>
      <c r="L992" t="s">
        <v>21</v>
      </c>
      <c r="M992" t="s">
        <v>88</v>
      </c>
      <c r="O992" s="5">
        <f t="shared" si="15"/>
        <v>16165.710000000001</v>
      </c>
      <c r="P992" s="6">
        <f>Table1[[#This Row],[Annual Salary]]+Table1[[#This Row],[Bonus Amount]]</f>
        <v>163126.71</v>
      </c>
      <c r="Q992" t="str">
        <f>IF(Table1[[#This Row],[Exit Date]]="", "Active","Exited")</f>
        <v>Active</v>
      </c>
      <c r="R992" s="2">
        <f ca="1">IFERROR(DATEDIF(Table1[[#This Row],[Hire Date]],IF(Table1[[#This Row],[Exit Date]]="",TODAY(),Table1[[#This Row],[Exit Date]]),"Y"),"")</f>
        <v>15</v>
      </c>
      <c r="S992" t="str" cm="1">
        <f t="array" ref="S992">_xlfn.IFS(Table1[[#This Row],[Age]]&lt;30,"Under 30",Table1[[#This Row],[Age]]&lt;=40,"30-40",Table1[[#This Row],[Age]]&lt;50,"41-50",TRUE,"50+")</f>
        <v>30-40</v>
      </c>
    </row>
    <row r="993" spans="1:19" x14ac:dyDescent="0.35">
      <c r="A993" t="s">
        <v>1965</v>
      </c>
      <c r="B993" t="s">
        <v>1966</v>
      </c>
      <c r="C993" t="s">
        <v>143</v>
      </c>
      <c r="D993" t="s">
        <v>65</v>
      </c>
      <c r="E993" t="s">
        <v>18</v>
      </c>
      <c r="F993" t="s">
        <v>27</v>
      </c>
      <c r="G993" t="s">
        <v>85</v>
      </c>
      <c r="H993" s="3">
        <v>48</v>
      </c>
      <c r="I993" s="8">
        <v>35907</v>
      </c>
      <c r="J993" s="4">
        <v>85369</v>
      </c>
      <c r="K993" s="1">
        <v>0</v>
      </c>
      <c r="L993" t="s">
        <v>93</v>
      </c>
      <c r="M993" t="s">
        <v>94</v>
      </c>
      <c r="N993" s="7">
        <v>38318</v>
      </c>
      <c r="O993" s="5">
        <f t="shared" si="15"/>
        <v>0</v>
      </c>
      <c r="P993" s="6">
        <f>Table1[[#This Row],[Annual Salary]]+Table1[[#This Row],[Bonus Amount]]</f>
        <v>85369</v>
      </c>
      <c r="Q993" t="str">
        <f>IF(Table1[[#This Row],[Exit Date]]="", "Active","Exited")</f>
        <v>Exited</v>
      </c>
      <c r="R993" s="2">
        <f ca="1">IFERROR(DATEDIF(Table1[[#This Row],[Hire Date]],IF(Table1[[#This Row],[Exit Date]]="",TODAY(),Table1[[#This Row],[Exit Date]]),"Y"),"")</f>
        <v>6</v>
      </c>
      <c r="S993" t="str" cm="1">
        <f t="array" ref="S993">_xlfn.IFS(Table1[[#This Row],[Age]]&lt;30,"Under 30",Table1[[#This Row],[Age]]&lt;=40,"30-40",Table1[[#This Row],[Age]]&lt;50,"41-50",TRUE,"50+")</f>
        <v>41-50</v>
      </c>
    </row>
    <row r="994" spans="1:19" x14ac:dyDescent="0.35">
      <c r="A994" t="s">
        <v>950</v>
      </c>
      <c r="B994" t="s">
        <v>1967</v>
      </c>
      <c r="C994" t="s">
        <v>25</v>
      </c>
      <c r="D994" t="s">
        <v>17</v>
      </c>
      <c r="E994" t="s">
        <v>26</v>
      </c>
      <c r="F994" t="s">
        <v>27</v>
      </c>
      <c r="G994" t="s">
        <v>36</v>
      </c>
      <c r="H994" s="3">
        <v>30</v>
      </c>
      <c r="I994" s="8">
        <v>42169</v>
      </c>
      <c r="J994" s="4">
        <v>67489</v>
      </c>
      <c r="K994" s="1">
        <v>0</v>
      </c>
      <c r="L994" t="s">
        <v>21</v>
      </c>
      <c r="M994" t="s">
        <v>37</v>
      </c>
      <c r="O994" s="5">
        <f t="shared" si="15"/>
        <v>0</v>
      </c>
      <c r="P994" s="6">
        <f>Table1[[#This Row],[Annual Salary]]+Table1[[#This Row],[Bonus Amount]]</f>
        <v>67489</v>
      </c>
      <c r="Q994" t="str">
        <f>IF(Table1[[#This Row],[Exit Date]]="", "Active","Exited")</f>
        <v>Active</v>
      </c>
      <c r="R994" s="2">
        <f ca="1">IFERROR(DATEDIF(Table1[[#This Row],[Hire Date]],IF(Table1[[#This Row],[Exit Date]]="",TODAY(),Table1[[#This Row],[Exit Date]]),"Y"),"")</f>
        <v>10</v>
      </c>
      <c r="S994" t="str" cm="1">
        <f t="array" ref="S994">_xlfn.IFS(Table1[[#This Row],[Age]]&lt;30,"Under 30",Table1[[#This Row],[Age]]&lt;=40,"30-40",Table1[[#This Row],[Age]]&lt;50,"41-50",TRUE,"50+")</f>
        <v>30-40</v>
      </c>
    </row>
    <row r="995" spans="1:19" x14ac:dyDescent="0.35">
      <c r="A995" t="s">
        <v>1968</v>
      </c>
      <c r="B995" t="s">
        <v>1969</v>
      </c>
      <c r="C995" t="s">
        <v>33</v>
      </c>
      <c r="D995" t="s">
        <v>17</v>
      </c>
      <c r="E995" t="s">
        <v>26</v>
      </c>
      <c r="F995" t="s">
        <v>19</v>
      </c>
      <c r="G995" t="s">
        <v>36</v>
      </c>
      <c r="H995" s="3">
        <v>46</v>
      </c>
      <c r="I995" s="8">
        <v>43379</v>
      </c>
      <c r="J995" s="4">
        <v>166259</v>
      </c>
      <c r="K995" s="1">
        <v>0.17</v>
      </c>
      <c r="L995" t="s">
        <v>21</v>
      </c>
      <c r="M995" t="s">
        <v>37</v>
      </c>
      <c r="O995" s="5">
        <f t="shared" si="15"/>
        <v>28264.030000000002</v>
      </c>
      <c r="P995" s="6">
        <f>Table1[[#This Row],[Annual Salary]]+Table1[[#This Row],[Bonus Amount]]</f>
        <v>194523.03</v>
      </c>
      <c r="Q995" t="str">
        <f>IF(Table1[[#This Row],[Exit Date]]="", "Active","Exited")</f>
        <v>Active</v>
      </c>
      <c r="R995" s="2">
        <f ca="1">IFERROR(DATEDIF(Table1[[#This Row],[Hire Date]],IF(Table1[[#This Row],[Exit Date]]="",TODAY(),Table1[[#This Row],[Exit Date]]),"Y"),"")</f>
        <v>7</v>
      </c>
      <c r="S995" t="str" cm="1">
        <f t="array" ref="S995">_xlfn.IFS(Table1[[#This Row],[Age]]&lt;30,"Under 30",Table1[[#This Row],[Age]]&lt;=40,"30-40",Table1[[#This Row],[Age]]&lt;50,"41-50",TRUE,"50+")</f>
        <v>41-50</v>
      </c>
    </row>
    <row r="996" spans="1:19" x14ac:dyDescent="0.35">
      <c r="A996" t="s">
        <v>1970</v>
      </c>
      <c r="B996" t="s">
        <v>1971</v>
      </c>
      <c r="C996" t="s">
        <v>330</v>
      </c>
      <c r="D996" t="s">
        <v>17</v>
      </c>
      <c r="E996" t="s">
        <v>49</v>
      </c>
      <c r="F996" t="s">
        <v>19</v>
      </c>
      <c r="G996" t="s">
        <v>28</v>
      </c>
      <c r="H996" s="3">
        <v>55</v>
      </c>
      <c r="I996" s="8">
        <v>39820</v>
      </c>
      <c r="J996" s="4">
        <v>47032</v>
      </c>
      <c r="K996" s="1">
        <v>0</v>
      </c>
      <c r="L996" t="s">
        <v>21</v>
      </c>
      <c r="M996" t="s">
        <v>88</v>
      </c>
      <c r="O996" s="5">
        <f t="shared" si="15"/>
        <v>0</v>
      </c>
      <c r="P996" s="6">
        <f>Table1[[#This Row],[Annual Salary]]+Table1[[#This Row],[Bonus Amount]]</f>
        <v>47032</v>
      </c>
      <c r="Q996" t="str">
        <f>IF(Table1[[#This Row],[Exit Date]]="", "Active","Exited")</f>
        <v>Active</v>
      </c>
      <c r="R996" s="2">
        <f ca="1">IFERROR(DATEDIF(Table1[[#This Row],[Hire Date]],IF(Table1[[#This Row],[Exit Date]]="",TODAY(),Table1[[#This Row],[Exit Date]]),"Y"),"")</f>
        <v>17</v>
      </c>
      <c r="S996" t="str" cm="1">
        <f t="array" ref="S996">_xlfn.IFS(Table1[[#This Row],[Age]]&lt;30,"Under 30",Table1[[#This Row],[Age]]&lt;=40,"30-40",Table1[[#This Row],[Age]]&lt;50,"41-50",TRUE,"50+")</f>
        <v>50+</v>
      </c>
    </row>
    <row r="997" spans="1:19" x14ac:dyDescent="0.35">
      <c r="A997" t="s">
        <v>1972</v>
      </c>
      <c r="B997" t="s">
        <v>1973</v>
      </c>
      <c r="C997" t="s">
        <v>43</v>
      </c>
      <c r="D997" t="s">
        <v>80</v>
      </c>
      <c r="E997" t="s">
        <v>35</v>
      </c>
      <c r="F997" t="s">
        <v>27</v>
      </c>
      <c r="G997" t="s">
        <v>36</v>
      </c>
      <c r="H997" s="3">
        <v>33</v>
      </c>
      <c r="I997" s="8">
        <v>42631</v>
      </c>
      <c r="J997" s="4">
        <v>98427</v>
      </c>
      <c r="K997" s="1">
        <v>0</v>
      </c>
      <c r="L997" t="s">
        <v>21</v>
      </c>
      <c r="M997" t="s">
        <v>88</v>
      </c>
      <c r="O997" s="5">
        <f t="shared" si="15"/>
        <v>0</v>
      </c>
      <c r="P997" s="6">
        <f>Table1[[#This Row],[Annual Salary]]+Table1[[#This Row],[Bonus Amount]]</f>
        <v>98427</v>
      </c>
      <c r="Q997" t="str">
        <f>IF(Table1[[#This Row],[Exit Date]]="", "Active","Exited")</f>
        <v>Active</v>
      </c>
      <c r="R997" s="2">
        <f ca="1">IFERROR(DATEDIF(Table1[[#This Row],[Hire Date]],IF(Table1[[#This Row],[Exit Date]]="",TODAY(),Table1[[#This Row],[Exit Date]]),"Y"),"")</f>
        <v>9</v>
      </c>
      <c r="S997" t="str" cm="1">
        <f t="array" ref="S997">_xlfn.IFS(Table1[[#This Row],[Age]]&lt;30,"Under 30",Table1[[#This Row],[Age]]&lt;=40,"30-40",Table1[[#This Row],[Age]]&lt;50,"41-50",TRUE,"50+")</f>
        <v>30-40</v>
      </c>
    </row>
    <row r="998" spans="1:19" x14ac:dyDescent="0.35">
      <c r="A998" t="s">
        <v>1974</v>
      </c>
      <c r="B998" t="s">
        <v>1975</v>
      </c>
      <c r="C998" t="s">
        <v>55</v>
      </c>
      <c r="D998" t="s">
        <v>34</v>
      </c>
      <c r="E998" t="s">
        <v>35</v>
      </c>
      <c r="F998" t="s">
        <v>19</v>
      </c>
      <c r="G998" t="s">
        <v>28</v>
      </c>
      <c r="H998" s="3">
        <v>44</v>
      </c>
      <c r="I998" s="8">
        <v>40329</v>
      </c>
      <c r="J998" s="4">
        <v>47387</v>
      </c>
      <c r="K998" s="1">
        <v>0</v>
      </c>
      <c r="L998" t="s">
        <v>29</v>
      </c>
      <c r="M998" t="s">
        <v>134</v>
      </c>
      <c r="N998" s="7">
        <v>43108</v>
      </c>
      <c r="O998" s="5">
        <f t="shared" si="15"/>
        <v>0</v>
      </c>
      <c r="P998" s="6">
        <f>Table1[[#This Row],[Annual Salary]]+Table1[[#This Row],[Bonus Amount]]</f>
        <v>47387</v>
      </c>
      <c r="Q998" t="str">
        <f>IF(Table1[[#This Row],[Exit Date]]="", "Active","Exited")</f>
        <v>Exited</v>
      </c>
      <c r="R998" s="2">
        <f ca="1">IFERROR(DATEDIF(Table1[[#This Row],[Hire Date]],IF(Table1[[#This Row],[Exit Date]]="",TODAY(),Table1[[#This Row],[Exit Date]]),"Y"),"")</f>
        <v>7</v>
      </c>
      <c r="S998" t="str" cm="1">
        <f t="array" ref="S998">_xlfn.IFS(Table1[[#This Row],[Age]]&lt;30,"Under 30",Table1[[#This Row],[Age]]&lt;=40,"30-40",Table1[[#This Row],[Age]]&lt;50,"41-50",TRUE,"50+")</f>
        <v>41-50</v>
      </c>
    </row>
    <row r="999" spans="1:19" x14ac:dyDescent="0.35">
      <c r="A999" t="s">
        <v>1976</v>
      </c>
      <c r="B999" t="s">
        <v>1977</v>
      </c>
      <c r="C999" t="s">
        <v>33</v>
      </c>
      <c r="D999" t="s">
        <v>80</v>
      </c>
      <c r="E999" t="s">
        <v>35</v>
      </c>
      <c r="F999" t="s">
        <v>27</v>
      </c>
      <c r="G999" t="s">
        <v>28</v>
      </c>
      <c r="H999" s="3">
        <v>31</v>
      </c>
      <c r="I999" s="8">
        <v>43626</v>
      </c>
      <c r="J999" s="4">
        <v>176710</v>
      </c>
      <c r="K999" s="1">
        <v>0.15</v>
      </c>
      <c r="L999" t="s">
        <v>21</v>
      </c>
      <c r="M999" t="s">
        <v>56</v>
      </c>
      <c r="O999" s="5">
        <f t="shared" si="15"/>
        <v>26506.5</v>
      </c>
      <c r="P999" s="6">
        <f>Table1[[#This Row],[Annual Salary]]+Table1[[#This Row],[Bonus Amount]]</f>
        <v>203216.5</v>
      </c>
      <c r="Q999" t="str">
        <f>IF(Table1[[#This Row],[Exit Date]]="", "Active","Exited")</f>
        <v>Active</v>
      </c>
      <c r="R999" s="2">
        <f ca="1">IFERROR(DATEDIF(Table1[[#This Row],[Hire Date]],IF(Table1[[#This Row],[Exit Date]]="",TODAY(),Table1[[#This Row],[Exit Date]]),"Y"),"")</f>
        <v>6</v>
      </c>
      <c r="S999" t="str" cm="1">
        <f t="array" ref="S999">_xlfn.IFS(Table1[[#This Row],[Age]]&lt;30,"Under 30",Table1[[#This Row],[Age]]&lt;=40,"30-40",Table1[[#This Row],[Age]]&lt;50,"41-50",TRUE,"50+")</f>
        <v>30-40</v>
      </c>
    </row>
    <row r="1000" spans="1:19" x14ac:dyDescent="0.35">
      <c r="A1000" t="s">
        <v>1978</v>
      </c>
      <c r="B1000" t="s">
        <v>1979</v>
      </c>
      <c r="C1000" t="s">
        <v>43</v>
      </c>
      <c r="D1000" t="s">
        <v>34</v>
      </c>
      <c r="E1000" t="s">
        <v>35</v>
      </c>
      <c r="F1000" t="s">
        <v>19</v>
      </c>
      <c r="G1000" t="s">
        <v>28</v>
      </c>
      <c r="H1000" s="3">
        <v>33</v>
      </c>
      <c r="I1000" s="8">
        <v>40936</v>
      </c>
      <c r="J1000" s="4">
        <v>95960</v>
      </c>
      <c r="K1000" s="1">
        <v>0</v>
      </c>
      <c r="L1000" t="s">
        <v>29</v>
      </c>
      <c r="M1000" t="s">
        <v>134</v>
      </c>
      <c r="O1000" s="5">
        <f t="shared" si="15"/>
        <v>0</v>
      </c>
      <c r="P1000" s="6">
        <f>Table1[[#This Row],[Annual Salary]]+Table1[[#This Row],[Bonus Amount]]</f>
        <v>95960</v>
      </c>
      <c r="Q1000" t="str">
        <f>IF(Table1[[#This Row],[Exit Date]]="", "Active","Exited")</f>
        <v>Active</v>
      </c>
      <c r="R1000" s="2">
        <f ca="1">IFERROR(DATEDIF(Table1[[#This Row],[Hire Date]],IF(Table1[[#This Row],[Exit Date]]="",TODAY(),Table1[[#This Row],[Exit Date]]),"Y"),"")</f>
        <v>14</v>
      </c>
      <c r="S1000" t="str" cm="1">
        <f t="array" ref="S1000">_xlfn.IFS(Table1[[#This Row],[Age]]&lt;30,"Under 30",Table1[[#This Row],[Age]]&lt;=40,"30-40",Table1[[#This Row],[Age]]&lt;50,"41-50",TRUE,"50+")</f>
        <v>30-40</v>
      </c>
    </row>
    <row r="1001" spans="1:19" x14ac:dyDescent="0.35">
      <c r="A1001" t="s">
        <v>1980</v>
      </c>
      <c r="B1001" t="s">
        <v>1981</v>
      </c>
      <c r="C1001" t="s">
        <v>79</v>
      </c>
      <c r="D1001" t="s">
        <v>59</v>
      </c>
      <c r="E1001" t="s">
        <v>49</v>
      </c>
      <c r="F1001" t="s">
        <v>19</v>
      </c>
      <c r="G1001" t="s">
        <v>28</v>
      </c>
      <c r="H1001" s="3">
        <v>63</v>
      </c>
      <c r="I1001" s="8">
        <v>44038</v>
      </c>
      <c r="J1001" s="4">
        <v>216195</v>
      </c>
      <c r="K1001" s="1">
        <v>0.31</v>
      </c>
      <c r="L1001" t="s">
        <v>21</v>
      </c>
      <c r="M1001" t="s">
        <v>56</v>
      </c>
      <c r="O1001" s="5">
        <f t="shared" si="15"/>
        <v>67020.45</v>
      </c>
      <c r="P1001" s="6">
        <f>Table1[[#This Row],[Annual Salary]]+Table1[[#This Row],[Bonus Amount]]</f>
        <v>283215.45</v>
      </c>
      <c r="Q1001" t="str">
        <f>IF(Table1[[#This Row],[Exit Date]]="", "Active","Exited")</f>
        <v>Active</v>
      </c>
      <c r="R1001" s="2">
        <f ca="1">IFERROR(DATEDIF(Table1[[#This Row],[Hire Date]],IF(Table1[[#This Row],[Exit Date]]="",TODAY(),Table1[[#This Row],[Exit Date]]),"Y"),"")</f>
        <v>5</v>
      </c>
      <c r="S1001" t="str" cm="1">
        <f t="array" ref="S1001">_xlfn.IFS(Table1[[#This Row],[Age]]&lt;30,"Under 30",Table1[[#This Row],[Age]]&lt;=40,"30-40",Table1[[#This Row],[Age]]&lt;50,"41-50",TRUE,"50+")</f>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2B53-E7A0-4DC8-924F-3D181BFBFB96}">
  <dimension ref="A1:L21"/>
  <sheetViews>
    <sheetView topLeftCell="C1" workbookViewId="0">
      <selection activeCell="N4" sqref="N4"/>
    </sheetView>
  </sheetViews>
  <sheetFormatPr defaultRowHeight="14.5" x14ac:dyDescent="0.35"/>
  <cols>
    <col min="1" max="1" width="15.6328125" bestFit="1" customWidth="1"/>
    <col min="2" max="2" width="15.54296875" bestFit="1" customWidth="1"/>
    <col min="3" max="3" width="15.08984375" bestFit="1" customWidth="1"/>
    <col min="4" max="4" width="29.453125" bestFit="1" customWidth="1"/>
    <col min="5" max="5" width="7.08984375" bestFit="1" customWidth="1"/>
    <col min="6" max="6" width="9.81640625" bestFit="1" customWidth="1"/>
    <col min="11" max="11" width="12.453125" bestFit="1" customWidth="1"/>
    <col min="12" max="12" width="14.54296875" bestFit="1" customWidth="1"/>
    <col min="13" max="922" width="6.81640625" bestFit="1" customWidth="1"/>
    <col min="923" max="923" width="10.36328125" bestFit="1" customWidth="1"/>
  </cols>
  <sheetData>
    <row r="1" spans="1:12" x14ac:dyDescent="0.35">
      <c r="A1" t="s">
        <v>1991</v>
      </c>
      <c r="B1" t="s">
        <v>1992</v>
      </c>
      <c r="C1" t="s">
        <v>1993</v>
      </c>
      <c r="D1" t="s">
        <v>1994</v>
      </c>
      <c r="E1" t="s">
        <v>1995</v>
      </c>
      <c r="F1" t="s">
        <v>1996</v>
      </c>
    </row>
    <row r="2" spans="1:12" x14ac:dyDescent="0.35">
      <c r="A2">
        <v>1000</v>
      </c>
      <c r="B2" s="6">
        <v>113217365</v>
      </c>
      <c r="C2" s="5">
        <v>15873801.470000021</v>
      </c>
      <c r="D2" s="6">
        <v>129091166.46999994</v>
      </c>
      <c r="E2" s="3">
        <v>44.381999999999998</v>
      </c>
      <c r="F2" s="2">
        <v>12.523999999999999</v>
      </c>
      <c r="K2" s="9" t="s">
        <v>1987</v>
      </c>
      <c r="L2" t="s">
        <v>1999</v>
      </c>
    </row>
    <row r="3" spans="1:12" x14ac:dyDescent="0.35">
      <c r="K3" s="10" t="s">
        <v>1989</v>
      </c>
      <c r="L3">
        <v>915</v>
      </c>
    </row>
    <row r="4" spans="1:12" x14ac:dyDescent="0.35">
      <c r="K4" s="10" t="s">
        <v>1990</v>
      </c>
      <c r="L4">
        <v>85</v>
      </c>
    </row>
    <row r="5" spans="1:12" x14ac:dyDescent="0.35">
      <c r="K5" s="10" t="s">
        <v>1988</v>
      </c>
      <c r="L5">
        <v>1000</v>
      </c>
    </row>
    <row r="13" spans="1:12" x14ac:dyDescent="0.35">
      <c r="A13" s="9" t="s">
        <v>1987</v>
      </c>
      <c r="B13" t="s">
        <v>2005</v>
      </c>
    </row>
    <row r="14" spans="1:12" x14ac:dyDescent="0.35">
      <c r="A14" s="10" t="s">
        <v>59</v>
      </c>
      <c r="B14" s="2">
        <v>11.3125</v>
      </c>
    </row>
    <row r="15" spans="1:12" x14ac:dyDescent="0.35">
      <c r="A15" s="10" t="s">
        <v>69</v>
      </c>
      <c r="B15" s="2">
        <v>12.886075949367088</v>
      </c>
    </row>
    <row r="16" spans="1:12" x14ac:dyDescent="0.35">
      <c r="A16" s="10" t="s">
        <v>34</v>
      </c>
      <c r="B16" s="2">
        <v>12.65</v>
      </c>
    </row>
    <row r="17" spans="1:2" x14ac:dyDescent="0.35">
      <c r="A17" s="10" t="s">
        <v>65</v>
      </c>
      <c r="B17" s="2">
        <v>12.56</v>
      </c>
    </row>
    <row r="18" spans="1:2" x14ac:dyDescent="0.35">
      <c r="A18" s="10" t="s">
        <v>17</v>
      </c>
      <c r="B18" s="2">
        <v>13.008298755186722</v>
      </c>
    </row>
    <row r="19" spans="1:2" x14ac:dyDescent="0.35">
      <c r="A19" s="10" t="s">
        <v>80</v>
      </c>
      <c r="B19" s="2">
        <v>11.541666666666666</v>
      </c>
    </row>
    <row r="20" spans="1:2" x14ac:dyDescent="0.35">
      <c r="A20" s="10" t="s">
        <v>48</v>
      </c>
      <c r="B20" s="2">
        <v>12.814285714285715</v>
      </c>
    </row>
    <row r="21" spans="1:2" x14ac:dyDescent="0.35">
      <c r="A21" s="10" t="s">
        <v>1988</v>
      </c>
      <c r="B21" s="2">
        <v>12.523999999999999</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3163-4DF3-4B57-84BC-E3B1F3C578D3}">
  <dimension ref="B2:P8"/>
  <sheetViews>
    <sheetView showGridLines="0" showRowColHeaders="0" tabSelected="1" zoomScale="50" zoomScaleNormal="50" workbookViewId="0">
      <selection activeCell="L2" sqref="L2"/>
    </sheetView>
  </sheetViews>
  <sheetFormatPr defaultRowHeight="14.5" x14ac:dyDescent="0.35"/>
  <cols>
    <col min="4" max="4" width="14.90625" customWidth="1"/>
    <col min="7" max="7" width="13" customWidth="1"/>
    <col min="10" max="10" width="15.36328125" customWidth="1"/>
    <col min="16" max="16" width="11.453125" customWidth="1"/>
  </cols>
  <sheetData>
    <row r="2" spans="2:16" ht="47.5" x14ac:dyDescent="1.1000000000000001">
      <c r="B2" s="13" t="s">
        <v>2003</v>
      </c>
      <c r="C2" s="13"/>
      <c r="D2" s="13"/>
      <c r="E2" s="13"/>
      <c r="F2" s="13"/>
      <c r="G2" s="13"/>
      <c r="H2" s="13"/>
    </row>
    <row r="4" spans="2:16" ht="35" x14ac:dyDescent="0.9">
      <c r="B4" s="24">
        <f>GETPIVOTDATA("Total Employees",KPI_Helper!A1)</f>
        <v>1000</v>
      </c>
      <c r="C4" s="24"/>
      <c r="D4" s="24"/>
      <c r="E4" s="26">
        <f>GETPIVOTDATA("EEID",KPI_Helper!K2,"Employee Status","Active")</f>
        <v>915</v>
      </c>
      <c r="F4" s="26"/>
      <c r="G4" s="26"/>
      <c r="H4" s="28">
        <f>GETPIVOTDATA("EEID",KPI_Helper!$K$2,"Employee Status","Exited")</f>
        <v>85</v>
      </c>
      <c r="I4" s="28"/>
      <c r="J4" s="28"/>
      <c r="K4" s="30">
        <f>GETPIVOTDATA("Avg Tenure",KPI_Helper!F1)</f>
        <v>12.523999999999999</v>
      </c>
      <c r="L4" s="30"/>
      <c r="M4" s="30"/>
      <c r="N4" s="31">
        <f>H4/B4</f>
        <v>8.5000000000000006E-2</v>
      </c>
      <c r="O4" s="31"/>
      <c r="P4" s="31"/>
    </row>
    <row r="5" spans="2:16" ht="16.5" x14ac:dyDescent="0.45">
      <c r="B5" s="25" t="s">
        <v>1991</v>
      </c>
      <c r="C5" s="25"/>
      <c r="D5" s="25"/>
      <c r="E5" s="27" t="s">
        <v>2000</v>
      </c>
      <c r="F5" s="27"/>
      <c r="G5" s="27"/>
      <c r="H5" s="29" t="s">
        <v>2001</v>
      </c>
      <c r="I5" s="29"/>
      <c r="J5" s="29"/>
      <c r="K5" s="32" t="s">
        <v>1996</v>
      </c>
      <c r="L5" s="32"/>
      <c r="M5" s="32"/>
      <c r="N5" s="14" t="s">
        <v>2002</v>
      </c>
      <c r="O5" s="14"/>
      <c r="P5" s="14"/>
    </row>
    <row r="6" spans="2:16" ht="16.5" x14ac:dyDescent="0.45">
      <c r="B6" s="11"/>
      <c r="C6" s="11"/>
      <c r="D6" s="11"/>
      <c r="E6" s="11"/>
      <c r="F6" s="11"/>
      <c r="G6" s="11"/>
      <c r="H6" s="11"/>
      <c r="I6" s="11"/>
      <c r="J6" s="11"/>
      <c r="K6" s="11"/>
      <c r="L6" s="11"/>
      <c r="M6" s="11"/>
      <c r="N6" s="11"/>
      <c r="O6" s="11"/>
      <c r="P6" s="11"/>
    </row>
    <row r="7" spans="2:16" ht="35" x14ac:dyDescent="0.9">
      <c r="B7" s="17">
        <f>GETPIVOTDATA("Total Salary Cost",KPI_Helper!B1)</f>
        <v>113217365</v>
      </c>
      <c r="C7" s="17"/>
      <c r="D7" s="17"/>
      <c r="E7" s="19">
        <f>GETPIVOTDATA("Total Bonus Cost",KPI_Helper!C2)</f>
        <v>15873801.470000021</v>
      </c>
      <c r="F7" s="19"/>
      <c r="G7" s="19"/>
      <c r="H7" s="20">
        <f>GETPIVOTDATA("Total Compensation of Employees",KPI_Helper!D2)</f>
        <v>129091166.46999994</v>
      </c>
      <c r="I7" s="20"/>
      <c r="J7" s="20"/>
      <c r="K7" s="15">
        <f>GETPIVOTDATA("Avg Age",KPI_Helper!E1)</f>
        <v>44.381999999999998</v>
      </c>
      <c r="L7" s="15"/>
      <c r="M7" s="15"/>
      <c r="N7" s="23">
        <f>E4/B4</f>
        <v>0.91500000000000004</v>
      </c>
      <c r="O7" s="23"/>
      <c r="P7" s="23"/>
    </row>
    <row r="8" spans="2:16" ht="16.5" x14ac:dyDescent="0.45">
      <c r="B8" s="18" t="s">
        <v>1992</v>
      </c>
      <c r="C8" s="18"/>
      <c r="D8" s="18"/>
      <c r="E8" s="21" t="s">
        <v>1993</v>
      </c>
      <c r="F8" s="21"/>
      <c r="G8" s="21"/>
      <c r="H8" s="22" t="s">
        <v>1983</v>
      </c>
      <c r="I8" s="22"/>
      <c r="J8" s="22"/>
      <c r="K8" s="16" t="s">
        <v>1995</v>
      </c>
      <c r="L8" s="16"/>
      <c r="M8" s="16"/>
      <c r="N8" s="12" t="s">
        <v>2006</v>
      </c>
      <c r="O8" s="12"/>
      <c r="P8" s="12"/>
    </row>
  </sheetData>
  <mergeCells count="21">
    <mergeCell ref="H4:J4"/>
    <mergeCell ref="H5:J5"/>
    <mergeCell ref="K4:M4"/>
    <mergeCell ref="N4:P4"/>
    <mergeCell ref="K5:M5"/>
    <mergeCell ref="N8:P8"/>
    <mergeCell ref="B2:H2"/>
    <mergeCell ref="N5:P5"/>
    <mergeCell ref="K7:M7"/>
    <mergeCell ref="K8:M8"/>
    <mergeCell ref="B7:D7"/>
    <mergeCell ref="B8:D8"/>
    <mergeCell ref="E7:G7"/>
    <mergeCell ref="H7:J7"/>
    <mergeCell ref="E8:G8"/>
    <mergeCell ref="H8:J8"/>
    <mergeCell ref="N7:P7"/>
    <mergeCell ref="B4:D4"/>
    <mergeCell ref="B5:D5"/>
    <mergeCell ref="E4:G4"/>
    <mergeCell ref="E5: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C24-3636-4E6D-B7F7-82E83302319A}">
  <dimension ref="A1:B35"/>
  <sheetViews>
    <sheetView topLeftCell="B1" workbookViewId="0">
      <selection activeCell="C14" sqref="C14"/>
    </sheetView>
  </sheetViews>
  <sheetFormatPr defaultRowHeight="14.5" x14ac:dyDescent="0.35"/>
  <cols>
    <col min="1" max="1" width="25.1796875" bestFit="1" customWidth="1"/>
    <col min="2" max="2" width="22.453125" style="6" bestFit="1" customWidth="1"/>
  </cols>
  <sheetData>
    <row r="1" spans="1:2" x14ac:dyDescent="0.35">
      <c r="A1" s="9" t="s">
        <v>1987</v>
      </c>
      <c r="B1" s="6" t="s">
        <v>2004</v>
      </c>
    </row>
    <row r="2" spans="1:2" x14ac:dyDescent="0.35">
      <c r="A2" s="10" t="s">
        <v>79</v>
      </c>
      <c r="B2" s="6">
        <v>222195.17142857143</v>
      </c>
    </row>
    <row r="3" spans="1:2" x14ac:dyDescent="0.35">
      <c r="A3" s="10" t="s">
        <v>33</v>
      </c>
      <c r="B3" s="6">
        <v>171633.85123966943</v>
      </c>
    </row>
    <row r="4" spans="1:2" x14ac:dyDescent="0.35">
      <c r="A4" s="10" t="s">
        <v>16</v>
      </c>
      <c r="B4" s="6">
        <v>141067.76363636364</v>
      </c>
    </row>
    <row r="5" spans="1:2" x14ac:dyDescent="0.35">
      <c r="A5" s="10" t="s">
        <v>52</v>
      </c>
      <c r="B5" s="6">
        <v>113275.68367346939</v>
      </c>
    </row>
    <row r="6" spans="1:2" x14ac:dyDescent="0.35">
      <c r="A6" s="10" t="s">
        <v>113</v>
      </c>
      <c r="B6" s="6">
        <v>101853.8</v>
      </c>
    </row>
    <row r="7" spans="1:2" x14ac:dyDescent="0.35">
      <c r="A7" s="10" t="s">
        <v>181</v>
      </c>
      <c r="B7" s="6">
        <v>101135.25</v>
      </c>
    </row>
    <row r="8" spans="1:2" x14ac:dyDescent="0.35">
      <c r="A8" s="10" t="s">
        <v>68</v>
      </c>
      <c r="B8" s="6">
        <v>99626.133333333331</v>
      </c>
    </row>
    <row r="9" spans="1:2" x14ac:dyDescent="0.35">
      <c r="A9" s="10" t="s">
        <v>178</v>
      </c>
      <c r="B9" s="6">
        <v>95106.857142857145</v>
      </c>
    </row>
    <row r="10" spans="1:2" x14ac:dyDescent="0.35">
      <c r="A10" s="10" t="s">
        <v>207</v>
      </c>
      <c r="B10" s="6">
        <v>86961.333333333328</v>
      </c>
    </row>
    <row r="11" spans="1:2" x14ac:dyDescent="0.35">
      <c r="A11" s="10" t="s">
        <v>43</v>
      </c>
      <c r="B11" s="6">
        <v>86402.957142857136</v>
      </c>
    </row>
    <row r="12" spans="1:2" x14ac:dyDescent="0.35">
      <c r="A12" s="10" t="s">
        <v>143</v>
      </c>
      <c r="B12" s="6">
        <v>85035.352941176476</v>
      </c>
    </row>
    <row r="13" spans="1:2" x14ac:dyDescent="0.35">
      <c r="A13" s="10" t="s">
        <v>294</v>
      </c>
      <c r="B13" s="6">
        <v>84808.222222222219</v>
      </c>
    </row>
    <row r="14" spans="1:2" x14ac:dyDescent="0.35">
      <c r="A14" s="10" t="s">
        <v>131</v>
      </c>
      <c r="B14" s="6">
        <v>84698.666666666672</v>
      </c>
    </row>
    <row r="15" spans="1:2" x14ac:dyDescent="0.35">
      <c r="A15" s="10" t="s">
        <v>108</v>
      </c>
      <c r="B15" s="6">
        <v>83564.399999999994</v>
      </c>
    </row>
    <row r="16" spans="1:2" x14ac:dyDescent="0.35">
      <c r="A16" s="10" t="s">
        <v>462</v>
      </c>
      <c r="B16" s="6">
        <v>82329.2</v>
      </c>
    </row>
    <row r="17" spans="1:2" x14ac:dyDescent="0.35">
      <c r="A17" s="10" t="s">
        <v>442</v>
      </c>
      <c r="B17" s="6">
        <v>81496.833333333328</v>
      </c>
    </row>
    <row r="18" spans="1:2" x14ac:dyDescent="0.35">
      <c r="A18" s="10" t="s">
        <v>40</v>
      </c>
      <c r="B18" s="6">
        <v>80346.809523809527</v>
      </c>
    </row>
    <row r="19" spans="1:2" x14ac:dyDescent="0.35">
      <c r="A19" s="10" t="s">
        <v>248</v>
      </c>
      <c r="B19" s="6">
        <v>80092.555555555562</v>
      </c>
    </row>
    <row r="20" spans="1:2" x14ac:dyDescent="0.35">
      <c r="A20" s="10" t="s">
        <v>299</v>
      </c>
      <c r="B20" s="6">
        <v>79852.666666666672</v>
      </c>
    </row>
    <row r="21" spans="1:2" x14ac:dyDescent="0.35">
      <c r="A21" s="10" t="s">
        <v>25</v>
      </c>
      <c r="B21" s="6">
        <v>79773.823529411762</v>
      </c>
    </row>
    <row r="22" spans="1:2" x14ac:dyDescent="0.35">
      <c r="A22" s="10" t="s">
        <v>175</v>
      </c>
      <c r="B22" s="6">
        <v>78928.952380952382</v>
      </c>
    </row>
    <row r="23" spans="1:2" x14ac:dyDescent="0.35">
      <c r="A23" s="10" t="s">
        <v>372</v>
      </c>
      <c r="B23" s="6">
        <v>78163.266666666663</v>
      </c>
    </row>
    <row r="24" spans="1:2" x14ac:dyDescent="0.35">
      <c r="A24" s="10" t="s">
        <v>277</v>
      </c>
      <c r="B24" s="6">
        <v>77889.210526315786</v>
      </c>
    </row>
    <row r="25" spans="1:2" x14ac:dyDescent="0.35">
      <c r="A25" s="10" t="s">
        <v>485</v>
      </c>
      <c r="B25" s="6">
        <v>75908.399999999994</v>
      </c>
    </row>
    <row r="26" spans="1:2" x14ac:dyDescent="0.35">
      <c r="A26" s="10" t="s">
        <v>223</v>
      </c>
      <c r="B26" s="6">
        <v>74550.833333333328</v>
      </c>
    </row>
    <row r="27" spans="1:2" x14ac:dyDescent="0.35">
      <c r="A27" s="10" t="s">
        <v>251</v>
      </c>
      <c r="B27" s="6">
        <v>74171.71428571429</v>
      </c>
    </row>
    <row r="28" spans="1:2" x14ac:dyDescent="0.35">
      <c r="A28" s="10" t="s">
        <v>124</v>
      </c>
      <c r="B28" s="6">
        <v>62647.471698113208</v>
      </c>
    </row>
    <row r="29" spans="1:2" x14ac:dyDescent="0.35">
      <c r="A29" s="10" t="s">
        <v>47</v>
      </c>
      <c r="B29" s="6">
        <v>62281.619047619046</v>
      </c>
    </row>
    <row r="30" spans="1:2" x14ac:dyDescent="0.35">
      <c r="A30" s="10" t="s">
        <v>164</v>
      </c>
      <c r="B30" s="6">
        <v>61760.375</v>
      </c>
    </row>
    <row r="31" spans="1:2" x14ac:dyDescent="0.35">
      <c r="A31" s="10" t="s">
        <v>55</v>
      </c>
      <c r="B31" s="6">
        <v>49950.666666666664</v>
      </c>
    </row>
    <row r="32" spans="1:2" x14ac:dyDescent="0.35">
      <c r="A32" s="10" t="s">
        <v>184</v>
      </c>
      <c r="B32" s="6">
        <v>49559.789473684214</v>
      </c>
    </row>
    <row r="33" spans="1:2" x14ac:dyDescent="0.35">
      <c r="A33" s="10" t="s">
        <v>330</v>
      </c>
      <c r="B33" s="6">
        <v>48787.933333333334</v>
      </c>
    </row>
    <row r="34" spans="1:2" x14ac:dyDescent="0.35">
      <c r="A34" s="10" t="s">
        <v>119</v>
      </c>
      <c r="B34" s="6">
        <v>48024.454545454544</v>
      </c>
    </row>
    <row r="35" spans="1:2" x14ac:dyDescent="0.35">
      <c r="A35" s="10" t="s">
        <v>1988</v>
      </c>
      <c r="B35" s="6">
        <v>113217.36500000001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7FEC-9185-4ADA-BDC0-B9DDA7ED5A52}">
  <dimension ref="A1:B9"/>
  <sheetViews>
    <sheetView topLeftCell="B1" workbookViewId="0">
      <selection activeCell="H20" sqref="H20"/>
    </sheetView>
  </sheetViews>
  <sheetFormatPr defaultRowHeight="14.5" x14ac:dyDescent="0.35"/>
  <cols>
    <col min="1" max="1" width="15.6328125" bestFit="1" customWidth="1"/>
    <col min="2" max="2" width="12.08984375" bestFit="1" customWidth="1"/>
  </cols>
  <sheetData>
    <row r="1" spans="1:2" x14ac:dyDescent="0.35">
      <c r="A1" s="9" t="s">
        <v>1987</v>
      </c>
      <c r="B1" t="s">
        <v>1998</v>
      </c>
    </row>
    <row r="2" spans="1:2" x14ac:dyDescent="0.35">
      <c r="A2" s="10" t="s">
        <v>59</v>
      </c>
      <c r="B2">
        <v>96</v>
      </c>
    </row>
    <row r="3" spans="1:2" x14ac:dyDescent="0.35">
      <c r="A3" s="10" t="s">
        <v>34</v>
      </c>
      <c r="B3">
        <v>120</v>
      </c>
    </row>
    <row r="4" spans="1:2" x14ac:dyDescent="0.35">
      <c r="A4" s="10" t="s">
        <v>80</v>
      </c>
      <c r="B4">
        <v>120</v>
      </c>
    </row>
    <row r="5" spans="1:2" x14ac:dyDescent="0.35">
      <c r="A5" s="10" t="s">
        <v>65</v>
      </c>
      <c r="B5">
        <v>125</v>
      </c>
    </row>
    <row r="6" spans="1:2" x14ac:dyDescent="0.35">
      <c r="A6" s="10" t="s">
        <v>48</v>
      </c>
      <c r="B6">
        <v>140</v>
      </c>
    </row>
    <row r="7" spans="1:2" x14ac:dyDescent="0.35">
      <c r="A7" s="10" t="s">
        <v>69</v>
      </c>
      <c r="B7">
        <v>158</v>
      </c>
    </row>
    <row r="8" spans="1:2" x14ac:dyDescent="0.35">
      <c r="A8" s="10" t="s">
        <v>17</v>
      </c>
      <c r="B8">
        <v>241</v>
      </c>
    </row>
    <row r="9" spans="1:2" x14ac:dyDescent="0.35">
      <c r="A9" s="10" t="s">
        <v>1988</v>
      </c>
      <c r="B9">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1523A-AA06-4586-BF17-052E6FB6A810}">
  <dimension ref="A1:B4"/>
  <sheetViews>
    <sheetView workbookViewId="0">
      <selection activeCell="F22" sqref="F22"/>
    </sheetView>
  </sheetViews>
  <sheetFormatPr defaultRowHeight="14.5" x14ac:dyDescent="0.35"/>
  <cols>
    <col min="1" max="1" width="12.453125" bestFit="1" customWidth="1"/>
    <col min="2" max="2" width="12.08984375" bestFit="1" customWidth="1"/>
  </cols>
  <sheetData>
    <row r="1" spans="1:2" x14ac:dyDescent="0.35">
      <c r="A1" s="9" t="s">
        <v>1987</v>
      </c>
      <c r="B1" t="s">
        <v>1998</v>
      </c>
    </row>
    <row r="2" spans="1:2" x14ac:dyDescent="0.35">
      <c r="A2" s="10" t="s">
        <v>19</v>
      </c>
      <c r="B2">
        <v>518</v>
      </c>
    </row>
    <row r="3" spans="1:2" x14ac:dyDescent="0.35">
      <c r="A3" s="10" t="s">
        <v>27</v>
      </c>
      <c r="B3">
        <v>482</v>
      </c>
    </row>
    <row r="4" spans="1:2" x14ac:dyDescent="0.35">
      <c r="A4" s="10" t="s">
        <v>1988</v>
      </c>
      <c r="B4">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C2872-DC59-4437-8517-A2D799C3E873}">
  <dimension ref="A1:D10"/>
  <sheetViews>
    <sheetView workbookViewId="0">
      <selection activeCell="I21" sqref="I21"/>
    </sheetView>
  </sheetViews>
  <sheetFormatPr defaultRowHeight="14.5" x14ac:dyDescent="0.35"/>
  <cols>
    <col min="1" max="2" width="15.6328125" bestFit="1" customWidth="1"/>
    <col min="3" max="3" width="6" bestFit="1" customWidth="1"/>
    <col min="4" max="4" width="10.36328125" bestFit="1" customWidth="1"/>
  </cols>
  <sheetData>
    <row r="1" spans="1:4" x14ac:dyDescent="0.35">
      <c r="A1" s="9" t="s">
        <v>1998</v>
      </c>
      <c r="B1" s="9" t="s">
        <v>1997</v>
      </c>
    </row>
    <row r="2" spans="1:4" x14ac:dyDescent="0.35">
      <c r="A2" s="9" t="s">
        <v>1987</v>
      </c>
      <c r="B2" t="s">
        <v>1989</v>
      </c>
      <c r="C2" t="s">
        <v>1990</v>
      </c>
      <c r="D2" t="s">
        <v>1988</v>
      </c>
    </row>
    <row r="3" spans="1:4" x14ac:dyDescent="0.35">
      <c r="A3" s="10" t="s">
        <v>59</v>
      </c>
      <c r="B3">
        <v>89</v>
      </c>
      <c r="C3">
        <v>7</v>
      </c>
      <c r="D3">
        <v>96</v>
      </c>
    </row>
    <row r="4" spans="1:4" x14ac:dyDescent="0.35">
      <c r="A4" s="10" t="s">
        <v>69</v>
      </c>
      <c r="B4">
        <v>141</v>
      </c>
      <c r="C4">
        <v>17</v>
      </c>
      <c r="D4">
        <v>158</v>
      </c>
    </row>
    <row r="5" spans="1:4" x14ac:dyDescent="0.35">
      <c r="A5" s="10" t="s">
        <v>34</v>
      </c>
      <c r="B5">
        <v>111</v>
      </c>
      <c r="C5">
        <v>9</v>
      </c>
      <c r="D5">
        <v>120</v>
      </c>
    </row>
    <row r="6" spans="1:4" x14ac:dyDescent="0.35">
      <c r="A6" s="10" t="s">
        <v>65</v>
      </c>
      <c r="B6">
        <v>114</v>
      </c>
      <c r="C6">
        <v>11</v>
      </c>
      <c r="D6">
        <v>125</v>
      </c>
    </row>
    <row r="7" spans="1:4" x14ac:dyDescent="0.35">
      <c r="A7" s="10" t="s">
        <v>17</v>
      </c>
      <c r="B7">
        <v>225</v>
      </c>
      <c r="C7">
        <v>16</v>
      </c>
      <c r="D7">
        <v>241</v>
      </c>
    </row>
    <row r="8" spans="1:4" x14ac:dyDescent="0.35">
      <c r="A8" s="10" t="s">
        <v>80</v>
      </c>
      <c r="B8">
        <v>105</v>
      </c>
      <c r="C8">
        <v>15</v>
      </c>
      <c r="D8">
        <v>120</v>
      </c>
    </row>
    <row r="9" spans="1:4" x14ac:dyDescent="0.35">
      <c r="A9" s="10" t="s">
        <v>48</v>
      </c>
      <c r="B9">
        <v>130</v>
      </c>
      <c r="C9">
        <v>10</v>
      </c>
      <c r="D9">
        <v>140</v>
      </c>
    </row>
    <row r="10" spans="1:4" x14ac:dyDescent="0.35">
      <c r="A10" s="10" t="s">
        <v>1988</v>
      </c>
      <c r="B10">
        <v>915</v>
      </c>
      <c r="C10">
        <v>85</v>
      </c>
      <c r="D10">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59D8E-9637-4F8F-B2C2-6ABBEB3ABBC9}">
  <dimension ref="A2:B6"/>
  <sheetViews>
    <sheetView workbookViewId="0">
      <selection activeCell="B3" sqref="B3"/>
    </sheetView>
  </sheetViews>
  <sheetFormatPr defaultRowHeight="14.5" x14ac:dyDescent="0.35"/>
  <cols>
    <col min="1" max="1" width="12.453125" bestFit="1" customWidth="1"/>
    <col min="2" max="2" width="12.08984375" bestFit="1" customWidth="1"/>
  </cols>
  <sheetData>
    <row r="2" spans="1:2" x14ac:dyDescent="0.35">
      <c r="A2" s="9" t="s">
        <v>1987</v>
      </c>
      <c r="B2" t="s">
        <v>1998</v>
      </c>
    </row>
    <row r="3" spans="1:2" x14ac:dyDescent="0.35">
      <c r="A3" s="10" t="s">
        <v>21</v>
      </c>
      <c r="B3">
        <v>643</v>
      </c>
    </row>
    <row r="4" spans="1:2" x14ac:dyDescent="0.35">
      <c r="A4" s="10" t="s">
        <v>29</v>
      </c>
      <c r="B4">
        <v>218</v>
      </c>
    </row>
    <row r="5" spans="1:2" x14ac:dyDescent="0.35">
      <c r="A5" s="10" t="s">
        <v>93</v>
      </c>
      <c r="B5">
        <v>139</v>
      </c>
    </row>
    <row r="6" spans="1:2" x14ac:dyDescent="0.35">
      <c r="A6" s="10" t="s">
        <v>1988</v>
      </c>
      <c r="B6">
        <v>1000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tbl-employees</vt:lpstr>
      <vt:lpstr>KPI_Helper</vt:lpstr>
      <vt:lpstr>DASHBOARD</vt:lpstr>
      <vt:lpstr>Salary_Helper</vt:lpstr>
      <vt:lpstr>Dept_Headcount_Helper</vt:lpstr>
      <vt:lpstr>Gender_Helper</vt:lpstr>
      <vt:lpstr>Attrition_Helper</vt:lpstr>
      <vt:lpstr>Country_Helper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dc:creator>
  <cp:lastModifiedBy>Shalini Bhardwaj</cp:lastModifiedBy>
  <dcterms:created xsi:type="dcterms:W3CDTF">2026-01-31T12:06:21Z</dcterms:created>
  <dcterms:modified xsi:type="dcterms:W3CDTF">2026-03-22T08:42:33Z</dcterms:modified>
</cp:coreProperties>
</file>